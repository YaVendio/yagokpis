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" sheetId="1" r:id="rId5"/>
    <sheet state="visible" name="sources" sheetId="2" r:id="rId6"/>
    <sheet state="visible" name="sources PQLs" sheetId="3" r:id="rId7"/>
    <sheet state="visible" name="Resumo" sheetId="4" r:id="rId8"/>
    <sheet state="visible" name="AUX" sheetId="5" r:id="rId9"/>
  </sheets>
  <definedNames>
    <definedName hidden="1" localSheetId="0" name="_xlnm._FilterDatabase">BD!$A$1:$L$4635</definedName>
  </definedNames>
  <calcPr/>
  <pivotCaches>
    <pivotCache cacheId="0" r:id="rId10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tc={5fe53d36-558b-48e4-b752-063d8997b712}</author>
    <author>tc={941acb1b-cacc-405a-bc30-b59782e6109c}</author>
    <author>tc={f9504c48-7f74-41c9-8f2a-3e1d1e1bc016}</author>
  </authors>
  <commentList>
    <comment authorId="0" xr:uid="{5fe53d36-558b-48e4-b752-063d8997b7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RAFA's user
</t>
      </text>
    </comment>
    <comment authorId="1" xr:uid="{941acb1b-cacc-405a-bc30-b59782e610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ID
Luis	122937812
Jorge chu	85569856
Pablo	80566583
Rafa	79360573
Sebas	1660577231
Diego	1626259938
</t>
      </text>
    </comment>
    <comment authorId="2" xr:uid="{f9504c48-7f74-41c9-8f2a-3e1d1e1bc0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Rafa (BR)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tc={48885dee-f3ae-4300-a054-6a152207f018}</author>
  </authors>
  <commentList>
    <comment authorId="0" xr:uid="{48885dee-f3ae-4300-a054-6a152207f018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ID
Luis	122937812
Jorge chu	85569856
Pablo	80566583
Rafa	79360573
Sebas	1660577231
Diego	1626259938
</t>
      </text>
    </comment>
  </commentList>
</comments>
</file>

<file path=xl/sharedStrings.xml><?xml version="1.0" encoding="utf-8"?>
<sst xmlns="http://schemas.openxmlformats.org/spreadsheetml/2006/main" count="25589" uniqueCount="3402">
  <si>
    <t>Id de registro</t>
  </si>
  <si>
    <t>Email</t>
  </si>
  <si>
    <t>Celular</t>
  </si>
  <si>
    <t>Prioridade</t>
  </si>
  <si>
    <t>Proprietário</t>
  </si>
  <si>
    <t>Indústria</t>
  </si>
  <si>
    <t># de Pedidos</t>
  </si>
  <si>
    <t>Canais de vendas</t>
  </si>
  <si>
    <t>Por onde encontrou?</t>
  </si>
  <si>
    <t>UTM
source</t>
  </si>
  <si>
    <t>UTM
campaing</t>
  </si>
  <si>
    <t>Data</t>
  </si>
  <si>
    <t>hideikolopezmiranda098@gmail.com</t>
  </si>
  <si>
    <t>BAJA</t>
  </si>
  <si>
    <t>Salud y suplementos</t>
  </si>
  <si>
    <t>No vendo productos aun</t>
  </si>
  <si>
    <t>WHATSAPP_BUSINESS;SOCIAL_NETWORKS</t>
  </si>
  <si>
    <t>SOCIAL</t>
  </si>
  <si>
    <t>PAID_SOCIAL</t>
  </si>
  <si>
    <t>rmkt_engagers_peru</t>
  </si>
  <si>
    <t>February</t>
  </si>
  <si>
    <t>dani.arauco.dlaa@gmail.com</t>
  </si>
  <si>
    <t>MEDIA</t>
  </si>
  <si>
    <t>Alimentos y bebidas</t>
  </si>
  <si>
    <t>WHATSAPP_BUSINESS</t>
  </si>
  <si>
    <t>SOCIAL_MEDIA</t>
  </si>
  <si>
    <t>bio</t>
  </si>
  <si>
    <t>silviamazab2016@gmail.com</t>
  </si>
  <si>
    <t>Otros (libre para escribir)</t>
  </si>
  <si>
    <t>SOCIAL_NETWORKS;WHATSAPP_BUSINESS</t>
  </si>
  <si>
    <t>valweb@valweb.com.br</t>
  </si>
  <si>
    <t>Educación - cursos</t>
  </si>
  <si>
    <t>1 a 2</t>
  </si>
  <si>
    <t>WHATSAPP_BUSINESS;SOCIAL_NETWORKS;ONLINE_STORE</t>
  </si>
  <si>
    <t>DIRECT_TRAFFIC</t>
  </si>
  <si>
    <t>drigofirmino@gmail.com</t>
  </si>
  <si>
    <t>GOOGLE</t>
  </si>
  <si>
    <t>jp_life359@hotmail.com</t>
  </si>
  <si>
    <t>SIN DATOS</t>
  </si>
  <si>
    <t>Moda, ropa y accesorios</t>
  </si>
  <si>
    <t>PHYSICAL_STORE;SOCIAL_NETWORKS</t>
  </si>
  <si>
    <t>lcasiahome@gmail.com</t>
  </si>
  <si>
    <t>Hogar y decoración</t>
  </si>
  <si>
    <t>valfrancisnetwork@gmail.com</t>
  </si>
  <si>
    <t>3 a 10</t>
  </si>
  <si>
    <t>leads_signups_coldaudience_brasil</t>
  </si>
  <si>
    <t>javiermontoyaloyo@live.com</t>
  </si>
  <si>
    <t>falecom@lemavos.com.br</t>
  </si>
  <si>
    <t>WHATSAPP_BUSINESS;ONLINE_STORE;PHYSICAL_STORE</t>
  </si>
  <si>
    <t>FRIEND</t>
  </si>
  <si>
    <t>samyllasilva667@gmail.com</t>
  </si>
  <si>
    <t>NONE</t>
  </si>
  <si>
    <t>creyes@rootnutritionsac.com</t>
  </si>
  <si>
    <t>SOCIAL_NETWORKS;ONLINE_STORE;WHATSAPP_BUSINESS</t>
  </si>
  <si>
    <t>maricelincastellano@gmail.com</t>
  </si>
  <si>
    <t>ONLINE_STORE</t>
  </si>
  <si>
    <t>michel@mantaro.pe</t>
  </si>
  <si>
    <t>moralesquintanillajennifer@gmail.com</t>
  </si>
  <si>
    <t>REFERRALS</t>
  </si>
  <si>
    <t>auth0.yavendio.com/</t>
  </si>
  <si>
    <t>gabrielantonio1919@hotmail.com</t>
  </si>
  <si>
    <t>rmkt_engagers_mexico</t>
  </si>
  <si>
    <t>eavs35@gmail.com</t>
  </si>
  <si>
    <t>OTHER</t>
  </si>
  <si>
    <t>elcorreodebernales@hotmail.com</t>
  </si>
  <si>
    <t>Tecnología y gadgets</t>
  </si>
  <si>
    <t>SOCIAL_NETWORKS</t>
  </si>
  <si>
    <t>pballont@pucp.edu.pe</t>
  </si>
  <si>
    <t>ggh36316@gmail.com</t>
  </si>
  <si>
    <t>PHYSICAL_STORE</t>
  </si>
  <si>
    <t>fuxchoy@gmail.com</t>
  </si>
  <si>
    <t>welimarpereiraw@gmail.com</t>
  </si>
  <si>
    <t>PHYSICAL_STORE;WHATSAPP_BUSINESS;SOCIAL_NETWORKS;ONLINE_STORE</t>
  </si>
  <si>
    <t>javiercardenasvaldivia@gmail.com</t>
  </si>
  <si>
    <t>SOCIAL_NETWORKS;WHATSAPP_BUSINESS;PHYSICAL_STORE</t>
  </si>
  <si>
    <t>ladisargon@hotmail.com</t>
  </si>
  <si>
    <t>rmkt_webinar_mexico</t>
  </si>
  <si>
    <t>victorfenizola.rj@gmail.com</t>
  </si>
  <si>
    <t>hagisystem@gmail.com</t>
  </si>
  <si>
    <t>10 a 20</t>
  </si>
  <si>
    <t>WHATSAPP_BUSINESS;SOCIAL_NETWORKS;ONLINE_STORE;PHYSICAL_STORE</t>
  </si>
  <si>
    <t>jimenezarantxa44@gmail.com</t>
  </si>
  <si>
    <t>Mascotas</t>
  </si>
  <si>
    <t>intermdoe@gmail.com</t>
  </si>
  <si>
    <t>hfreyrec@hotmail.com</t>
  </si>
  <si>
    <t>dinastiacvida@gmail.com</t>
  </si>
  <si>
    <t>WHATSAPP_BUSINESS;NONE</t>
  </si>
  <si>
    <t>austenarbildochota@gmail.com</t>
  </si>
  <si>
    <t>WHATSAPP_BUSINESS;SOCIAL_NETWORKS;NONE</t>
  </si>
  <si>
    <t>PARTNER</t>
  </si>
  <si>
    <t>araujogleiciane6@gmail.com</t>
  </si>
  <si>
    <t>yramos@relux.pe</t>
  </si>
  <si>
    <t>carlos.herrerazagazeta@gmail.com</t>
  </si>
  <si>
    <t>Productos Belleza y cuidado personal</t>
  </si>
  <si>
    <t>manolovalero@live.com.mx</t>
  </si>
  <si>
    <t>euroclub507@gmail.com</t>
  </si>
  <si>
    <t>libreriasemmanuel@gmail.com</t>
  </si>
  <si>
    <t>lbbycolaboradores@gmail.com</t>
  </si>
  <si>
    <t>caceresvenegasdenisemmanuel@gmail.com</t>
  </si>
  <si>
    <t>dvazquez_09@yahoo.com.mx</t>
  </si>
  <si>
    <t>WHATSAPP_BUSINESS;ONLINE_STORE</t>
  </si>
  <si>
    <t>jeykheryendes@gmail.com</t>
  </si>
  <si>
    <t>ventasdoscolas@gmail.com</t>
  </si>
  <si>
    <t>ALTA</t>
  </si>
  <si>
    <t>20 a 50</t>
  </si>
  <si>
    <t>adrianaerv74@gmail.com</t>
  </si>
  <si>
    <t>vmartel500@gmail.com</t>
  </si>
  <si>
    <t>dilialoaiza2110@gmail.com</t>
  </si>
  <si>
    <t>fquevedo68@hotmail.com</t>
  </si>
  <si>
    <t>rodmibrasil@gmail.com</t>
  </si>
  <si>
    <t>gilbertotaio@hotmail.com</t>
  </si>
  <si>
    <t>xavi.rich.1000@gmail.com</t>
  </si>
  <si>
    <t>WHATSAPP_BUSINESS;ONLINE_STORE;SOCIAL_NETWORKS</t>
  </si>
  <si>
    <t>marinaolga@gmail.com</t>
  </si>
  <si>
    <t>WHATSAPP_BUSINESS;SOCIAL_NETWORKS;PHYSICAL_STORE</t>
  </si>
  <si>
    <t>charoalc@gmail.com</t>
  </si>
  <si>
    <t>rmkt_webinar_peru</t>
  </si>
  <si>
    <t>marketingperumundo@gmail.com</t>
  </si>
  <si>
    <t>rickg@yavendio.com</t>
  </si>
  <si>
    <t>jfentanes.morgan@gmail.com</t>
  </si>
  <si>
    <t>dopegearstreet@gmail.com</t>
  </si>
  <si>
    <t>joari.020185@gmail.com</t>
  </si>
  <si>
    <t>pitherzambrano10@gmail.com</t>
  </si>
  <si>
    <t>leuroleo.19@gmail.com</t>
  </si>
  <si>
    <t>OTHER_CAMPAIGNS</t>
  </si>
  <si>
    <t>whatsapp / chat</t>
  </si>
  <si>
    <t>pumarodriguezaqp@gmail.com</t>
  </si>
  <si>
    <t>nadia_venegas@hotmail.com</t>
  </si>
  <si>
    <t>SOCIAL_NETWORKS;ONLINE_STORE</t>
  </si>
  <si>
    <t>deborapatricia14@gmail.com</t>
  </si>
  <si>
    <t>gmm.importacionessac@gmail.com</t>
  </si>
  <si>
    <t>rolandoazanasamag@gmail.com</t>
  </si>
  <si>
    <t>clavarinopiero544@gmail.com</t>
  </si>
  <si>
    <t>afi.32@gmail.com</t>
  </si>
  <si>
    <t>erika_pantoja10@hotmail.com</t>
  </si>
  <si>
    <t>douglassilvaoficia88@gmail.com</t>
  </si>
  <si>
    <t>****der@gmail.com</t>
  </si>
  <si>
    <t>jfc_07@hotmail.com</t>
  </si>
  <si>
    <t>sunamitakyb@yahoo.com.br</t>
  </si>
  <si>
    <t>paoloapa95@gmail.com</t>
  </si>
  <si>
    <t>juventud09@hotmail.com</t>
  </si>
  <si>
    <t>sagrindmx@gmail.com</t>
  </si>
  <si>
    <t>mvcampos@camposherramientas.com</t>
  </si>
  <si>
    <t>tecnico@serviciotecnicoadomicilio.pe</t>
  </si>
  <si>
    <t>chalreme@gmail.com</t>
  </si>
  <si>
    <t>jhamilsmithgarciasantos@gmail.com</t>
  </si>
  <si>
    <t>oslave.vende@gmail.com</t>
  </si>
  <si>
    <t>skevinrodriguezpaz@gmail.com</t>
  </si>
  <si>
    <t>INFLUENCER</t>
  </si>
  <si>
    <t>fernandoalanpalmatorres@hotmail.com</t>
  </si>
  <si>
    <t>arp55302933@gmail.com</t>
  </si>
  <si>
    <t>everton.araujo0905@gmail.com</t>
  </si>
  <si>
    <t>adroaldorezende37@gmail.com</t>
  </si>
  <si>
    <t>lucoavera72@gmail.com</t>
  </si>
  <si>
    <t>wfloresusnayo@gmail.com</t>
  </si>
  <si>
    <t>edwinmanuel82@hotmail.com</t>
  </si>
  <si>
    <t>laschicasdelaboutique@gmail.com</t>
  </si>
  <si>
    <t>cayci07@hotmail.com</t>
  </si>
  <si>
    <t>eberthaelvira@gmail.com</t>
  </si>
  <si>
    <t>yfloresgonzales7@gmail.com</t>
  </si>
  <si>
    <t>angelapajares.com@gmail.com</t>
  </si>
  <si>
    <t>PHYSICAL_STORE;WHATSAPP_BUSINESS</t>
  </si>
  <si>
    <t>calle8alitasym4s@gmail.com</t>
  </si>
  <si>
    <t>melihagroup@gmail.com</t>
  </si>
  <si>
    <t>graciamendizabal@hotmail.com</t>
  </si>
  <si>
    <t>SOCIAL_NETWORKS;PHYSICAL_STORE</t>
  </si>
  <si>
    <t>lead_gen-megaevento_02.12-ppto_diario-pe</t>
  </si>
  <si>
    <t>camilavasquezcollazos92@gmail.com</t>
  </si>
  <si>
    <t>javiermartinezcotero4@gmail.com</t>
  </si>
  <si>
    <t>claudiaportapeacara5604@gmail.com</t>
  </si>
  <si>
    <t>hgastelumc1234@gmail.com</t>
  </si>
  <si>
    <t>callcenterdidos@gmail.com</t>
  </si>
  <si>
    <t>alangolds29@gmail.com</t>
  </si>
  <si>
    <t>pmhb1989@gmail.com</t>
  </si>
  <si>
    <t>ernestodelgado81@gmail.com</t>
  </si>
  <si>
    <t>iqzurita@yahoo.com</t>
  </si>
  <si>
    <t>abel@revoredo.pe</t>
  </si>
  <si>
    <t>ORGANIC_SEARCH</t>
  </si>
  <si>
    <t>kevinortizalor1998@gmail.com</t>
  </si>
  <si>
    <t>a20161375@pucp.edu.pe</t>
  </si>
  <si>
    <t>ONLINE_STORE;WHATSAPP_BUSINESS;SOCIAL_NETWORKS</t>
  </si>
  <si>
    <t>cinthiasr30@gmail.com</t>
  </si>
  <si>
    <t>abrahan_silvera_13@hotmail.com</t>
  </si>
  <si>
    <t>gfernandez088@gmail.com</t>
  </si>
  <si>
    <t>lula1705s@gmail.com</t>
  </si>
  <si>
    <t>marcieneduarte2@gmail.com</t>
  </si>
  <si>
    <t>renfort52@gmail.com</t>
  </si>
  <si>
    <t>pieromatias1@gmail.com</t>
  </si>
  <si>
    <t>WHATSAPP_BUSINESS;PHYSICAL_STORE</t>
  </si>
  <si>
    <t>lorenzitho36@gmail.com</t>
  </si>
  <si>
    <t>mvillafane@villamuzio.com</t>
  </si>
  <si>
    <t>claudiae.rengifo@gmail.com</t>
  </si>
  <si>
    <t>casadocarro1@gmail.com</t>
  </si>
  <si>
    <t>teito64@gmail.com</t>
  </si>
  <si>
    <t>limagallima94@gmail.com</t>
  </si>
  <si>
    <t>vectorseg8@gmail.com</t>
  </si>
  <si>
    <t>luisalbertosanchezs@hotmail.com</t>
  </si>
  <si>
    <t>karycolin0205@gmail.com</t>
  </si>
  <si>
    <t>alex.bigode15iy@gmail.com</t>
  </si>
  <si>
    <t>contacto@lolibushop.com</t>
  </si>
  <si>
    <t>cerratomario6@gmail.com</t>
  </si>
  <si>
    <t>campaña leads</t>
  </si>
  <si>
    <t>todomodalatienda@gmail.com</t>
  </si>
  <si>
    <t>hernan91sr@gmail.com</t>
  </si>
  <si>
    <t>alan@quina.mx</t>
  </si>
  <si>
    <t>katydenisse2008@gmail.com</t>
  </si>
  <si>
    <t>ga-oscar-79@hotmail.com</t>
  </si>
  <si>
    <t>roberusuriagalazaro@gmail.com</t>
  </si>
  <si>
    <t>angelmigueldelgado1984@gmail.com</t>
  </si>
  <si>
    <t>global.unicorn.pe@gmail.com</t>
  </si>
  <si>
    <t>ONLINE_STORE;SOCIAL_NETWORKS;WHATSAPP_BUSINESS</t>
  </si>
  <si>
    <t>mvz.oramas@gmail.com</t>
  </si>
  <si>
    <t>nestorm@yavendio.com</t>
  </si>
  <si>
    <t>enriquecastanon0582@gmail.com</t>
  </si>
  <si>
    <t>wilserdie24@gmail.com</t>
  </si>
  <si>
    <t>miguelaranis@gmail.com</t>
  </si>
  <si>
    <t>maskara5550@gmail.com</t>
  </si>
  <si>
    <t>emersoncandidoleme@outlook.com</t>
  </si>
  <si>
    <t>aquigamma@gmail.com</t>
  </si>
  <si>
    <t>cuentongodeluchongo@gmail.com</t>
  </si>
  <si>
    <t>patriciasmonteiro78@gmail.com</t>
  </si>
  <si>
    <t>yagoromano99@gmail.com</t>
  </si>
  <si>
    <t>myco.valley.peru@gmail.com</t>
  </si>
  <si>
    <t>eroez_20@hotmail.com</t>
  </si>
  <si>
    <t>katiacristinasales075@gmail.com</t>
  </si>
  <si>
    <t>luis_leo7ag@hotmail.com</t>
  </si>
  <si>
    <t>c45353648@gmail.com</t>
  </si>
  <si>
    <t>lojapsychowear@gmail.com</t>
  </si>
  <si>
    <t>guillermosilv98@gmail.com</t>
  </si>
  <si>
    <t>feramani582@gmail.com</t>
  </si>
  <si>
    <t>riveratordoya.kathya@gmail.com</t>
  </si>
  <si>
    <t>camigfg@gmail.com</t>
  </si>
  <si>
    <t>luisferde19@gmail.com</t>
  </si>
  <si>
    <t>jairoportocarrerol@gmail.com</t>
  </si>
  <si>
    <t>josue04torres23@gmail.com</t>
  </si>
  <si>
    <t>gabybecerril00@gmail.com</t>
  </si>
  <si>
    <t>rooeslly1985@gmail.com</t>
  </si>
  <si>
    <t>pierredx2010@gmail.com</t>
  </si>
  <si>
    <t>mescudero@disruptivee.com</t>
  </si>
  <si>
    <t>ONLINE_STORE;WHATSAPP_BUSINESS</t>
  </si>
  <si>
    <t>ccrichi@gmail.com</t>
  </si>
  <si>
    <t>carmelo.pena.0310@gmail.com</t>
  </si>
  <si>
    <t>delicadezamodaintimafashion@gmail.com</t>
  </si>
  <si>
    <t>mario.olivera@upsjb.edu.pe</t>
  </si>
  <si>
    <t>akarlosm@hotmail.com</t>
  </si>
  <si>
    <t>darx1994@gmail.com</t>
  </si>
  <si>
    <t>vanelizingridalex@outlook.com</t>
  </si>
  <si>
    <t>zoelylazo@gmail.com</t>
  </si>
  <si>
    <t>genesisjadames@gmail.com</t>
  </si>
  <si>
    <t>nataliagontijo23@icloud.com</t>
  </si>
  <si>
    <t>gontijostore@icloud.com</t>
  </si>
  <si>
    <t>esai.huaman@gmail.com</t>
  </si>
  <si>
    <t>fdezvaldai@gmail.com</t>
  </si>
  <si>
    <t>PHYSICAL_STORE;WHATSAPP_BUSINESS;SOCIAL_NETWORKS</t>
  </si>
  <si>
    <t>salvador6navarro@hotmail.com</t>
  </si>
  <si>
    <t>altoconstructoramx@gmail.com</t>
  </si>
  <si>
    <t>acceso.protocoloia.com/</t>
  </si>
  <si>
    <t>pedrosolanozepeda@gmail.com</t>
  </si>
  <si>
    <t>cariciaaromatica@gmail.com</t>
  </si>
  <si>
    <t>Novedades y productos variados</t>
  </si>
  <si>
    <t>Menos de 5</t>
  </si>
  <si>
    <t>luisjulca753@gmail.com</t>
  </si>
  <si>
    <t>ivetteinmobiliaria@gmail.com</t>
  </si>
  <si>
    <t>bpdponce@hotmail.com</t>
  </si>
  <si>
    <t>cmartinezv1983@gmail.com</t>
  </si>
  <si>
    <t>luaazul1145@gmail.com</t>
  </si>
  <si>
    <t>cristinaa.hnavarro@gmail.com</t>
  </si>
  <si>
    <t>gabrieldistribuidor2022@gmail.com</t>
  </si>
  <si>
    <t>wiliancabanillasv@gmail.com</t>
  </si>
  <si>
    <t>paolags0705@gmail.com</t>
  </si>
  <si>
    <t>ezuardoramirezrocha@gmail.com</t>
  </si>
  <si>
    <t>tsigaperu@gmail.com</t>
  </si>
  <si>
    <t>ronaldismino@gmail.com</t>
  </si>
  <si>
    <t>lead_gen-megaevento_15.11-ppto_diario-colombia</t>
  </si>
  <si>
    <t>soportecaminovivo@gmail.com</t>
  </si>
  <si>
    <t>patriciotappan@gmail.com</t>
  </si>
  <si>
    <t>ztkorim@gmail.com</t>
  </si>
  <si>
    <t>mochicanetworks@gmail.com</t>
  </si>
  <si>
    <t>asmeth@1pit.mx</t>
  </si>
  <si>
    <t>claudecicosta76@gmail.com</t>
  </si>
  <si>
    <t>boccarlo84@gmail.com</t>
  </si>
  <si>
    <t>cristofer@bolanos.pe</t>
  </si>
  <si>
    <t>wikistoreone@gmail.com</t>
  </si>
  <si>
    <t>yair_jam@hotmail.com</t>
  </si>
  <si>
    <t>youtube / yt_video_description</t>
  </si>
  <si>
    <t>fran110255@gmail.com</t>
  </si>
  <si>
    <t>jaime.gaveland@gmail.com</t>
  </si>
  <si>
    <t>anderson20ql@gmail.com</t>
  </si>
  <si>
    <t>luxo.de.unhas@hotmail.com</t>
  </si>
  <si>
    <t>shamaraldave@hotmail.com</t>
  </si>
  <si>
    <t>info@kallpashop.com.pe</t>
  </si>
  <si>
    <t>app.queiroz@protonmail.com</t>
  </si>
  <si>
    <t>comercialuzzamari@gmail.com</t>
  </si>
  <si>
    <t>adriazolaceci@gmail.com</t>
  </si>
  <si>
    <t>marcosjosegv2025@gmail.com</t>
  </si>
  <si>
    <t>nicolasgonzalesmilla@gmail.com</t>
  </si>
  <si>
    <t>mosaniart01@gmail.com</t>
  </si>
  <si>
    <t>lukayres80@gmail.com</t>
  </si>
  <si>
    <t>rosa.isela.alvarez2012@gmail.com</t>
  </si>
  <si>
    <t>corporacionroca@hotmail.com</t>
  </si>
  <si>
    <t>jpazosch@gmail.com</t>
  </si>
  <si>
    <t>9delmarsmithenriquelauther@gmail.com</t>
  </si>
  <si>
    <t>patitbense@gmail.com</t>
  </si>
  <si>
    <t>adelaabril2019@gmail.com</t>
  </si>
  <si>
    <t>wakcha.peru@gmail.com</t>
  </si>
  <si>
    <t>platakuper@gmail.com</t>
  </si>
  <si>
    <t>contacto@ariasenterprises.pe</t>
  </si>
  <si>
    <t>ypersonal764@gmail.com</t>
  </si>
  <si>
    <t>adriandelpozo.gedk@gmail.com</t>
  </si>
  <si>
    <t>andresarroyo2802@gmail.com</t>
  </si>
  <si>
    <t>alba.nuevaitalia.reservas@gmail.com</t>
  </si>
  <si>
    <t>vlsanchez9723@hotmail.com</t>
  </si>
  <si>
    <t>belsubu66692@gmail.com</t>
  </si>
  <si>
    <t>vivi.j.s@hotmail.com</t>
  </si>
  <si>
    <t>bgejtransportes@gmail.com</t>
  </si>
  <si>
    <t>florzitastore@hotmail.com</t>
  </si>
  <si>
    <t>isaac07music@gmail.com</t>
  </si>
  <si>
    <t>drbastiansepulveda@gmail.com</t>
  </si>
  <si>
    <t>rosa.uv@gmail.com</t>
  </si>
  <si>
    <t>comercial@fibrasyhebras.com</t>
  </si>
  <si>
    <t>gilmar9531@gmail.com</t>
  </si>
  <si>
    <t>andre.ormeno23@gmail.com</t>
  </si>
  <si>
    <t>vicitaciong085@gmail.com</t>
  </si>
  <si>
    <t>giulianazarpan@gmail.com</t>
  </si>
  <si>
    <t>guillermo.santisteban@zizehost.com</t>
  </si>
  <si>
    <t>mimo.cioccolato@gmail.com</t>
  </si>
  <si>
    <t>WHATSAPP_BUSINESS;ONLINE_STORE;PHYSICAL_STORE;SOCIAL_NETWORKS</t>
  </si>
  <si>
    <t>dolorestavaresmiranda@gmail.com</t>
  </si>
  <si>
    <t>jim.santisteban@gmail.com</t>
  </si>
  <si>
    <t>suporte@brunaarguello.com.br</t>
  </si>
  <si>
    <t>cspinturascivil@gmail.com</t>
  </si>
  <si>
    <t>NONE;WHATSAPP_BUSINESS</t>
  </si>
  <si>
    <t>mnonato@smarthrlatam.com</t>
  </si>
  <si>
    <t>cachuchasyrecuerdomx@gmail.com</t>
  </si>
  <si>
    <t>copegracesrl.ventas@gmail.com</t>
  </si>
  <si>
    <t>sergio_ser@live.com</t>
  </si>
  <si>
    <t>rvillalobos78777@gmail.com</t>
  </si>
  <si>
    <t>valeriaespinoza1993@gmail.com</t>
  </si>
  <si>
    <t>mokalin@icloud.com</t>
  </si>
  <si>
    <t>verdecora.pe@gmail.com</t>
  </si>
  <si>
    <t>lupiz14ed@gmail.com</t>
  </si>
  <si>
    <t>importacionesvalient@gmail.com</t>
  </si>
  <si>
    <t>marial@yavendio.com</t>
  </si>
  <si>
    <t>inmueblek25@gmail.com</t>
  </si>
  <si>
    <t>lizzypretty@hoymail.com</t>
  </si>
  <si>
    <t>orlando233@hotmail.com</t>
  </si>
  <si>
    <t>anasueng.123@gmail.com</t>
  </si>
  <si>
    <t>amaral.consultoria21@gmail.com</t>
  </si>
  <si>
    <t>garagem.415.estetica.automotiva@gmail.com</t>
  </si>
  <si>
    <t>reyesfallacarlosalberto@gmail.com</t>
  </si>
  <si>
    <t>SOCIAL_NETWORKS;WHATSAPP_BUSINESS;ONLINE_STORE;PHYSICAL_STORE</t>
  </si>
  <si>
    <t>gpeuzinho43@gmail.com</t>
  </si>
  <si>
    <t>NONE;SOCIAL_NETWORKS</t>
  </si>
  <si>
    <t>alejrodsal@gmail.com</t>
  </si>
  <si>
    <t>whatsapp / none</t>
  </si>
  <si>
    <t>renataribeiroferreira@gmail.com</t>
  </si>
  <si>
    <t>laurataparabecket@gmail.com</t>
  </si>
  <si>
    <t>cruzstoreofficial53@gmail.com</t>
  </si>
  <si>
    <t>geocristo69@gmail.com</t>
  </si>
  <si>
    <t>riosg0901@gmail.com</t>
  </si>
  <si>
    <t>tunuevoreto@gmail.com</t>
  </si>
  <si>
    <t>robertocornejos38@gmail.com</t>
  </si>
  <si>
    <t>alissanro011@gmail.com</t>
  </si>
  <si>
    <t>bossgus@me.com</t>
  </si>
  <si>
    <t>juan.rojas@mail.com</t>
  </si>
  <si>
    <t>carlitazarate@hotmail.com</t>
  </si>
  <si>
    <t>donmekia@gmail.com</t>
  </si>
  <si>
    <t>neymarjraquino@gmail.com</t>
  </si>
  <si>
    <t>piero.lavado.30@gmail.com</t>
  </si>
  <si>
    <t>gedem.peru@gmail.com</t>
  </si>
  <si>
    <t>brancopj1234@gmail.com</t>
  </si>
  <si>
    <t>NONE;PHYSICAL_STORE</t>
  </si>
  <si>
    <t>jpeventsperu@gmail.com</t>
  </si>
  <si>
    <t>juarezelvis9@gmail.com</t>
  </si>
  <si>
    <t>valdiviafiorella662@gmail.com</t>
  </si>
  <si>
    <t>uchivalencia@hotmail.com</t>
  </si>
  <si>
    <t>ecomae2022@gmail.com</t>
  </si>
  <si>
    <t>javierpinto.mail@gmail.com</t>
  </si>
  <si>
    <t>malenachd@hotmail.com</t>
  </si>
  <si>
    <t>katiafortunatti@gmail.com</t>
  </si>
  <si>
    <t>danieljgf123@gmail.com</t>
  </si>
  <si>
    <t>juparuamazon3063@gmail.com</t>
  </si>
  <si>
    <t>jaycobcalebpu@gmail.com</t>
  </si>
  <si>
    <t>coralantuane@gmail.com</t>
  </si>
  <si>
    <t>angely@cliclatam.com</t>
  </si>
  <si>
    <t>reinamonasterio1@hotmail.com</t>
  </si>
  <si>
    <t>abogadoarmando.bernal@gmail.com</t>
  </si>
  <si>
    <t>lopessouza2909@gmail.com</t>
  </si>
  <si>
    <t>giovannihp26@gmail.com</t>
  </si>
  <si>
    <t>tavicon@hotmail.com</t>
  </si>
  <si>
    <t>luisausejom@gmail.com</t>
  </si>
  <si>
    <t>casa_omar@yahoo.es</t>
  </si>
  <si>
    <t>jorgeluisvasquez1996@gmail.com</t>
  </si>
  <si>
    <t>braddtorres@gmail.com</t>
  </si>
  <si>
    <t>YAHOO</t>
  </si>
  <si>
    <t>renato.ismael@hotmail.com</t>
  </si>
  <si>
    <t>WHATSAPP_BUSINESS;PHYSICAL_STORE;SOCIAL_NETWORKS</t>
  </si>
  <si>
    <t>andresaldana177@gmail.com</t>
  </si>
  <si>
    <t>casv1927@gmail.com</t>
  </si>
  <si>
    <t>acn@ecosus.mx</t>
  </si>
  <si>
    <t>eufranciscomiranda@gmail.com</t>
  </si>
  <si>
    <t>elencantodelrioutcubamba@gmail.com</t>
  </si>
  <si>
    <t>yeam2277@gmail.com</t>
  </si>
  <si>
    <t>OFFLINE</t>
  </si>
  <si>
    <t>alex198343@gmail.com</t>
  </si>
  <si>
    <t>brianleon1004@gmail.com</t>
  </si>
  <si>
    <t>davidvelfaus@gmail.com</t>
  </si>
  <si>
    <t>jorgeflores2810@gmail.com</t>
  </si>
  <si>
    <t>teuscaetano@gmail.com</t>
  </si>
  <si>
    <t>elyduenaslicona@gmail.com</t>
  </si>
  <si>
    <t>jimmydavidr@gmail.com</t>
  </si>
  <si>
    <t>edaramiz@gmail.com</t>
  </si>
  <si>
    <t>miriamrospigliosi@hotmail.com</t>
  </si>
  <si>
    <t>rhodaanioke19@gmail.com</t>
  </si>
  <si>
    <t>jerzontp1@gmail.com</t>
  </si>
  <si>
    <t>isaiasmega3@gmail.com</t>
  </si>
  <si>
    <t>votormatheusnazario@gmail.com</t>
  </si>
  <si>
    <t>adanig.oficial@gmail.com</t>
  </si>
  <si>
    <t>solutecme1.ags@gmail.com</t>
  </si>
  <si>
    <t>contacto.zavala7@gmail.com</t>
  </si>
  <si>
    <t>rony2000hebert@gmail.com</t>
  </si>
  <si>
    <t>28999137954y@gmail.com</t>
  </si>
  <si>
    <t>edivaniafranca32@gmail.com</t>
  </si>
  <si>
    <t>renataribeiro1984r@gmail.com</t>
  </si>
  <si>
    <t>aleymirdz@gmail.com</t>
  </si>
  <si>
    <t>rcalvao25@gmail.com</t>
  </si>
  <si>
    <t>viraup@gmail.com</t>
  </si>
  <si>
    <t>quebarbaridadtortasymas@gmail.com</t>
  </si>
  <si>
    <t>pedritochouci@gmail.com</t>
  </si>
  <si>
    <t>campaña webinar - 18/09 - pe - 6pm</t>
  </si>
  <si>
    <t>vendas@rastrekserragaucha.com.br</t>
  </si>
  <si>
    <t>jorgealvarezflores55@gmail.com</t>
  </si>
  <si>
    <t>francyplay.tv@gmail.com</t>
  </si>
  <si>
    <t>aaliagag@outlook.es</t>
  </si>
  <si>
    <t>jonas@agromixagricola.com.br</t>
  </si>
  <si>
    <t>g7studiomusic@gmail.com</t>
  </si>
  <si>
    <t>mobileshoptabasco@gmail.com</t>
  </si>
  <si>
    <t>cdaiana26@gmail.com</t>
  </si>
  <si>
    <t>josekarloscuenca@gmail.com</t>
  </si>
  <si>
    <t>saveramendidelgado@gmail.com</t>
  </si>
  <si>
    <t>glimport.pe@gmail.com</t>
  </si>
  <si>
    <t>whengintecgeos@gmail.com</t>
  </si>
  <si>
    <t>videomagicperu@gmail.com</t>
  </si>
  <si>
    <t>japsmax800@gmail.com</t>
  </si>
  <si>
    <t>lupita10@hotmail.com</t>
  </si>
  <si>
    <t>avdiel13denov@outlook.es</t>
  </si>
  <si>
    <t>papelariaunicornio@gmail.com</t>
  </si>
  <si>
    <t>lilyher07@gmail.com</t>
  </si>
  <si>
    <t>jlkisic@chaccu.pe</t>
  </si>
  <si>
    <t>sergioarturohuaco@gmail.com</t>
  </si>
  <si>
    <t>danielloyalty21@hotmail.com</t>
  </si>
  <si>
    <t>katherinecelestinoparra@gmail.com</t>
  </si>
  <si>
    <t>multi.commerce.peru@gmail.com</t>
  </si>
  <si>
    <t>torrescanales0103@gmail.com</t>
  </si>
  <si>
    <t>allison.mar28@gmail.com</t>
  </si>
  <si>
    <t>mueblumperu@gmail.com</t>
  </si>
  <si>
    <t>susanacarojas@gmail.com</t>
  </si>
  <si>
    <t>daniel.guerra.cam@gmail.com</t>
  </si>
  <si>
    <t>lupercaq@gmail.com</t>
  </si>
  <si>
    <t>jhordansuyonsanchez10@gmail.com</t>
  </si>
  <si>
    <t>jhonnyfv15@gmail.com</t>
  </si>
  <si>
    <t>whatsapp / emprendeshow_group</t>
  </si>
  <si>
    <t>alejodealencar@hotmail.com</t>
  </si>
  <si>
    <t>lcachay@gruposaymat.com</t>
  </si>
  <si>
    <t>omar.quintanaguzman@gmail.com</t>
  </si>
  <si>
    <t>marie_cartf@outlook.com</t>
  </si>
  <si>
    <t>karinachitetafur@gmail.com</t>
  </si>
  <si>
    <t>giulianaegp@gmail.com</t>
  </si>
  <si>
    <t>aprendizajeanzan@gmail.com</t>
  </si>
  <si>
    <t>regysblack@gmail.com</t>
  </si>
  <si>
    <t>carlosfelipe.ag@gmail.com</t>
  </si>
  <si>
    <t>diasporciuncula@gmail.com</t>
  </si>
  <si>
    <t>john.c.zevallos@gmail.com</t>
  </si>
  <si>
    <t>gerardo.c.n60@gmail.com</t>
  </si>
  <si>
    <t>guillermo.benites@pucp.edu.pe</t>
  </si>
  <si>
    <t>sistemas.esppi@gmail.com</t>
  </si>
  <si>
    <t>villegasarcecarlos@gmail.com</t>
  </si>
  <si>
    <t>creyq@proton.me</t>
  </si>
  <si>
    <t>flordemapese67@gmail.com</t>
  </si>
  <si>
    <t>nanai.anya.8@gmail.com</t>
  </si>
  <si>
    <t>mario.zapcol@gmail.com</t>
  </si>
  <si>
    <t>rjimports44@gmail.com</t>
  </si>
  <si>
    <t>amomes2@outlook.com</t>
  </si>
  <si>
    <t>evyka.vb@gmail.com</t>
  </si>
  <si>
    <t>romanss.2502@gmail.com</t>
  </si>
  <si>
    <t>tonyalvario@gmail.com</t>
  </si>
  <si>
    <t>crislany081@gmail.com</t>
  </si>
  <si>
    <t>daniel.manchego@gmail.com</t>
  </si>
  <si>
    <t>lobo17052@gmail.com</t>
  </si>
  <si>
    <t>kelvinlopezmunoz@gmail.com</t>
  </si>
  <si>
    <t>WHATSAPP_BUSINESS;SOCIAL_NETWORKS;PHYSICAL_STORE;ONLINE_STORE;NONE</t>
  </si>
  <si>
    <t>bocanegragarciaw@gmail.com</t>
  </si>
  <si>
    <t>martin.bravo@isysperu.com</t>
  </si>
  <si>
    <t>l.castaneda1079@gmail.com</t>
  </si>
  <si>
    <t>jaqdch@gmail.com</t>
  </si>
  <si>
    <t>moisesoliveira.morais@gmail.com</t>
  </si>
  <si>
    <t>fabiolamkt0201@gmail.com</t>
  </si>
  <si>
    <t>WHATSAPP_BUSINESS;SOCIAL_NETWORKS;PHYSICAL_STORE;ONLINE_STORE</t>
  </si>
  <si>
    <t>maiquelhoch@hotmail.com</t>
  </si>
  <si>
    <t>venusmiaeirl@outlook.com</t>
  </si>
  <si>
    <t>fofuchos1984@gmail.com</t>
  </si>
  <si>
    <t>ig_signup</t>
  </si>
  <si>
    <t>bbaumann@brillare.com.pe</t>
  </si>
  <si>
    <t>veceff.chatgpt1@gmail.com</t>
  </si>
  <si>
    <t>hehabe@gmail.com</t>
  </si>
  <si>
    <t>WHATSAPP_BUSINESS;NONE;PHYSICAL_STORE</t>
  </si>
  <si>
    <t>queirosmoises15@gmail.com</t>
  </si>
  <si>
    <t>contrerasm.franco@gmail.com</t>
  </si>
  <si>
    <t>cristhianz.bosch@gmail.com</t>
  </si>
  <si>
    <t>dzapata@outlook.com.pe</t>
  </si>
  <si>
    <t>Software</t>
  </si>
  <si>
    <t>respond / chat_outbound</t>
  </si>
  <si>
    <t>amayajjc1@gmail.com</t>
  </si>
  <si>
    <t>webinar / chat</t>
  </si>
  <si>
    <t>milerccotacuadros0@gmail.com</t>
  </si>
  <si>
    <t>delperuexport@hotmail.com</t>
  </si>
  <si>
    <t>mayromar.hernandez@margapacas.com</t>
  </si>
  <si>
    <t>cerezaytulipan@gmail.com</t>
  </si>
  <si>
    <t>diegohidalgor20@gmail.com</t>
  </si>
  <si>
    <t>norkalindauno@gmail.com</t>
  </si>
  <si>
    <t>adrianaramon214@gmail.com</t>
  </si>
  <si>
    <t>fernandez121102@gmail.com</t>
  </si>
  <si>
    <t>robersonquinte@gmail.com</t>
  </si>
  <si>
    <t>borsho@hotmail.com</t>
  </si>
  <si>
    <t>rubianaaparecidavieira541@gmail.com</t>
  </si>
  <si>
    <t>argelboys@gmail.com</t>
  </si>
  <si>
    <t>maquinarias.jchc@outlook.com</t>
  </si>
  <si>
    <t>scortooc64@gmail.com</t>
  </si>
  <si>
    <t>admin@ayrsystems.com</t>
  </si>
  <si>
    <t>ivanloyola@outlook.com</t>
  </si>
  <si>
    <t>andruzo2402@hotmail.com</t>
  </si>
  <si>
    <t>dianavalenciavillar1@gmail.com</t>
  </si>
  <si>
    <t>pachamamatour@live.com</t>
  </si>
  <si>
    <t>yimiyc22@gmail.com</t>
  </si>
  <si>
    <t>nanabenavides231@gmail.com</t>
  </si>
  <si>
    <t>vvillavicenciorios@gmail.com</t>
  </si>
  <si>
    <t>lifewatersolucionintegral@gmail.com</t>
  </si>
  <si>
    <t>reyesismael1204@gmail.com</t>
  </si>
  <si>
    <t>yovanigonza20@gmail.com</t>
  </si>
  <si>
    <t>grsydev@gmail.om</t>
  </si>
  <si>
    <t>cesar.geminiia@gmail.com</t>
  </si>
  <si>
    <t>sisaishoes@gmail.com</t>
  </si>
  <si>
    <t>jowifenu@gmail.com</t>
  </si>
  <si>
    <t>rubenyian09@gmail.com</t>
  </si>
  <si>
    <t>joserodolfosequera942@gmail.com</t>
  </si>
  <si>
    <t>emilio.ruben.66@hotmail.com</t>
  </si>
  <si>
    <t>blancodayanaamparo@gmail.com</t>
  </si>
  <si>
    <t>jairfloresjuarez@gmail.com</t>
  </si>
  <si>
    <t>logisticamontenegro4@gmail.com</t>
  </si>
  <si>
    <t>gelnaturalia@gmail.com</t>
  </si>
  <si>
    <t>maluweber2011@hotmail.com</t>
  </si>
  <si>
    <t>ytlafitteremax@gmail.com</t>
  </si>
  <si>
    <t>jeancarlo.guzman.arana@gmail.com</t>
  </si>
  <si>
    <t>soporteonline.tamuperu@gmail.com</t>
  </si>
  <si>
    <t>mayrarompin2025@gmail.com</t>
  </si>
  <si>
    <t>magalysorianoingaroca@gmail.com</t>
  </si>
  <si>
    <t>jorgecotrinaa@gmail.com</t>
  </si>
  <si>
    <t>sotoorjose@gmail.com</t>
  </si>
  <si>
    <t>christianchangh@gmail.com</t>
  </si>
  <si>
    <t>reyserjoselito7@gmail.com</t>
  </si>
  <si>
    <t>libradomartinez08@gmail.com</t>
  </si>
  <si>
    <t>joseceb37@gmail.com</t>
  </si>
  <si>
    <t>jfsolucionesonline@gmail.com</t>
  </si>
  <si>
    <t>almeidawelliton6@gmail.com</t>
  </si>
  <si>
    <t>araujobernardesw@gmail.com</t>
  </si>
  <si>
    <t>msla0415@gmail.com</t>
  </si>
  <si>
    <t>qrofinan@gmail.com</t>
  </si>
  <si>
    <t>jlucho501@gmail.com</t>
  </si>
  <si>
    <t>masaros@hotmail.com</t>
  </si>
  <si>
    <t>moni.osorioa@gmail.com</t>
  </si>
  <si>
    <t>altamiranocabanillasfabian@gmail.com</t>
  </si>
  <si>
    <t>contact@dlrealstate.com</t>
  </si>
  <si>
    <t>abduskanxxx@gmail.com</t>
  </si>
  <si>
    <t>mundosobreruedas12@gmail.com</t>
  </si>
  <si>
    <t>contato@donnaamorapapelaria.com.br</t>
  </si>
  <si>
    <t>dicorp.fama@gmail.com</t>
  </si>
  <si>
    <t>juniorsilva1408@hotmail.com</t>
  </si>
  <si>
    <t>mija991@hotmail.com</t>
  </si>
  <si>
    <t>sornettag@gmail.com</t>
  </si>
  <si>
    <t>pq_parloth@hotmail.com</t>
  </si>
  <si>
    <t>renehonores@gmail.com</t>
  </si>
  <si>
    <t>aservatv@gmail.com</t>
  </si>
  <si>
    <t>syamstreetwearclouth@gmail.com</t>
  </si>
  <si>
    <t>SOCIAL_NETWORKS;WHATSAPP_BUSINESS;ONLINE_STORE</t>
  </si>
  <si>
    <t>guarnicolas@gmail.com</t>
  </si>
  <si>
    <t>melissa.tang.06@outlook.com</t>
  </si>
  <si>
    <t>ebortoni@hotmail.com</t>
  </si>
  <si>
    <t>luighieandre01@gmail.com</t>
  </si>
  <si>
    <t>lecarr08@gmail.com</t>
  </si>
  <si>
    <t>cesarestefanonolascosotelo@gmail.com</t>
  </si>
  <si>
    <t>jhop.aqp@gmail.com</t>
  </si>
  <si>
    <t>df_carol2@hotmail.com</t>
  </si>
  <si>
    <t>ademirapazalazo24@gmail.com</t>
  </si>
  <si>
    <t>fabriciobryanlucca@gmail.com</t>
  </si>
  <si>
    <t>info@erisproductora.com</t>
  </si>
  <si>
    <t>sancrisrestobar@gmail.com</t>
  </si>
  <si>
    <t>diedisondias97@gmail.com</t>
  </si>
  <si>
    <t>fredyyhonyquispeyucra@gmail.com</t>
  </si>
  <si>
    <t>paulohenriqueabreu1995@gmail.com</t>
  </si>
  <si>
    <t>crst4cris@gmail.com</t>
  </si>
  <si>
    <t>aaronvizcardovasquez@gmail.com</t>
  </si>
  <si>
    <t>reyesdario@yahoo.com.mx</t>
  </si>
  <si>
    <t>cjfiguerola@gmail.com</t>
  </si>
  <si>
    <t>rjab0815@gmail.com</t>
  </si>
  <si>
    <t>danilorosati988@gmail.com</t>
  </si>
  <si>
    <t>deleon57cesar@gmail.com</t>
  </si>
  <si>
    <t>majlufgabriel@gmail.com</t>
  </si>
  <si>
    <t>paulohenriky2019@gmail.com</t>
  </si>
  <si>
    <t>cintian296@gmail.com</t>
  </si>
  <si>
    <t>evolucion_sol@hotmail.com</t>
  </si>
  <si>
    <t>kevinbazang@gmail.com</t>
  </si>
  <si>
    <t>saidap178@gmail.com</t>
  </si>
  <si>
    <t>juhfilippini@gmail.com</t>
  </si>
  <si>
    <t>susanavgpenagos@live.com</t>
  </si>
  <si>
    <t>contato@ameparteplanejados.com.br</t>
  </si>
  <si>
    <t>eralinks77@gmail.com</t>
  </si>
  <si>
    <t>santi3185_8@hotmail.com</t>
  </si>
  <si>
    <t>jovemforti@gmail.com</t>
  </si>
  <si>
    <t>SOCIAL_NETWORKS;ONLINE_STORE;NONE</t>
  </si>
  <si>
    <t>alfredo.rossano@gmail.com</t>
  </si>
  <si>
    <t>saricordovatello@gmail.com</t>
  </si>
  <si>
    <t>jose_lu7s@icloud.com</t>
  </si>
  <si>
    <t>patriciaguerraprudencio1234@gmail.com</t>
  </si>
  <si>
    <t>rolandorokas@gmail.com</t>
  </si>
  <si>
    <t>info@moalilab.com</t>
  </si>
  <si>
    <t>salimvat@gmail.com</t>
  </si>
  <si>
    <t>josuedilas@gmail.com</t>
  </si>
  <si>
    <t>dorantes.lara.carlos@gmail.com</t>
  </si>
  <si>
    <t>cardozafloresnestor@gmail.com</t>
  </si>
  <si>
    <t>joaoalarconm@gmail.com</t>
  </si>
  <si>
    <t>juansalcy@gmail.com</t>
  </si>
  <si>
    <t>alix_11pg@hotmail.com</t>
  </si>
  <si>
    <t>alejandromonzon12k@gmail.com</t>
  </si>
  <si>
    <t>harrisonleoncastro@gmail.com</t>
  </si>
  <si>
    <t>esaucg.wings@gmail.com</t>
  </si>
  <si>
    <t>miangel_1221@hotmail.com</t>
  </si>
  <si>
    <t>luisevistpe@gmail.com</t>
  </si>
  <si>
    <t>ONLINE_STORE;SOCIAL_NETWORKS;PHYSICAL_STORE;WHATSAPP_BUSINESS</t>
  </si>
  <si>
    <t>sistema.cafeeet@gmail.com</t>
  </si>
  <si>
    <t>teresajserrano@gmail.com</t>
  </si>
  <si>
    <t>xanka0424@gmail.com</t>
  </si>
  <si>
    <t>elpatron24113@gmail.com</t>
  </si>
  <si>
    <t>alcirmorais@hotmail.com</t>
  </si>
  <si>
    <t>PHYSICAL_STORE;SOCIAL_NETWORKS;WHATSAPP_BUSINESS</t>
  </si>
  <si>
    <t>gregorioescalona@gmail.com</t>
  </si>
  <si>
    <t>WHATSAPP_BUSINESS;PHYSICAL_STORE;ONLINE_STORE;SOCIAL_NETWORKS</t>
  </si>
  <si>
    <t>marialuciaotoyafort@icloud.com</t>
  </si>
  <si>
    <t>pomar047@gmail.com</t>
  </si>
  <si>
    <t>oscartespejo@gmail.com</t>
  </si>
  <si>
    <t>homecineba@gmail.com</t>
  </si>
  <si>
    <t>mrojasy20@gmail.com</t>
  </si>
  <si>
    <t>drgindustriesco@gmail.com</t>
  </si>
  <si>
    <t>suzandezo15@gmail.com</t>
  </si>
  <si>
    <t>joaoebergamo@gmail.com</t>
  </si>
  <si>
    <t>monzonlisbeth0@gmail.com</t>
  </si>
  <si>
    <t>raimundosilva160895@gmail.com</t>
  </si>
  <si>
    <t>rmacossay@gmail.com</t>
  </si>
  <si>
    <t>edvaldoconrado1971@outlook.com</t>
  </si>
  <si>
    <t>daiana.moorena@gmail.com</t>
  </si>
  <si>
    <t>banv1991@gmail.com</t>
  </si>
  <si>
    <t>rosanasousa2904@gmail.com</t>
  </si>
  <si>
    <t>josmarleyj14@gmail.com</t>
  </si>
  <si>
    <t>diegoguiop3579@gmail.com</t>
  </si>
  <si>
    <t>unfoldingnewera@gmail.com</t>
  </si>
  <si>
    <t>sanmelmar@gmail.com</t>
  </si>
  <si>
    <t>donfma7@gmail.com</t>
  </si>
  <si>
    <t>patty36_2001@hotmail.com</t>
  </si>
  <si>
    <t>jlms.pepe.26@gmail.com</t>
  </si>
  <si>
    <t>anderson.villarm@gmail.com</t>
  </si>
  <si>
    <t>leslymeregildo4@gmail.com</t>
  </si>
  <si>
    <t>marcioromao125@gmail.com</t>
  </si>
  <si>
    <t>uelitonluciano321@gmail.com</t>
  </si>
  <si>
    <t>rosivaldomiiranda@gmail.com</t>
  </si>
  <si>
    <t>Dropshipping / Tienda de productos variados</t>
  </si>
  <si>
    <t>fotostudiovisionoficial@gmail.com</t>
  </si>
  <si>
    <t>walterfcf1987@gmail.com</t>
  </si>
  <si>
    <t>kignbu@gmail.com</t>
  </si>
  <si>
    <t>a.villalta.m@gmail.com</t>
  </si>
  <si>
    <t>elgrueso0408@hotmail.com</t>
  </si>
  <si>
    <t>wainereis7@gmail.com</t>
  </si>
  <si>
    <t>slacruzg@gmail.com</t>
  </si>
  <si>
    <t>javierestrada67@hotmail.com</t>
  </si>
  <si>
    <t>asesconta_eirl@hotmail.com</t>
  </si>
  <si>
    <t>mferran1974@gmail.com</t>
  </si>
  <si>
    <t>romerosamanezi@gmail.com</t>
  </si>
  <si>
    <t>refrimasf_buzo@yahoo.es</t>
  </si>
  <si>
    <t>layout1@gmail.com</t>
  </si>
  <si>
    <t>Restaurantes, inmobiliarias, consultorías &amp; servicios</t>
  </si>
  <si>
    <t>mariachimexicotrovador@gmail.com</t>
  </si>
  <si>
    <t>rivasnoriegajavier@hotmail.com</t>
  </si>
  <si>
    <t>namiegerbi47@gmail.com</t>
  </si>
  <si>
    <t>Moda y Accesorios</t>
  </si>
  <si>
    <t>henry.gomez@centralcallperu.com</t>
  </si>
  <si>
    <t>cexicalderon7526@gmail.com</t>
  </si>
  <si>
    <t>vesgadelvina@gmail.com</t>
  </si>
  <si>
    <t>yeison03517@gmail.com</t>
  </si>
  <si>
    <t>miguelarmandomagallanesramos@gmail.com</t>
  </si>
  <si>
    <t>aesita@hotmail.com</t>
  </si>
  <si>
    <t>danielsfc55@gmail.com</t>
  </si>
  <si>
    <t>moises.mix888@gmail.com</t>
  </si>
  <si>
    <t>rosangelaaragao2018@gmail.com</t>
  </si>
  <si>
    <t>lifepapelaria@hotmail.com</t>
  </si>
  <si>
    <t>bandaramon03@gmail.com</t>
  </si>
  <si>
    <t>abrahamnum369@yahoo.com</t>
  </si>
  <si>
    <t>mariadelaluzmatacruz@gmail.com</t>
  </si>
  <si>
    <t>lourisvaldo.elias@bol.com.br</t>
  </si>
  <si>
    <t>jlopezp07@gmail.com</t>
  </si>
  <si>
    <t>johandrl415@gmail.com</t>
  </si>
  <si>
    <t>vibepapelaria@gmail.com</t>
  </si>
  <si>
    <t>PAID_SEARCH</t>
  </si>
  <si>
    <t>Unknown keywords (SSL)</t>
  </si>
  <si>
    <t>lobanaart@gmail.com</t>
  </si>
  <si>
    <t>evento / influencer</t>
  </si>
  <si>
    <t>gfernandes1408@gmail.com</t>
  </si>
  <si>
    <t>Servicios</t>
  </si>
  <si>
    <t>biancajeruzanicolaujeruza@gmail.com</t>
  </si>
  <si>
    <t>modainfantilgirafafa@gmail.com</t>
  </si>
  <si>
    <t>eduardo.victor.dourado@gmail.com</t>
  </si>
  <si>
    <t>herman_1997_21@hotmail.com</t>
  </si>
  <si>
    <t>gtcom.constructor@gmail.com</t>
  </si>
  <si>
    <t>tcoronelguerrero@gmail.com</t>
  </si>
  <si>
    <t>kristellangelina.040220@gmail.com</t>
  </si>
  <si>
    <t>aldair67432@gmail.com</t>
  </si>
  <si>
    <t>franciscoplumeda069@gmail.com</t>
  </si>
  <si>
    <t>genejamesestrella@gmail.com</t>
  </si>
  <si>
    <t>c.molinah1980@gmail.com</t>
  </si>
  <si>
    <t>alexiscmfl@gmail.com</t>
  </si>
  <si>
    <t>diegojordan2222@gmail.com</t>
  </si>
  <si>
    <t>cocilab10@hotmail.com</t>
  </si>
  <si>
    <t>kleysonvasquezolano@gmail.com</t>
  </si>
  <si>
    <t>davidmilla2803@gmail.com</t>
  </si>
  <si>
    <t>jorge.luna201058@gmail.com</t>
  </si>
  <si>
    <t>paolahuertazegarra@gmail.com</t>
  </si>
  <si>
    <t>alanagustintl@gmail.com</t>
  </si>
  <si>
    <t>jabela@hotmail.com</t>
  </si>
  <si>
    <t>jhonborjacarhuaz@gmail.com</t>
  </si>
  <si>
    <t>albertomendez198000@gmail.com</t>
  </si>
  <si>
    <t>lizartea@hotmail.com</t>
  </si>
  <si>
    <t>carnesecaleondeldesierto@hotmail.com</t>
  </si>
  <si>
    <t>rebecaparedes20@gmail.com</t>
  </si>
  <si>
    <t>magallas@gmail.com</t>
  </si>
  <si>
    <t>rivb1983@gmail.com</t>
  </si>
  <si>
    <t>glnpubliservicios@gmail.com</t>
  </si>
  <si>
    <t>publizam@yahoo.com.pe</t>
  </si>
  <si>
    <t>lucaspavelprado@gmail.com</t>
  </si>
  <si>
    <t>scj1123villalba@gmail.com</t>
  </si>
  <si>
    <t>leads | webinar | enero 2025 | peru | forms</t>
  </si>
  <si>
    <t>internetencasamx@gmail.com</t>
  </si>
  <si>
    <t>miguelangelferminibeltran@gmail.com</t>
  </si>
  <si>
    <t>nacyrmz@gmail.com</t>
  </si>
  <si>
    <t>erickpizarro@outlook.com</t>
  </si>
  <si>
    <t>WHATSAPP_BUSINESS;PHYSICAL_STORE;ONLINE_STORE</t>
  </si>
  <si>
    <t>jorgebusgib@gmail.com</t>
  </si>
  <si>
    <t>secretariadoymarchaurel@gmail.com</t>
  </si>
  <si>
    <t>sheryguerra99@gmail.com</t>
  </si>
  <si>
    <t>marcelokarras@gmail.com</t>
  </si>
  <si>
    <t>corpreylezsac@gmail.com</t>
  </si>
  <si>
    <t>coronelrodriguezl82@gmail.com</t>
  </si>
  <si>
    <t>eunice.maytan@gmail.com</t>
  </si>
  <si>
    <t>gerrypizarro@outlook.com</t>
  </si>
  <si>
    <t>varchi1982@gmail.com</t>
  </si>
  <si>
    <t>raianeluciana167@gmail.com</t>
  </si>
  <si>
    <t>wilcar2000@gmail.com</t>
  </si>
  <si>
    <t>deivid30777@gmail.com</t>
  </si>
  <si>
    <t>coronelmolero@outlook.es</t>
  </si>
  <si>
    <t>evabienesraices70@gmail.com</t>
  </si>
  <si>
    <t>massrijirge319@gmail.com</t>
  </si>
  <si>
    <t>creatingjh@gmail.com</t>
  </si>
  <si>
    <t>alexcq.seo@gmail.com</t>
  </si>
  <si>
    <t>fritzhr58@gmail.com</t>
  </si>
  <si>
    <t>importexportrodrenco@gmail.com</t>
  </si>
  <si>
    <t>arturo.ramirez.m35@gmail.com</t>
  </si>
  <si>
    <t>flores.mauriciof40@gmail.com</t>
  </si>
  <si>
    <t>lsilvag@pj.gob.pe</t>
  </si>
  <si>
    <t>industriasalimentarias2012@gmail.com</t>
  </si>
  <si>
    <t>gabrielbarrales@yahoo.com.mx</t>
  </si>
  <si>
    <t>cayoavilac1802@gmail.com</t>
  </si>
  <si>
    <t>tomsaa8520@gmail.com</t>
  </si>
  <si>
    <t>storecolombia29@gmail.com</t>
  </si>
  <si>
    <t>luiseduardo2328@msn.com</t>
  </si>
  <si>
    <t>diogenessfilho2014@gmail.com</t>
  </si>
  <si>
    <t>ccasainmobiliariacm@gmail.com</t>
  </si>
  <si>
    <t>epachas00@gmail.com</t>
  </si>
  <si>
    <t>99992025679elzivanbarbosacorreia3@gmail.com</t>
  </si>
  <si>
    <t>eduardokevin_321@hotmail.com</t>
  </si>
  <si>
    <t>oscar.silva@holaamigo.ai</t>
  </si>
  <si>
    <t>ramirezsintya6@gemail.com</t>
  </si>
  <si>
    <t>mauriciorogelioc270@gmail.com</t>
  </si>
  <si>
    <t>tricia.almeida.produtora03@gmail.com</t>
  </si>
  <si>
    <t>valdo.corretordeimoveis@gmail.com</t>
  </si>
  <si>
    <t>marrerosvallesj@gmail.com</t>
  </si>
  <si>
    <t>spardo3007@gmail.com</t>
  </si>
  <si>
    <t>joel.rodriguez@domedicperugroup.com</t>
  </si>
  <si>
    <t>fabianc@yaveendio.com</t>
  </si>
  <si>
    <t>adrianaesther.eams@gmail.com</t>
  </si>
  <si>
    <t>canchiswalter4@gmail.com</t>
  </si>
  <si>
    <t>calcadosmontez@gmail.com</t>
  </si>
  <si>
    <t>maryvieiradias10@gmail.com</t>
  </si>
  <si>
    <t>mannygonzalez8388@gmail.com</t>
  </si>
  <si>
    <t>joseandreslimaymantahernandez@gmail.com</t>
  </si>
  <si>
    <t>robertoradioitaipu@hotmail.com</t>
  </si>
  <si>
    <t>msalinas@imacosa.com</t>
  </si>
  <si>
    <t>yashacpalacios@yavendio.com</t>
  </si>
  <si>
    <t>flashesememorias@gmail.com</t>
  </si>
  <si>
    <t>fabracostasc@gmail.com</t>
  </si>
  <si>
    <t>luismatta19778@gmail.com</t>
  </si>
  <si>
    <t>p2stravelsandoval19@gmail.com</t>
  </si>
  <si>
    <t>SOCIAL_NETWORKS;NONE</t>
  </si>
  <si>
    <t>patrickzucan@hotmail.com</t>
  </si>
  <si>
    <t>jcgolguin@gmail.com</t>
  </si>
  <si>
    <t>tequilacastadereyes@gmail.com</t>
  </si>
  <si>
    <t>padillaalvarez777@gmail.com</t>
  </si>
  <si>
    <t>pradopaviasmariadejesus@gmail.com</t>
  </si>
  <si>
    <t>oa988342@gmail.com</t>
  </si>
  <si>
    <t>verodiaznoel2021@gmail.com</t>
  </si>
  <si>
    <t>govida1823@gmail.com</t>
  </si>
  <si>
    <t>rafacastro1505@gmail.com</t>
  </si>
  <si>
    <t>yhosnoa30@gmail.com</t>
  </si>
  <si>
    <t>tatysolrasta@gmail.com</t>
  </si>
  <si>
    <t>maestri601@gmail.com</t>
  </si>
  <si>
    <t>mpomr1111@gmail.com</t>
  </si>
  <si>
    <t>d.jtaipeq@gmail.com</t>
  </si>
  <si>
    <t>jairoazaelrodri@gmail.com</t>
  </si>
  <si>
    <t>tortasgianjorge@gmail.com</t>
  </si>
  <si>
    <t>flypantergold@gmail.com</t>
  </si>
  <si>
    <t>emigdiozambrano11@gmail.com</t>
  </si>
  <si>
    <t>neurivaldorsouza@gmail.com</t>
  </si>
  <si>
    <t>lucio.yen@yavendio.com</t>
  </si>
  <si>
    <t>mrosadio@spi.com.pe</t>
  </si>
  <si>
    <t>5 a 10</t>
  </si>
  <si>
    <t>elviotintaya@gmail.com</t>
  </si>
  <si>
    <t>robertfire110@gmail.com</t>
  </si>
  <si>
    <t>renesoto640312@gmail.com</t>
  </si>
  <si>
    <t>apgm2050@gmail.com</t>
  </si>
  <si>
    <t>pilarcastromendivil@gmail.com</t>
  </si>
  <si>
    <t>cocopizarro@gmail.com</t>
  </si>
  <si>
    <t>argeliahernandezdiaz2@gmail.com</t>
  </si>
  <si>
    <t>danilodavilapezo@gmail.com</t>
  </si>
  <si>
    <t>almalaura1269@gmail.com</t>
  </si>
  <si>
    <t>thalitacastro162@gmail.com</t>
  </si>
  <si>
    <t>igrimaldo35@gmail.com</t>
  </si>
  <si>
    <t>elardponce1975@gmail.com</t>
  </si>
  <si>
    <t>joserobertorengifodiaz@hotmail.com</t>
  </si>
  <si>
    <t>genesis_star_10@hotmail.com</t>
  </si>
  <si>
    <t>rr00eell2017@gmail.com</t>
  </si>
  <si>
    <t>impulsor.100@gmail.com</t>
  </si>
  <si>
    <t>segovia24adriano@gmail.com</t>
  </si>
  <si>
    <t>ivan.camcruz@gmail.com</t>
  </si>
  <si>
    <t>taurojvz6@gmail.com</t>
  </si>
  <si>
    <t>jeferssonadri2012@gmail.com</t>
  </si>
  <si>
    <t>dinar_taypep@hotmail.com</t>
  </si>
  <si>
    <t>amaralespinoza25@gmail.com</t>
  </si>
  <si>
    <t>lugofema2025@gmail.com</t>
  </si>
  <si>
    <t>yolis.terapia7@gmail.com</t>
  </si>
  <si>
    <t>PHYSICAL_STORE;ONLINE_STORE</t>
  </si>
  <si>
    <t>leads | webinar | enero 2025 | mexico | forms</t>
  </si>
  <si>
    <t>jcarlos220565@gmail.com</t>
  </si>
  <si>
    <t>cyberplay.com.mx@gmail.com</t>
  </si>
  <si>
    <t>PHYSICAL_STORE;NONE</t>
  </si>
  <si>
    <t>jhelwer@gmail.com</t>
  </si>
  <si>
    <t>WHATSAPP_BUSINESS;NONE;SOCIAL_NETWORKS;ONLINE_STORE</t>
  </si>
  <si>
    <t>carrilloangie845@gmail.com</t>
  </si>
  <si>
    <t>miguelquispegonzales@gmail.com</t>
  </si>
  <si>
    <t>lucicleiasilvasouza59@gmail.com</t>
  </si>
  <si>
    <t>jjpedrazab@gmail.com</t>
  </si>
  <si>
    <t>lead_gen-megaevento_02.12-ppto_diario-mx</t>
  </si>
  <si>
    <t>lazaroponce.asesor@gmail.com</t>
  </si>
  <si>
    <t>milange5977@gmail.com</t>
  </si>
  <si>
    <t>mpinedag@prodigy.net.mx</t>
  </si>
  <si>
    <t>juanantoniomartinezbarros@gmail.com</t>
  </si>
  <si>
    <t>darkstudiocreationsx@gmail.com</t>
  </si>
  <si>
    <t>ingridrch0@gmail.com</t>
  </si>
  <si>
    <t>veronicacooking72@gmail.com</t>
  </si>
  <si>
    <t>angelo.311298@gmail.com</t>
  </si>
  <si>
    <t>toni_8669@hotmail.com</t>
  </si>
  <si>
    <t>valdeirrocha@gmail.com</t>
  </si>
  <si>
    <t>lopezrjorge1@yahoo.com.mx</t>
  </si>
  <si>
    <t>megaeasydrop2026@gmail.com</t>
  </si>
  <si>
    <t>dsadelita@gmail.com</t>
  </si>
  <si>
    <t>orionyaurora@gmail.com</t>
  </si>
  <si>
    <t>albertogaraundo@gmail.com</t>
  </si>
  <si>
    <t>carlosrevillaab@gmail.com</t>
  </si>
  <si>
    <t>red.davidsotelo@hotmail.com</t>
  </si>
  <si>
    <t>donovandavid057@gmail.com</t>
  </si>
  <si>
    <t>juancachay839@gmail.com</t>
  </si>
  <si>
    <t>tukasa.ver@gmail.com</t>
  </si>
  <si>
    <t>galexparra.apv@gmail.com</t>
  </si>
  <si>
    <t>janetbarnet0729@gmail.com</t>
  </si>
  <si>
    <t>conscienciasistemicabrilla@gmail.com</t>
  </si>
  <si>
    <t>luisfernandomaldonadofranco6@gmail.com</t>
  </si>
  <si>
    <t>maysilva5787you@gmail.com</t>
  </si>
  <si>
    <t>chelorsdrop@gmail.com</t>
  </si>
  <si>
    <t>control.calidad@consultorahasv.com</t>
  </si>
  <si>
    <t>limaozinhodoce123@gmail.com</t>
  </si>
  <si>
    <t>emmanuel.zavaleta.arenas@gmail.com</t>
  </si>
  <si>
    <t>milverpaitan@gmail.com</t>
  </si>
  <si>
    <t>lonuevostoreperu@gmail.com</t>
  </si>
  <si>
    <t>miguelangelperezcampos31@gmail.com</t>
  </si>
  <si>
    <t>darnielcaceres13@gmail.com</t>
  </si>
  <si>
    <t>xxspartanxx58@gmail.com</t>
  </si>
  <si>
    <t>fernandobattistini18@gmail.com</t>
  </si>
  <si>
    <t>carlota.tecvendas74@gmail.com</t>
  </si>
  <si>
    <t>fsestari93@gmail.com</t>
  </si>
  <si>
    <t>dipetaloco@gmail.com</t>
  </si>
  <si>
    <t>mbaez.export@gmail.com</t>
  </si>
  <si>
    <t>danyfiorellaz@gmail.com</t>
  </si>
  <si>
    <t>pjmcpe1@gmail.com</t>
  </si>
  <si>
    <t>yazini.flores@mercargosac.com</t>
  </si>
  <si>
    <t>jeanrosamistica5831@gmail.com</t>
  </si>
  <si>
    <t>ds7886559@gmail.com</t>
  </si>
  <si>
    <t>adamapma1@gmail.com</t>
  </si>
  <si>
    <t>margorie.alvites@gmail.com</t>
  </si>
  <si>
    <t>policas2165@gmail.com</t>
  </si>
  <si>
    <t>oswaldo1976e@gmail.com</t>
  </si>
  <si>
    <t>lavacayoghee@gmail.com</t>
  </si>
  <si>
    <t>newealenochoa1@outlook.com</t>
  </si>
  <si>
    <t>jpg_grey100@hotmail.com</t>
  </si>
  <si>
    <t>karlavieira705@gmail.com</t>
  </si>
  <si>
    <t>jv1632995@gmail.com</t>
  </si>
  <si>
    <t>travelssunmoon@hotmail.com</t>
  </si>
  <si>
    <t>jmaldoradin27@gmail.com</t>
  </si>
  <si>
    <t>lizpamelasp@gmail.com</t>
  </si>
  <si>
    <t>martin.leon.medina799@gmail.com</t>
  </si>
  <si>
    <t>alexadriano14df@gmail.com</t>
  </si>
  <si>
    <t>pabs.ventas25@gmail.com</t>
  </si>
  <si>
    <t>oinderortiz@gmail.com</t>
  </si>
  <si>
    <t>julietap7@yahoo.es</t>
  </si>
  <si>
    <t>chavarriarichard76@gmail.com</t>
  </si>
  <si>
    <t>arturomercadotecnia20@gmail.com</t>
  </si>
  <si>
    <t>chapopuccecristhiab@gmail.com</t>
  </si>
  <si>
    <t>josueuscatalima456@gmail.com</t>
  </si>
  <si>
    <t>marinolokito100@gmail.com</t>
  </si>
  <si>
    <t>sergioempreedimento@gmail.com</t>
  </si>
  <si>
    <t>perlitamishelrios@gmail.com</t>
  </si>
  <si>
    <t>cardosomonica109@gmail.com</t>
  </si>
  <si>
    <t>jdada9592@gmail.com</t>
  </si>
  <si>
    <t>kevimozombite@gmail.com</t>
  </si>
  <si>
    <t>edgarestevez.7@gmail.com</t>
  </si>
  <si>
    <t>garrafutbolchih@hotmail.com</t>
  </si>
  <si>
    <t>sevarchi2027@gmail.com</t>
  </si>
  <si>
    <t>paisajismo290@gmail.com</t>
  </si>
  <si>
    <t>salazarsilva5@gmail.com</t>
  </si>
  <si>
    <t>gabrielakrolinam1501@gmail.com</t>
  </si>
  <si>
    <t>perezvelezdevillajeanpaul@gmail.com</t>
  </si>
  <si>
    <t>moy277777@gmail.com</t>
  </si>
  <si>
    <t>edgarguillen1@gmail.com</t>
  </si>
  <si>
    <t>alcederbarrerarivera767@gmail.com</t>
  </si>
  <si>
    <t>michaelmh365@gmail.com</t>
  </si>
  <si>
    <t>penguinstorelatam@gmail.com</t>
  </si>
  <si>
    <t>omarengifotuesta@gmail.com</t>
  </si>
  <si>
    <t>shicbes@gmail.com</t>
  </si>
  <si>
    <t>yajairacardenas83@gmail.com</t>
  </si>
  <si>
    <t>alexandrasainez@gmail.com</t>
  </si>
  <si>
    <t>diegosepjimz@gmail.com</t>
  </si>
  <si>
    <t>juansixtoclavijoalvines199@gmail.com</t>
  </si>
  <si>
    <t>nathalyrequenag@gmail.com</t>
  </si>
  <si>
    <t>domingocl77@gmail.com</t>
  </si>
  <si>
    <t>rosa@rymtextiles.net</t>
  </si>
  <si>
    <t>soportealexis5@gmail.com</t>
  </si>
  <si>
    <t>icla12@hotmail.com</t>
  </si>
  <si>
    <t>nayusouza2@gmail.com</t>
  </si>
  <si>
    <t>wendy.rueda@outlook.com</t>
  </si>
  <si>
    <t>cesarjar7568@gmail.com</t>
  </si>
  <si>
    <t>paco_nava11@hotmail.com</t>
  </si>
  <si>
    <t>cleomarmendes49@gmail.com</t>
  </si>
  <si>
    <t>alang@yavendio.com</t>
  </si>
  <si>
    <t>userId:85569856</t>
  </si>
  <si>
    <t>marii_mdc10@hotmail.com</t>
  </si>
  <si>
    <t>jhonatanbauer21@gmail.com</t>
  </si>
  <si>
    <t>maateus321@gmail.com</t>
  </si>
  <si>
    <t>elsitamg294@gmail.com</t>
  </si>
  <si>
    <t>victordna4@gmail.com</t>
  </si>
  <si>
    <t>cubasportalj@gmail.com</t>
  </si>
  <si>
    <t>pepo05623@gmail.com</t>
  </si>
  <si>
    <t>lissettegomeroq@gmail.com</t>
  </si>
  <si>
    <t>yefer111184@gmail.com</t>
  </si>
  <si>
    <t>rubeomgcristian@gmail.com</t>
  </si>
  <si>
    <t>cristianarriluceaalvarez@gmail.com</t>
  </si>
  <si>
    <t>jb56sandin@gmail.com</t>
  </si>
  <si>
    <t>vivianesantana88737@gmail.com.br</t>
  </si>
  <si>
    <t>bety19822125@gmail.com</t>
  </si>
  <si>
    <t>blanca06182527@gmail.com</t>
  </si>
  <si>
    <t>angel.abreu.picon@gmail.com</t>
  </si>
  <si>
    <t>lopeztenazoasamir@gmail.com</t>
  </si>
  <si>
    <t>lg_gbyrne@hotmail.com</t>
  </si>
  <si>
    <t>carmrlita216@gmail.com</t>
  </si>
  <si>
    <t>martinkongm@gmail.com</t>
  </si>
  <si>
    <t>farid2203xd@gmail.com</t>
  </si>
  <si>
    <t>gianz.ancori@gmail.com</t>
  </si>
  <si>
    <t>gfmancha@gmail.com</t>
  </si>
  <si>
    <t>andres.castro957@gmail.com</t>
  </si>
  <si>
    <t>083106zapata@gmail.com</t>
  </si>
  <si>
    <t>admin@cliclatam.com</t>
  </si>
  <si>
    <t>daniel@depecorp.com</t>
  </si>
  <si>
    <t>wasicheqlla@gmail.com</t>
  </si>
  <si>
    <t>ladionilso1@gmail.com</t>
  </si>
  <si>
    <t>joaquinnavabenitez@gmail.com</t>
  </si>
  <si>
    <t>ONLINE_STORE;SOCIAL_NETWORKS</t>
  </si>
  <si>
    <t>hanssel.sanchez@gmail.com</t>
  </si>
  <si>
    <t>newcorporationapc@gmail.com</t>
  </si>
  <si>
    <t>yushirodelgado2010@gmail.com</t>
  </si>
  <si>
    <t>9tolagenaro36@gmail.com</t>
  </si>
  <si>
    <t>whatsapp / chat_inbound</t>
  </si>
  <si>
    <t>sebas2007saor@gmail.com</t>
  </si>
  <si>
    <t>melgarr706@gmail.com</t>
  </si>
  <si>
    <t>SOCIAL_NETWORKS;ONLINE_STORE;PHYSICAL_STORE;WHATSAPP_BUSINESS</t>
  </si>
  <si>
    <t>kennyvillcas@gmail.com</t>
  </si>
  <si>
    <t>juanvidsan@gmail.com</t>
  </si>
  <si>
    <t>alejandroalmaraz976@gmail.com</t>
  </si>
  <si>
    <t>mueblesmuevan@gmail.com</t>
  </si>
  <si>
    <t>parausop43@gmail.com</t>
  </si>
  <si>
    <t>josechemacruz1@gmail.com</t>
  </si>
  <si>
    <t>jhon.silva.10@unsch.edu.pe</t>
  </si>
  <si>
    <t>hannanicol.09@gmail.com</t>
  </si>
  <si>
    <t>afernandezchavez@gmail.com</t>
  </si>
  <si>
    <t>m.lehandro79@gmail.com</t>
  </si>
  <si>
    <t>victorportillo468@gmail.com</t>
  </si>
  <si>
    <t>zullycn69@gmail.com</t>
  </si>
  <si>
    <t>favian1snaider2@gmail.com</t>
  </si>
  <si>
    <t>waltersantamaria808@gmail.com</t>
  </si>
  <si>
    <t>gabo23mzo@gmail.com</t>
  </si>
  <si>
    <t>finitareyes3636@gmail.com</t>
  </si>
  <si>
    <t>palaciosjoss034@gmail.com</t>
  </si>
  <si>
    <t>vanessaespinozapaucar@gmail.com</t>
  </si>
  <si>
    <t>vsaavedrasuarez29@hotmail.com</t>
  </si>
  <si>
    <t>leogameplayps3@gmail.com</t>
  </si>
  <si>
    <t>maguilar020172@gmail.com</t>
  </si>
  <si>
    <t>juanmiguelcrescencio2122@gmail.com</t>
  </si>
  <si>
    <t>mickey666ce@hotmail.com</t>
  </si>
  <si>
    <t>katrinasimports@gmail.com</t>
  </si>
  <si>
    <t>victormorineau1956@yahoo.com.mx</t>
  </si>
  <si>
    <t>elmerparionayauri7@gmail.com</t>
  </si>
  <si>
    <t>sergio.arias28@gmail.com</t>
  </si>
  <si>
    <t>kevincesar1000@hotmail.com</t>
  </si>
  <si>
    <t>fpulido@zucarmex.com</t>
  </si>
  <si>
    <t>emilianomerida61@yahoo.com</t>
  </si>
  <si>
    <t>jorgelegal33@hotmail.com</t>
  </si>
  <si>
    <t>zeulogis@gmail.com</t>
  </si>
  <si>
    <t>mareniajewelry@gmail.com</t>
  </si>
  <si>
    <t>josealbertovazquezgonzalez@gmail.com</t>
  </si>
  <si>
    <t>vicent.garay@gmail.com</t>
  </si>
  <si>
    <t>amasifuen.d.c.1@mail.com</t>
  </si>
  <si>
    <t>jovarcor1@gmail.com</t>
  </si>
  <si>
    <t>se.lugo@hotmail.com</t>
  </si>
  <si>
    <t>jenyolinda@hotmail.com</t>
  </si>
  <si>
    <t>carlachamorro162@gmail.com</t>
  </si>
  <si>
    <t>ta393882@gmail.com</t>
  </si>
  <si>
    <t>contacto.publiapp@gmail.com</t>
  </si>
  <si>
    <t>rivelino.chavez.aguedo@gmail.com</t>
  </si>
  <si>
    <t>amelia.martinez@tecmilenio.mx</t>
  </si>
  <si>
    <t>zarazuagabriel518@gmail.com</t>
  </si>
  <si>
    <t>legiondecain@gmail.com</t>
  </si>
  <si>
    <t>davidbernals2211@gmail.com</t>
  </si>
  <si>
    <t>martelvillarf@gmail.com</t>
  </si>
  <si>
    <t>medina560708@yahoo.com.mx</t>
  </si>
  <si>
    <t>floryamval@gmail.com</t>
  </si>
  <si>
    <t>jhonalex140@gmail.com</t>
  </si>
  <si>
    <t>jandernayipd@gmail.com</t>
  </si>
  <si>
    <t>miguelangel@solube.com.mx</t>
  </si>
  <si>
    <t>claveloviedo@gmail.com</t>
  </si>
  <si>
    <t>jeferdelacruz@gmail.com</t>
  </si>
  <si>
    <t>josericardojurado98@gmail.com</t>
  </si>
  <si>
    <t>antoniiomtzam4@gmail.com</t>
  </si>
  <si>
    <t>palo.quequieras04@gmail.com</t>
  </si>
  <si>
    <t>webinar / live_event</t>
  </si>
  <si>
    <t>alejandro.montoyac87@gmail.com</t>
  </si>
  <si>
    <t>sevenwordsbusinessgroup@gmail.com</t>
  </si>
  <si>
    <t>bcalderonjaramillo07@gmail.com</t>
  </si>
  <si>
    <t>christian_pvaldez@hotmail.com</t>
  </si>
  <si>
    <t>walter77.mendoza@gmail.com</t>
  </si>
  <si>
    <t>seres93salas@gmail.com</t>
  </si>
  <si>
    <t>llennovieira3@gmail.com</t>
  </si>
  <si>
    <t>mcashuzumaeta@gmail.com</t>
  </si>
  <si>
    <t>angelapacco8@gmail.com</t>
  </si>
  <si>
    <t>dcasedcase2020@gmail.com</t>
  </si>
  <si>
    <t>martinpiste135@gmail.com</t>
  </si>
  <si>
    <t>chisito123pez@agmil.com</t>
  </si>
  <si>
    <t>9842052179j@gmail.com</t>
  </si>
  <si>
    <t>luytus93@gmail.com</t>
  </si>
  <si>
    <t>barretodavi050@gmail.com</t>
  </si>
  <si>
    <t>cibork192489@gmail.com</t>
  </si>
  <si>
    <t>projetoseixosproducoes@gmail.com</t>
  </si>
  <si>
    <t>verodrca@gmail.com</t>
  </si>
  <si>
    <t>wendy.wpa65@gmail.com</t>
  </si>
  <si>
    <t>cdu2721@gmail.com</t>
  </si>
  <si>
    <t>peruanadepublicidad@yahoo.com</t>
  </si>
  <si>
    <t>jp.fabiana1@gmail.com</t>
  </si>
  <si>
    <t>19642212salva@gmail.com</t>
  </si>
  <si>
    <t>rousfloresvilca29@gmail.com</t>
  </si>
  <si>
    <t>creamuebles.peru@gmail.com</t>
  </si>
  <si>
    <t>lovenayeli87@gmail.com</t>
  </si>
  <si>
    <t>royersolari24@gmail.com</t>
  </si>
  <si>
    <t>marielasotelo2000@hotmail.com</t>
  </si>
  <si>
    <t>argicoal2016@gmail.com</t>
  </si>
  <si>
    <t>dakota.joka@gmail.com</t>
  </si>
  <si>
    <t>kenethpanduro@gmail.com</t>
  </si>
  <si>
    <t>iesppdidascaliojesusmaestro@gmail.com</t>
  </si>
  <si>
    <t>victorshaddai.edu.pe@gmail.com</t>
  </si>
  <si>
    <t>juniordiazcabanillas03@gmail.com</t>
  </si>
  <si>
    <t>coesocratesmorigrandez@gmail.com</t>
  </si>
  <si>
    <t>adrianlipo2016@gmail.com</t>
  </si>
  <si>
    <t>herediagoicocheayaqueline82@gmaill.com</t>
  </si>
  <si>
    <t>vanespanic79@gmail.com</t>
  </si>
  <si>
    <t>hectorlopez0024@gmail.com</t>
  </si>
  <si>
    <t>yolandap848@yahoo.es</t>
  </si>
  <si>
    <t>beatrizvilca22@gmail.com</t>
  </si>
  <si>
    <t>jhon336luna@hotmail.com</t>
  </si>
  <si>
    <t>claudioribeirok22@gmail.com</t>
  </si>
  <si>
    <t>snupdrack1@outlook.com</t>
  </si>
  <si>
    <t>antoniamaryaneso@gmail.com</t>
  </si>
  <si>
    <t>uaiartspapelariapersonalizada@gmail.com</t>
  </si>
  <si>
    <t>angelitooo2402@gmail.com</t>
  </si>
  <si>
    <t>albuquerque.consultoria20@gmail.com</t>
  </si>
  <si>
    <t>fishermoro987@gmail.com</t>
  </si>
  <si>
    <t>fg1460847@gmail.com</t>
  </si>
  <si>
    <t>deboracristinamancio@gmail.com</t>
  </si>
  <si>
    <t>begrim.1260@gmail.com</t>
  </si>
  <si>
    <t>SOCIAL_NETWORKS;NONE;WHATSAPP_BUSINESS;ONLINE_STORE</t>
  </si>
  <si>
    <t>sandovalarruejuanenrique@gmail.com</t>
  </si>
  <si>
    <t>aruizaching@gmail.com</t>
  </si>
  <si>
    <t>mnu1314.iepsl@gmail.com</t>
  </si>
  <si>
    <t>chriscffitness@gmail.com</t>
  </si>
  <si>
    <t>rmkt_engagers_peru_yavendio</t>
  </si>
  <si>
    <t>capazattito1979@gmail.com</t>
  </si>
  <si>
    <t>grupozas@hotmail.com</t>
  </si>
  <si>
    <t>ackuario228@gmail.com</t>
  </si>
  <si>
    <t>leonardoepriscilla70@gmail.com</t>
  </si>
  <si>
    <t>naturalcontactcenter@gmail.com</t>
  </si>
  <si>
    <t>jtz4555@gmail.com</t>
  </si>
  <si>
    <t>grossinmet@gmail.com</t>
  </si>
  <si>
    <t>franzjyj2003@gmail.com</t>
  </si>
  <si>
    <t>melinarodriguezpozo@gmail.com</t>
  </si>
  <si>
    <t>s4muelcalderon@gmail.com</t>
  </si>
  <si>
    <t>maribelruiz2010@gmail.com</t>
  </si>
  <si>
    <t>saidmatukvalerie073015@gmail.com</t>
  </si>
  <si>
    <t>genesiojesuslira24@gmail.com</t>
  </si>
  <si>
    <t>kebervallejo2007@gmail.com</t>
  </si>
  <si>
    <t>beckerore562@gmail.com</t>
  </si>
  <si>
    <t>davidyuri2018.19@gmail.com</t>
  </si>
  <si>
    <t>marpab55@gmail.com</t>
  </si>
  <si>
    <t>cesarleonelbr@gmail.com</t>
  </si>
  <si>
    <t>javiergcar2008@gmail.com</t>
  </si>
  <si>
    <t>floresjosecarlos.777@gmail.com</t>
  </si>
  <si>
    <t>sunvalles@hotmail.com</t>
  </si>
  <si>
    <t>gomezmiguel5990@gmail.com</t>
  </si>
  <si>
    <t>malomasgonzalez@gmail.com</t>
  </si>
  <si>
    <t>guillermomontielc@gmail.com</t>
  </si>
  <si>
    <t>solarenergi14@gmail.com</t>
  </si>
  <si>
    <t>benja_goll@hotmail.com</t>
  </si>
  <si>
    <t>zarategarciah@gmail.com</t>
  </si>
  <si>
    <t>anamayded1108.amcb@gmail.com</t>
  </si>
  <si>
    <t>melendezarevalokatyfabiola@gmail.com</t>
  </si>
  <si>
    <t>joseluis8129@gmail.com</t>
  </si>
  <si>
    <t>168raul@gmail.com</t>
  </si>
  <si>
    <t>klmarmoreeporcelatos@gmail.com</t>
  </si>
  <si>
    <t>justin.rh.1994@gmail.com</t>
  </si>
  <si>
    <t>santillangonzalescarlosadriano@gmail.com</t>
  </si>
  <si>
    <t>amixvicox@gmail.com</t>
  </si>
  <si>
    <t>hosanabeautyarts@gmail.com</t>
  </si>
  <si>
    <t>fhsdosul7@gmail.com</t>
  </si>
  <si>
    <t>SOCIAL_NETWORKS;PHYSICAL_STORE;WHATSAPP_BUSINESS</t>
  </si>
  <si>
    <t>reynaldodavid2808@gmail.com</t>
  </si>
  <si>
    <t>pablomonja61@gmail.com</t>
  </si>
  <si>
    <t>oficialstudiocriativo@outlook.com</t>
  </si>
  <si>
    <t>rey_3371@hotmail.com</t>
  </si>
  <si>
    <t>juliancazca@gmail.com</t>
  </si>
  <si>
    <t>svkzfuturo@gmail.com</t>
  </si>
  <si>
    <t>carolinaporraspazos@gmail.com</t>
  </si>
  <si>
    <t>aliisiaa170973@gmail.com</t>
  </si>
  <si>
    <t>slooppetropolis@gmail.com</t>
  </si>
  <si>
    <t>jorgelopezbenites0@gmail.com</t>
  </si>
  <si>
    <t>sechavi27@gmail.com</t>
  </si>
  <si>
    <t>e76984433@gmail.com</t>
  </si>
  <si>
    <t>WHATSAPP_BUSINESS;SOCIAL_NETWORKS;NONE;PHYSICAL_STORE</t>
  </si>
  <si>
    <t>matosrob1@gmail.com</t>
  </si>
  <si>
    <t>maizavv@yahoo.com.br</t>
  </si>
  <si>
    <t>bonsnegociosoaqui@gmail.com</t>
  </si>
  <si>
    <t>joschavez@gmail.com</t>
  </si>
  <si>
    <t>juniorsanchez19901124007c@gmail.com</t>
  </si>
  <si>
    <t>falconrodas@hotmail.com</t>
  </si>
  <si>
    <t>marcelomarriel25@gmail.com</t>
  </si>
  <si>
    <t>gleylsonmarketingdigital@gmail.com</t>
  </si>
  <si>
    <t>romeropanebrac@gmail.com</t>
  </si>
  <si>
    <t>brenda.trujillo.11.99@gmail.com</t>
  </si>
  <si>
    <t>jcarlosolis216@xn--gmai-jqa.com</t>
  </si>
  <si>
    <t>zalazarvianey@gmail.com</t>
  </si>
  <si>
    <t>amvensupplements@gmail.com</t>
  </si>
  <si>
    <t>velsa1549@gmail.com</t>
  </si>
  <si>
    <t>sevillandelc58@gmail.com</t>
  </si>
  <si>
    <t>darioalvitesramirez645@gmail.com</t>
  </si>
  <si>
    <t>vidalinadiamante@gmail.com</t>
  </si>
  <si>
    <t>estheresquinterodiaz@gmail.com</t>
  </si>
  <si>
    <t>lhuaman513@gmail.com</t>
  </si>
  <si>
    <t>medsusana@99.com</t>
  </si>
  <si>
    <t>yairolea766@gmail.com</t>
  </si>
  <si>
    <t>yasminbaylon08@gmail.com</t>
  </si>
  <si>
    <t>mitchellquispechacon@gmail.com</t>
  </si>
  <si>
    <t>aymara.lopez@gmail.com</t>
  </si>
  <si>
    <t>doncell1976@gmail.com</t>
  </si>
  <si>
    <t>tdfp_1963@hotmail.com</t>
  </si>
  <si>
    <t>bronleypepe@gmail.com</t>
  </si>
  <si>
    <t>alvaradojonathan344@gmail.com</t>
  </si>
  <si>
    <t>miguelaquinorojas123@gmail.com</t>
  </si>
  <si>
    <t>mabet.confecciones@gmail.com</t>
  </si>
  <si>
    <t>royalania.perez@gmail.com</t>
  </si>
  <si>
    <t>mayibonilla.1977@gmail.com</t>
  </si>
  <si>
    <t>luchin840@hotmail.com</t>
  </si>
  <si>
    <t>claudilarro@hotmail.com</t>
  </si>
  <si>
    <t>joaquinjordanserrano@gmail.com</t>
  </si>
  <si>
    <t>roni_ex@hotmail.com</t>
  </si>
  <si>
    <t>elisayaurimuchajajlla229@gmail.com</t>
  </si>
  <si>
    <t>jackelyfransheskat@gmail.com</t>
  </si>
  <si>
    <t>limpiamaquinaria33@gmail.com</t>
  </si>
  <si>
    <t>jiserpa@hotmail.com</t>
  </si>
  <si>
    <t>clarijannromero99@gmail.com</t>
  </si>
  <si>
    <t>almadascriacoes@gmail.com</t>
  </si>
  <si>
    <t>edwindavidz216@gmail.com</t>
  </si>
  <si>
    <t>alexcarvalho.online@gmail.com</t>
  </si>
  <si>
    <t>betty.mundolunatico@gmail.com</t>
  </si>
  <si>
    <t>elietcpd@gmail.com</t>
  </si>
  <si>
    <t>jivanananda.dasa.33@gmail.com</t>
  </si>
  <si>
    <t>rmkt_newsletter_mexico</t>
  </si>
  <si>
    <t>thelmacombezapateria@gmail.com</t>
  </si>
  <si>
    <t>fernandob@yavendio.com</t>
  </si>
  <si>
    <t>americancutt50@gmail.com</t>
  </si>
  <si>
    <t>clementepomar59@gmail.com</t>
  </si>
  <si>
    <t>eric.rodriguez365@gmail.com</t>
  </si>
  <si>
    <t>devisraul8.03@gmail.com</t>
  </si>
  <si>
    <t>valverde.katty1990@gmail.com</t>
  </si>
  <si>
    <t>comunicacionesgrupoaste@gmail.com</t>
  </si>
  <si>
    <t>guillermobacon8@gmail.com</t>
  </si>
  <si>
    <t>veronicagironrojas7@gmail.com</t>
  </si>
  <si>
    <t>nmamanipantoja@gmail.com</t>
  </si>
  <si>
    <t>coisasdecasamentom@gmail.com</t>
  </si>
  <si>
    <t>macc1916@hotmail.com</t>
  </si>
  <si>
    <t>sistemas@grupocoinp.com</t>
  </si>
  <si>
    <t>johnny.renew84@gmail.com</t>
  </si>
  <si>
    <t>cristiangutierrezg1980@gmail.com</t>
  </si>
  <si>
    <t>solmioangel@gmail.com</t>
  </si>
  <si>
    <t>eames@amesbroker.com.pe</t>
  </si>
  <si>
    <t>eduardo.bedregal@gmail.com</t>
  </si>
  <si>
    <t>plotcad29@gmail.com</t>
  </si>
  <si>
    <t>bersonrap23@gmail.com</t>
  </si>
  <si>
    <t>raquel.fereira1@hotmail.com</t>
  </si>
  <si>
    <t>renifrio@gmail.com</t>
  </si>
  <si>
    <t>erwinmarcossanchez3@gmail.com</t>
  </si>
  <si>
    <t>juliocesarortiz160182@gmail.com</t>
  </si>
  <si>
    <t>river12tg@gmail.com</t>
  </si>
  <si>
    <t>joelsanchezaguilar59@gmail.com</t>
  </si>
  <si>
    <t>ferchampi@yahoo.com</t>
  </si>
  <si>
    <t>motivacoespravida25@gmail.com</t>
  </si>
  <si>
    <t>dlubyperfumes51@gmail.com</t>
  </si>
  <si>
    <t>xxnicogamerxd@gmail.com</t>
  </si>
  <si>
    <t>carlossergiormenezes2@gmail.com</t>
  </si>
  <si>
    <t>vivapetworld@gmail.com</t>
  </si>
  <si>
    <t>gelsyng3r@gmail.com</t>
  </si>
  <si>
    <t>instagram / ad</t>
  </si>
  <si>
    <t>josevilla8607@gmail.com</t>
  </si>
  <si>
    <t>grubio.narvaez.27@gmail.com</t>
  </si>
  <si>
    <t>josereisbiomedico@outlook.com</t>
  </si>
  <si>
    <t>josealejandroteodocio9@gmail.com</t>
  </si>
  <si>
    <t>davidescorce03@gmail.com</t>
  </si>
  <si>
    <t>helder.ginez@gmail.com</t>
  </si>
  <si>
    <t>tonyvnds@gmail.com</t>
  </si>
  <si>
    <t>dircyagentessmart@gmail.com</t>
  </si>
  <si>
    <t>dantefxy35@gmail.com</t>
  </si>
  <si>
    <t>christopherprincipe24@gmail.com</t>
  </si>
  <si>
    <t>dasilvamarquestaciel@gmail.com</t>
  </si>
  <si>
    <t>silvanbezerra@gmail.com</t>
  </si>
  <si>
    <t>katiarodriguesdasilva859@gmail.com</t>
  </si>
  <si>
    <t>ameliaaparecida02@gmail.com</t>
  </si>
  <si>
    <t>megainveste@live.com</t>
  </si>
  <si>
    <t>alfredo.lplaza@gmail.com</t>
  </si>
  <si>
    <t>moveisdevaranda@gmail.com</t>
  </si>
  <si>
    <t>gs.jireh.sport.moda@gmail.com</t>
  </si>
  <si>
    <t>rmaldonadov97@gmail.com</t>
  </si>
  <si>
    <t>julianoangotto@gmail.com</t>
  </si>
  <si>
    <t>oscarqrene@gmail.com</t>
  </si>
  <si>
    <t>sebastiancarbonellmontoya@gmail.com</t>
  </si>
  <si>
    <t>gagarin_26_6@hotmail.com</t>
  </si>
  <si>
    <t>delacruzramirez2025@gmail.com</t>
  </si>
  <si>
    <t>freddynanez8@gmail.com</t>
  </si>
  <si>
    <t>elcox1981@gmail.com</t>
  </si>
  <si>
    <t>naldor8@gmail.com</t>
  </si>
  <si>
    <t>miguelhum663@gmail.com</t>
  </si>
  <si>
    <t>pierolizanaaquino@gmail.com</t>
  </si>
  <si>
    <t>olarteservicel@gmail.com</t>
  </si>
  <si>
    <t>zezedicarvalho48@gmail.com</t>
  </si>
  <si>
    <t>hakusenstore200198@gmail.com</t>
  </si>
  <si>
    <t>tecnosol289@gmail.com</t>
  </si>
  <si>
    <t>svmaribel10@gmail.com</t>
  </si>
  <si>
    <t>remmec2@gmail.com</t>
  </si>
  <si>
    <t>benesk32@gmail.com</t>
  </si>
  <si>
    <t>jmdebi28@gmail.com</t>
  </si>
  <si>
    <t>ytaloalvesdacosta@gmail.com</t>
  </si>
  <si>
    <t>marloncurihuamanchavez72@gmail.com</t>
  </si>
  <si>
    <t>psicopedagogavanessacruz@gmail.com</t>
  </si>
  <si>
    <t>ema12241@gmail.com</t>
  </si>
  <si>
    <t>sidneyemerson10@gmail.com</t>
  </si>
  <si>
    <t>manumartz684@gmail.com</t>
  </si>
  <si>
    <t>jesusaguilarsandoval474@gmail.com</t>
  </si>
  <si>
    <t>velozimpressosedna@gmail.com</t>
  </si>
  <si>
    <t>WHATSAPP_BUSINESS;ONLINE_STORE;SOCIAL_NETWORKS;PHYSICAL_STORE</t>
  </si>
  <si>
    <t>mhc021072@gmail.com</t>
  </si>
  <si>
    <t>richievargas7@gmail.com</t>
  </si>
  <si>
    <t>topenergiasolar08@gmail.com</t>
  </si>
  <si>
    <t>rgastelumr@gmail.com</t>
  </si>
  <si>
    <t>gmartinezrdz.65@gmail.com</t>
  </si>
  <si>
    <t>franmontez2019@gmail.com</t>
  </si>
  <si>
    <t>johanl@yavendio.com</t>
  </si>
  <si>
    <t>r.galindo2502@gmail.com</t>
  </si>
  <si>
    <t>mgd286@gmail.com</t>
  </si>
  <si>
    <t>daddymesia93@gmail.com</t>
  </si>
  <si>
    <t>luciano07gozalez11@gmail.com</t>
  </si>
  <si>
    <t>info@parquepet.pe</t>
  </si>
  <si>
    <t>lfmontagens61@gmail.com</t>
  </si>
  <si>
    <t>alecardsandtoys@hotmail.com</t>
  </si>
  <si>
    <t>davidepaula.comercial@gmail.com</t>
  </si>
  <si>
    <t>ventas@maquiworkbambu.com</t>
  </si>
  <si>
    <t>torresverajhonatan@gmail.com</t>
  </si>
  <si>
    <t>adilsoncaldas176@gmail.com</t>
  </si>
  <si>
    <t>vallejosroberth27@gmail.com</t>
  </si>
  <si>
    <t>salazarpiero70@gmail.com</t>
  </si>
  <si>
    <t>nathyandraderocha@gmail.com</t>
  </si>
  <si>
    <t>quiroz.anchanteluis@gmail.com</t>
  </si>
  <si>
    <t>aronesraulam@gmail.com</t>
  </si>
  <si>
    <t>mamaniquispeeverardo@gmail.com</t>
  </si>
  <si>
    <t>andreabc2210@gmail.com</t>
  </si>
  <si>
    <t>robertorivadeneiraoficial@gmail.com</t>
  </si>
  <si>
    <t>top_net85@hotmail.com</t>
  </si>
  <si>
    <t>natanaelnlima@gmail.com</t>
  </si>
  <si>
    <t>roselifranco1978@gmail.com</t>
  </si>
  <si>
    <t>alegriaexpress3@gmail.com</t>
  </si>
  <si>
    <t>cristhopercotrina188@gmail.com</t>
  </si>
  <si>
    <t>mariajudithanicama22@gmail.com</t>
  </si>
  <si>
    <t>leandrormiolla@gmail.com</t>
  </si>
  <si>
    <t>elliothamiltonperu@gmail.com</t>
  </si>
  <si>
    <t>multijuegosyefer@gmail.com</t>
  </si>
  <si>
    <t>anitarodriguezsalinas@gmail.com</t>
  </si>
  <si>
    <t>fabiants11@yahoo.es</t>
  </si>
  <si>
    <t>joaoinaciosanderkessler@gmail.com</t>
  </si>
  <si>
    <t>rapalestra@gmail.com</t>
  </si>
  <si>
    <t>angel.alarcon1601@gmail.com</t>
  </si>
  <si>
    <t>pidehoyperu@gmail.com</t>
  </si>
  <si>
    <t>juanfernandeztip@gmail.com</t>
  </si>
  <si>
    <t>looyousalalazar@gmail.com</t>
  </si>
  <si>
    <t>joelfrponcey@gmail.com</t>
  </si>
  <si>
    <t>maritza060567@gmail.com</t>
  </si>
  <si>
    <t>niviadesouzaoliveira92@gmail.com</t>
  </si>
  <si>
    <t>sherrera710@gmail.com</t>
  </si>
  <si>
    <t>8125616892a@gmail.com</t>
  </si>
  <si>
    <t>alejandramicaelacasafranca@gmail.com</t>
  </si>
  <si>
    <t>reimondg22@gmail.com</t>
  </si>
  <si>
    <t>ronaldpuiconlimo123@gmail.com</t>
  </si>
  <si>
    <t>edsonsouzashineray@hmail.com</t>
  </si>
  <si>
    <t>montalvodavilajacobitalucero@gmail.com</t>
  </si>
  <si>
    <t>jdaniel20052005@gmail.com</t>
  </si>
  <si>
    <t>nochilu@gmail.com</t>
  </si>
  <si>
    <t>moisesperezneir1604@gmail.com</t>
  </si>
  <si>
    <t>manueljimenezp63@gmail.co.com</t>
  </si>
  <si>
    <t>eams44@gmail.com</t>
  </si>
  <si>
    <t>oliverjavhe@gmail.com</t>
  </si>
  <si>
    <t>horahombre@gmail.com</t>
  </si>
  <si>
    <t>2016100068@untels.esu.pe</t>
  </si>
  <si>
    <t>iacreativeagency5566@gmail.com</t>
  </si>
  <si>
    <t>shuayllas97@gmail.com</t>
  </si>
  <si>
    <t>brayancuelo38@gmail.com</t>
  </si>
  <si>
    <t>leonardo017@icloud.com</t>
  </si>
  <si>
    <t>crilinchampi@gmail.com</t>
  </si>
  <si>
    <t>sekaiswkftakayukimikami@gmail.com</t>
  </si>
  <si>
    <t>elyagosto599@gmail.com</t>
  </si>
  <si>
    <t>flh_cavazos@hotmail.com</t>
  </si>
  <si>
    <t>misionoficial2@gmail.com</t>
  </si>
  <si>
    <t>techdigital.slz@gmail.com</t>
  </si>
  <si>
    <t>edelvio19@gmail.com</t>
  </si>
  <si>
    <t>diablasacerio@gmail.com</t>
  </si>
  <si>
    <t>bonnyvalencia4@gmail.com</t>
  </si>
  <si>
    <t>perney27@gmail.com</t>
  </si>
  <si>
    <t>zegarraflorezricardo@gmail.com</t>
  </si>
  <si>
    <t>mdavisempreendimento@gmail.com</t>
  </si>
  <si>
    <t>darioponcecallan58@gmil.com</t>
  </si>
  <si>
    <t>lamanodecristo21@gmail.com</t>
  </si>
  <si>
    <t>claudioleonllerena@gmail.com</t>
  </si>
  <si>
    <t>zedomingos173@gmail.com</t>
  </si>
  <si>
    <t>jbeytia@sertecsa.net</t>
  </si>
  <si>
    <t>gliza3524@gmail.com</t>
  </si>
  <si>
    <t>eliudalamo1993@gmail.com</t>
  </si>
  <si>
    <t>toledmario@gmail.com</t>
  </si>
  <si>
    <t>carlosaycafernandez@gmail.com</t>
  </si>
  <si>
    <t>anagximelop@gmail.com</t>
  </si>
  <si>
    <t>estefanyklp@gmail.com</t>
  </si>
  <si>
    <t>wilsonllereaid01@gmail.com</t>
  </si>
  <si>
    <t>ivanimartinsdejesus224433@gmail.com</t>
  </si>
  <si>
    <t>rodiacha12@gmail.com</t>
  </si>
  <si>
    <t>saldopaypal6@gmail.com</t>
  </si>
  <si>
    <t>jorgerojasescobar61@gmail.com</t>
  </si>
  <si>
    <t>nocelosnataly@gmail.com</t>
  </si>
  <si>
    <t>nm0987555@gmail.com</t>
  </si>
  <si>
    <t>lizbethayme24@gmail.com</t>
  </si>
  <si>
    <t>alixalexiaalbercaayon@gmail.com</t>
  </si>
  <si>
    <t>p.y.cana1345@gmail.com</t>
  </si>
  <si>
    <t>feabbastanzaa@gmail.com</t>
  </si>
  <si>
    <t>am6283779@gmail.com</t>
  </si>
  <si>
    <t>santiagoicahuate22@gmail.com</t>
  </si>
  <si>
    <t>patriciacarolina4444@gmail.com</t>
  </si>
  <si>
    <t>hernandezhugo668@gmail.com</t>
  </si>
  <si>
    <t>geovanynarcizo03@gmail.com</t>
  </si>
  <si>
    <t>lado1239@live.com</t>
  </si>
  <si>
    <t>gonzaloalvarez19holdin@gmail.com</t>
  </si>
  <si>
    <t>pecesnando121@gmail.com</t>
  </si>
  <si>
    <t>dninasaumem@gmail.com</t>
  </si>
  <si>
    <t>luisangelchew@gmail.com</t>
  </si>
  <si>
    <t>javier.andrade.lizarzaburu@gmail.com</t>
  </si>
  <si>
    <t>merlinburguillos8@gmail.com</t>
  </si>
  <si>
    <t>joseleonardolujanluiscom@gmail.com</t>
  </si>
  <si>
    <t>romulodj1982@gmail.com</t>
  </si>
  <si>
    <t>agnaldofreitasfloor49@gmail.com</t>
  </si>
  <si>
    <t>patrickpizango2006@gmail.com</t>
  </si>
  <si>
    <t>ievelyn.2404.08@gmail.com</t>
  </si>
  <si>
    <t>leandrogsia2014@gmail.com</t>
  </si>
  <si>
    <t>chozoscristhian@gmail.com</t>
  </si>
  <si>
    <t>tedyted359@gmail.com</t>
  </si>
  <si>
    <t>ambarvital10@gmail.com</t>
  </si>
  <si>
    <t>urbinafernandeza@gmail.com</t>
  </si>
  <si>
    <t>sisneg25.gn@gmail.com</t>
  </si>
  <si>
    <t>jorgeedelaguila8@gmail.com</t>
  </si>
  <si>
    <t>instagram / manychat_dm_automation</t>
  </si>
  <si>
    <t>juanedreidb@gmail.com</t>
  </si>
  <si>
    <t>jhanhaysonsilva@gmail.com</t>
  </si>
  <si>
    <t>silenevilmapovesmendoza@gmail.com</t>
  </si>
  <si>
    <t>gerardodelacruzq@gmail.com</t>
  </si>
  <si>
    <t>cieloimancortes@gmail.com</t>
  </si>
  <si>
    <t>joseluisperalesnaupari@gmail.com</t>
  </si>
  <si>
    <t>rocsanarubinajara@gmail.com</t>
  </si>
  <si>
    <t>belmora.official@gmail.com</t>
  </si>
  <si>
    <t>bautistafigueroaemiliodejesus@gmail.com</t>
  </si>
  <si>
    <t>yovanyfuentes@gmail.com</t>
  </si>
  <si>
    <t>lopmichel27@gmail.com</t>
  </si>
  <si>
    <t>valerio_isac@hotmail.com</t>
  </si>
  <si>
    <t>costawellington1910@gmail.com</t>
  </si>
  <si>
    <t>aguiardavid15@gmail.com</t>
  </si>
  <si>
    <t>jffwill9@gmail.com</t>
  </si>
  <si>
    <t>svalerio2022@gmail.com</t>
  </si>
  <si>
    <t>compucellarequipa@gmail.com</t>
  </si>
  <si>
    <t>edivaldobellasco52@hotmail.com</t>
  </si>
  <si>
    <t>capymrmj15177@gmail.com</t>
  </si>
  <si>
    <t>gigueiroj@gmail.com</t>
  </si>
  <si>
    <t>raulpalominoatelier211@gmail.com</t>
  </si>
  <si>
    <t>reyfarias147@gmail.com</t>
  </si>
  <si>
    <t>adm.pretapinkjeans@hotmail.com</t>
  </si>
  <si>
    <t>emprendohotmar87@gmail.com</t>
  </si>
  <si>
    <t>aliciacordova0622@gmail.com</t>
  </si>
  <si>
    <t>edulesli23@gmail.com</t>
  </si>
  <si>
    <t>lissyta1503@gmail.com</t>
  </si>
  <si>
    <t>math_98_k@hotmail.com</t>
  </si>
  <si>
    <t>wwenser2@gmail.com</t>
  </si>
  <si>
    <t>ana.nunes@xinic.com.br</t>
  </si>
  <si>
    <t>olgamelo@outlook.com</t>
  </si>
  <si>
    <t>absdielguzman8103@gmail.com</t>
  </si>
  <si>
    <t>franesan110@hotmail.com</t>
  </si>
  <si>
    <t>sanchezhugo2590@gmail.com</t>
  </si>
  <si>
    <t>representantemirra@gmail.com</t>
  </si>
  <si>
    <t>erickhinostrozasolano@gmail.com</t>
  </si>
  <si>
    <t>ellenmax21@gmail.com</t>
  </si>
  <si>
    <t>laracarvalho480@gmail.com</t>
  </si>
  <si>
    <t>aseven7multimarcas@gmail.com</t>
  </si>
  <si>
    <t>lozanojohan321@gmail.com</t>
  </si>
  <si>
    <t>vn42718@gmail.com</t>
  </si>
  <si>
    <t>daymarkbrag@hotmail.com</t>
  </si>
  <si>
    <t>eduddsf@gmail.com</t>
  </si>
  <si>
    <t>jailsonscheimannbeer@gmail.com</t>
  </si>
  <si>
    <t>anapaulastylebe@outoook.com</t>
  </si>
  <si>
    <t>bragabragaari@gmail.com</t>
  </si>
  <si>
    <t>daianrmagalhaes972@gmail.com</t>
  </si>
  <si>
    <t>fabiulaflima@gmail.com</t>
  </si>
  <si>
    <t>lnsemijoiasatendimento@gmail.com</t>
  </si>
  <si>
    <t>productos.digit57@gmail.com</t>
  </si>
  <si>
    <t>fabiantl.escobar@gmail.com</t>
  </si>
  <si>
    <t>ONLINE_STORE;SOCIAL_NETWORKS;WHATSAPP_BUSINESS;PHYSICAL_STORE</t>
  </si>
  <si>
    <t>alicebsb1@hotmail.com</t>
  </si>
  <si>
    <t>lujancreator@gmail.com</t>
  </si>
  <si>
    <t>unahuellaenti@gmail.com</t>
  </si>
  <si>
    <t>rafaelaa_pb@hotmail.com</t>
  </si>
  <si>
    <t>essenciadoceporjuliavianna@gmail.com</t>
  </si>
  <si>
    <t>andraandrade1995@gmail.com</t>
  </si>
  <si>
    <t>americodavid@hotmail.com</t>
  </si>
  <si>
    <t>delcsar7@gmail.com</t>
  </si>
  <si>
    <t>ivoneteoliveira492@gmail.com</t>
  </si>
  <si>
    <t>bhuayra41@gmail.com</t>
  </si>
  <si>
    <t>moniquita_modas@hotmail.com</t>
  </si>
  <si>
    <t>lorenzasantander6@gmail.com</t>
  </si>
  <si>
    <t>silvatorreslarry@gmail.com</t>
  </si>
  <si>
    <t>tito.koster@gmail.com</t>
  </si>
  <si>
    <t>madforest77@gmail.com</t>
  </si>
  <si>
    <t>kellylimagc2529@gmail.com</t>
  </si>
  <si>
    <t>nutri.gesianesouza@gmail.com</t>
  </si>
  <si>
    <t>mercedesdelpilarzapataleon@gmail.com</t>
  </si>
  <si>
    <t>ludoteca.piagetines.2aldaz@gmail.com</t>
  </si>
  <si>
    <t>gtbranco65@gmail.com</t>
  </si>
  <si>
    <t>alberto19602807@gmail.com</t>
  </si>
  <si>
    <t>kurthyilsonapolayaparra@gmail.com</t>
  </si>
  <si>
    <t>mmixcoatlhernandez@gmail.com</t>
  </si>
  <si>
    <t>rogerelizaamira17@gmail.com</t>
  </si>
  <si>
    <t>alexander.requejo.torres@gmail.com</t>
  </si>
  <si>
    <t>rominanunez2018@gmail.com</t>
  </si>
  <si>
    <t>teresaflorespalomino810@gmail.com</t>
  </si>
  <si>
    <t>elenamonteza2020@gmail.com</t>
  </si>
  <si>
    <t>miguellozaac@gmail.com</t>
  </si>
  <si>
    <t>instagram / stories</t>
  </si>
  <si>
    <t>humanability.piura@gmail.com</t>
  </si>
  <si>
    <t>icihecsa@gmail.com.pe</t>
  </si>
  <si>
    <t>pdesouzajessica@gmail.com</t>
  </si>
  <si>
    <t>anthony-art-19@hotmail.com</t>
  </si>
  <si>
    <t>globalrastreamento2020@gmail.com</t>
  </si>
  <si>
    <t>odair2jg@gmail.com</t>
  </si>
  <si>
    <t>ppzzaa11675@gmail.com</t>
  </si>
  <si>
    <t>jose.romani@yahoo.es</t>
  </si>
  <si>
    <t>cubas2313@gmail.com</t>
  </si>
  <si>
    <t>alvaroarellanestpr@outlook.com</t>
  </si>
  <si>
    <t>fajasdiosalatina@gmail.com</t>
  </si>
  <si>
    <t>sandovalyatacog@gmail.com</t>
  </si>
  <si>
    <t>saske_firth_123@hotmail.com</t>
  </si>
  <si>
    <t>karinapvh2008@hotmail.com</t>
  </si>
  <si>
    <t>ezeq.markting@gmail.com</t>
  </si>
  <si>
    <t>ayvarhogarydecoracion@gmail.com</t>
  </si>
  <si>
    <t>carolineassr@gmail.com</t>
  </si>
  <si>
    <t>joriscotrina3@gmail.com</t>
  </si>
  <si>
    <t>mariahcardoso23h@gmail.com</t>
  </si>
  <si>
    <t>edsonswayze8523@gmail.com</t>
  </si>
  <si>
    <t>jomara_h_tinha@hotmail.com</t>
  </si>
  <si>
    <t>prfernandomoura345@gmail.com</t>
  </si>
  <si>
    <t>salasfaby29@gmail.com</t>
  </si>
  <si>
    <t>jg0706119@gmail.com</t>
  </si>
  <si>
    <t>ketlenkesia92@gmail.com</t>
  </si>
  <si>
    <t>dryelbrands@gmail.com</t>
  </si>
  <si>
    <t>pio.rosellvi@gmail.com</t>
  </si>
  <si>
    <t>anibalngg.01@gmail.com</t>
  </si>
  <si>
    <t>stlivejacarei@gmail.com</t>
  </si>
  <si>
    <t>ramoscangel40@gmail.com</t>
  </si>
  <si>
    <t>sanelmilla@gmail.com</t>
  </si>
  <si>
    <t>kathyannepaiva@gmail.com</t>
  </si>
  <si>
    <t>guadalupebalvanedabuitimea@gmail.com</t>
  </si>
  <si>
    <t>fradiaral.231173@gmail.com</t>
  </si>
  <si>
    <t>mayemnicasas@gmail.com</t>
  </si>
  <si>
    <t>eliseoarmasruiz@gmail.com</t>
  </si>
  <si>
    <t>alcemirmartins2g@mail.com</t>
  </si>
  <si>
    <t>cesarfranciscopatricioramos@gmail.com</t>
  </si>
  <si>
    <t>greice.silva.souza@hotmail.com</t>
  </si>
  <si>
    <t>escorpionicho@gmail.com</t>
  </si>
  <si>
    <t>frankaugustor@gmail.com</t>
  </si>
  <si>
    <t>coster4196@gmail.com</t>
  </si>
  <si>
    <t>hqrosa14@gmail.com</t>
  </si>
  <si>
    <t>tulitast78@gmail.com</t>
  </si>
  <si>
    <t>hidromoc@gmail.com</t>
  </si>
  <si>
    <t>contato.vitoriadigitalstore@gmail.com</t>
  </si>
  <si>
    <t>carlos.quevedo.simarra@outlook.com</t>
  </si>
  <si>
    <t>edwinglarotapuma@gmail.com</t>
  </si>
  <si>
    <t>relisiama@gmail.com</t>
  </si>
  <si>
    <t>ltocto13@gmail.com</t>
  </si>
  <si>
    <t>cleberrodriguesrocha@gmail.com</t>
  </si>
  <si>
    <t>wilderp.piscis01@gmail.com</t>
  </si>
  <si>
    <t>isabeladantasparceriaofc@gmail.com</t>
  </si>
  <si>
    <t>emersonslira1982@yahoo.com</t>
  </si>
  <si>
    <t>gysventas@gmail.com</t>
  </si>
  <si>
    <t>pumasgol17@gmail.com</t>
  </si>
  <si>
    <t>carmensavelasquez@hotmail.com</t>
  </si>
  <si>
    <t>esalvador.pe@gmail.com</t>
  </si>
  <si>
    <t>siscommp@hotmail.com</t>
  </si>
  <si>
    <t>Tecnología y Electrónica</t>
  </si>
  <si>
    <t>juliocesarsurichaquitaipe@gmail.com</t>
  </si>
  <si>
    <t>cds.drfrancklin@hotmail.com</t>
  </si>
  <si>
    <t>a.hernandez@worldofmasks.com.mx</t>
  </si>
  <si>
    <t>Cursos y productos digitales</t>
  </si>
  <si>
    <t>bancosluisp@gmail.com</t>
  </si>
  <si>
    <t>aberumen@grupoberumenseguros.com</t>
  </si>
  <si>
    <t>barato51@hotmail.com</t>
  </si>
  <si>
    <t>Tienda de productos variados</t>
  </si>
  <si>
    <t>futurexponential@gmail.com</t>
  </si>
  <si>
    <t>distribuidorasalomonpacificosa@gmail.com</t>
  </si>
  <si>
    <t>WHATSAPP_BUSINESS;ONLINE_STORE;NONE</t>
  </si>
  <si>
    <t>cna64@hotmail.com</t>
  </si>
  <si>
    <t>salvadorysh@gmail.com</t>
  </si>
  <si>
    <t>Suplementos y Bienestar</t>
  </si>
  <si>
    <t>zeinoriginal2@gmail.com</t>
  </si>
  <si>
    <t>jelc.bbr@gmail.com</t>
  </si>
  <si>
    <t>jesdan.morper1974@gmail.com</t>
  </si>
  <si>
    <t>erika_vize@hotmail.com</t>
  </si>
  <si>
    <t>Belleza y Cuidado Personal</t>
  </si>
  <si>
    <t>alfiend932@gmail.com</t>
  </si>
  <si>
    <t>adriangoonie@gmail.com</t>
  </si>
  <si>
    <t>hectorpalomares.14@gmail.com</t>
  </si>
  <si>
    <t>kimi_950715@hotmail.com</t>
  </si>
  <si>
    <t>josimarchinchayc@gmail.com</t>
  </si>
  <si>
    <t>hola@case-factor.com</t>
  </si>
  <si>
    <t>jessica02villegas@gmail.com</t>
  </si>
  <si>
    <t>austin.zepeda1300@gmail.com</t>
  </si>
  <si>
    <t>antonymv111200@gmail.com</t>
  </si>
  <si>
    <t>faguero25@gmail.com</t>
  </si>
  <si>
    <t>roquefleitas200830@gmail.com</t>
  </si>
  <si>
    <t>antoniosaavas1@gmail.com</t>
  </si>
  <si>
    <t>wiliamramirez15@gmail.com</t>
  </si>
  <si>
    <t>n-aisla@hotmail.com</t>
  </si>
  <si>
    <t>yungfreemolly@gmail.com</t>
  </si>
  <si>
    <t>sivipaucaraltamiranov008@gmail.com</t>
  </si>
  <si>
    <t>danielmorales.com@gmail.com</t>
  </si>
  <si>
    <t>jldm_22@hotmail.com</t>
  </si>
  <si>
    <t>leonciochavez17@gmail.com</t>
  </si>
  <si>
    <t>mmayorga45@gmail.com</t>
  </si>
  <si>
    <t>oportunidadenegociomx@gmail.com</t>
  </si>
  <si>
    <t>karoldiazflores@gmail.com</t>
  </si>
  <si>
    <t>ludyoe@gmail.com</t>
  </si>
  <si>
    <t>saragp2707@gmail.com</t>
  </si>
  <si>
    <t>r.davila@chanispasteleria.com</t>
  </si>
  <si>
    <t>leslie091929@gmail.com</t>
  </si>
  <si>
    <t>elelegidoinnovador@gmail.com</t>
  </si>
  <si>
    <t>erikaromerp350@gmail.com</t>
  </si>
  <si>
    <t>edgardeflon138@gmail.com</t>
  </si>
  <si>
    <t>julio.flores@htw.com.pe</t>
  </si>
  <si>
    <t>inversioneslionea@gmail.com</t>
  </si>
  <si>
    <t>jrnizama@gmail.com</t>
  </si>
  <si>
    <t>betto.rivera@gmail.com</t>
  </si>
  <si>
    <t>fernandesdudaa05@gmail.com</t>
  </si>
  <si>
    <t>sandragarciaruiz58@gmail.com</t>
  </si>
  <si>
    <t>escandonjoel829@gmail.com</t>
  </si>
  <si>
    <t>everpr031074@gmail.com</t>
  </si>
  <si>
    <t>piso5peru.contacto@gmail.com</t>
  </si>
  <si>
    <t>luzmalagos37@gmail.com</t>
  </si>
  <si>
    <t>milenemariadasilva97@gmail.com</t>
  </si>
  <si>
    <t>mercedescastropizarro@gmail.com</t>
  </si>
  <si>
    <t>renatabufolo39472@gmail.com</t>
  </si>
  <si>
    <t>pastorromerorey@gmail.com</t>
  </si>
  <si>
    <t>rifu10391@gmail.com</t>
  </si>
  <si>
    <t>plenitudeestetica@hotmail.com</t>
  </si>
  <si>
    <t>jorge921carpio@gmail.com</t>
  </si>
  <si>
    <t>fermin-arbitro@hotmail.com</t>
  </si>
  <si>
    <t>ale.manuel0709@hotmail.com</t>
  </si>
  <si>
    <t>anaisabelribeirots@gmail.com</t>
  </si>
  <si>
    <t>brunagalvao8983@gmail.com</t>
  </si>
  <si>
    <t>liciapaulamoraes@gmail.com</t>
  </si>
  <si>
    <t>qzaidarocio935@gmail.com</t>
  </si>
  <si>
    <t>mariana.atendemuriae@gmail.com</t>
  </si>
  <si>
    <t>babykidsjanuaria@gmail.com</t>
  </si>
  <si>
    <t>elizangelaa.ferreirasantos@gmail.com</t>
  </si>
  <si>
    <t>luaanalucenaluana@gmail.com</t>
  </si>
  <si>
    <t>ldiazor.2237@gmail.com</t>
  </si>
  <si>
    <t>josysrc@hotmail.com</t>
  </si>
  <si>
    <t>agcg84@hotmail.com</t>
  </si>
  <si>
    <t>vivianevieira@gmail.com</t>
  </si>
  <si>
    <t>arpaservicos@gmail.com</t>
  </si>
  <si>
    <t>alxdubs1980@gmail.com</t>
  </si>
  <si>
    <t>cleudos378@gmail.com</t>
  </si>
  <si>
    <t>pilarnavarrocano50@gmail.com</t>
  </si>
  <si>
    <t>nicoletacristafovici@gmail.com</t>
  </si>
  <si>
    <t>instagram / influencer</t>
  </si>
  <si>
    <t>casadaracaomundoanimal@gmail.com</t>
  </si>
  <si>
    <t>l96459802@gmail.com</t>
  </si>
  <si>
    <t>facilitygroup2025@gmail.com</t>
  </si>
  <si>
    <t>reisthais480@gmail.com</t>
  </si>
  <si>
    <t>cristiano.jg100g@gmail.com</t>
  </si>
  <si>
    <t>contato@minhoquece.com.br</t>
  </si>
  <si>
    <t>tatioliver051989@gmail.com</t>
  </si>
  <si>
    <t>emilianogtz01@gmail.com</t>
  </si>
  <si>
    <t>xbelomi@gmail.com</t>
  </si>
  <si>
    <t>mtz900zab@gmail.com</t>
  </si>
  <si>
    <t>andersantoswork@gmail.com</t>
  </si>
  <si>
    <t>jehmaciel1234@gmail.com</t>
  </si>
  <si>
    <t>brenno.casagrand@gmail.com</t>
  </si>
  <si>
    <t>miguelalexisherreramorales7@gmail.com</t>
  </si>
  <si>
    <t>carlos.larosa@biass.pe</t>
  </si>
  <si>
    <t>lualbaldassari@gmail.com</t>
  </si>
  <si>
    <t>admin@innovimport-store.com</t>
  </si>
  <si>
    <t>luis.avalosgarfias@gmail.com</t>
  </si>
  <si>
    <t>psuarezpalma@gmail.com</t>
  </si>
  <si>
    <t>alevinicius_13@hotmail.com</t>
  </si>
  <si>
    <t>sebastian.martinez@ucsp.edu.pe</t>
  </si>
  <si>
    <t>josenildog64@gmail.com</t>
  </si>
  <si>
    <t>janelevetadedeus12@gmail.com</t>
  </si>
  <si>
    <t>zulusptc@gmail.com</t>
  </si>
  <si>
    <t>delperuexport.tienda@gmail.com</t>
  </si>
  <si>
    <t>v8tecserv@gmail.com</t>
  </si>
  <si>
    <t>marcosmartinsba40@gmail.com</t>
  </si>
  <si>
    <t>Hogar y Decoración</t>
  </si>
  <si>
    <t>marcelacristinamiguel305@gmail.com</t>
  </si>
  <si>
    <t>info@clic.com.pe</t>
  </si>
  <si>
    <t>administracion@qcorpnegocios.com</t>
  </si>
  <si>
    <t>andre.sousa@qvestido.com.br</t>
  </si>
  <si>
    <t>mauriciojosedossanto70@gmail.com</t>
  </si>
  <si>
    <t>fabianchavezoscardavid@gmail.com</t>
  </si>
  <si>
    <t>jcpizarrod@gmail.com</t>
  </si>
  <si>
    <t>jwalterincheu22@gmail.com</t>
  </si>
  <si>
    <t>valdeniomiguel00@gmail.com</t>
  </si>
  <si>
    <t>sorianoaguiluz2014@gmail.com</t>
  </si>
  <si>
    <t>jadiadeusdara@hotmail.com</t>
  </si>
  <si>
    <t>fwilsonfelicianodasilva448@gmail.com</t>
  </si>
  <si>
    <t>chino7garay@gmail.com</t>
  </si>
  <si>
    <t>waldirsolar@gmail.com</t>
  </si>
  <si>
    <t>guilhermeggarcia97@gmail.com</t>
  </si>
  <si>
    <t>sainzviktor93@gmail.com</t>
  </si>
  <si>
    <t>sobrinosantos98@gmail.com</t>
  </si>
  <si>
    <t>waltinha71@gmail.com</t>
  </si>
  <si>
    <t>wmmwjt@gmail.com</t>
  </si>
  <si>
    <t>jepacato100871@gmail.com</t>
  </si>
  <si>
    <t>avalquig@yahoo.es</t>
  </si>
  <si>
    <t>pilarmendotello@guimel.com</t>
  </si>
  <si>
    <t>edjanes.araujo@gmail.com</t>
  </si>
  <si>
    <t>reyiina_1968@hotmail.com</t>
  </si>
  <si>
    <t>julianojd123@gmail.com</t>
  </si>
  <si>
    <t>planetkidsfloripa@gmail.com</t>
  </si>
  <si>
    <t>gamercelloficial@gmail.com</t>
  </si>
  <si>
    <t>elizabethnicolastinoco28@gmail.com</t>
  </si>
  <si>
    <t>danieladasilvagarciasantos@gmail.com</t>
  </si>
  <si>
    <t>hpmotoparts1@gmail.com</t>
  </si>
  <si>
    <t>jorge2a03j@gmail.com</t>
  </si>
  <si>
    <t>hmorais@crecisp.org.br</t>
  </si>
  <si>
    <t>gersonbustamante4@gmail.com</t>
  </si>
  <si>
    <t>maurinanovais349@gmail.com</t>
  </si>
  <si>
    <t>novaonlinedf@gmail.com</t>
  </si>
  <si>
    <t>donpercycabinas@gmail.com</t>
  </si>
  <si>
    <t>otto_1606@outlook.com</t>
  </si>
  <si>
    <t>perezoropezajuancarlos331@gmail.com</t>
  </si>
  <si>
    <t>jorgearmandovillegasmedina@gmail.com</t>
  </si>
  <si>
    <t>nea040607@gmail.com</t>
  </si>
  <si>
    <t>brunapersonalskin@gmail.com</t>
  </si>
  <si>
    <t>hotdream725@gmail.com</t>
  </si>
  <si>
    <t>ericleslopes904@gmail.com</t>
  </si>
  <si>
    <t>james.segurach7@gmail.com</t>
  </si>
  <si>
    <t>francisconeyra1008@gmail.com</t>
  </si>
  <si>
    <t>balvinsalvatierral@gmail.com</t>
  </si>
  <si>
    <t>serchi.1357@gmail.com</t>
  </si>
  <si>
    <t>angelicasalvo1984@gmail.com</t>
  </si>
  <si>
    <t>daniellycarlech9@gmail.com</t>
  </si>
  <si>
    <t>jpajaresaliaga@gmail.com</t>
  </si>
  <si>
    <t>jruz.maldonado2022@hotmail.com</t>
  </si>
  <si>
    <t>marcosdione1017@gmail.com</t>
  </si>
  <si>
    <t>alexandergarciasullca@gmail.com</t>
  </si>
  <si>
    <t>lety67239@gmail.com</t>
  </si>
  <si>
    <t>jomiamartinez91@gmail.com</t>
  </si>
  <si>
    <t>kinhopaixaophotos@gmail.com</t>
  </si>
  <si>
    <t>mario.calle.96@gmail.com</t>
  </si>
  <si>
    <t>oly061580@gmail.com</t>
  </si>
  <si>
    <t>diegoslu1112@gmail.com</t>
  </si>
  <si>
    <t>brayanflores6734@gmail.com</t>
  </si>
  <si>
    <t>agenciaideiamidia@gmail.com</t>
  </si>
  <si>
    <t>n45571864@gmail.com</t>
  </si>
  <si>
    <t>jorderique29@gmail.com</t>
  </si>
  <si>
    <t>julesmibbsita@gmail.com</t>
  </si>
  <si>
    <t>derickguzmancampos@gmail.com</t>
  </si>
  <si>
    <t>pedropaulocunha@hotmail.com</t>
  </si>
  <si>
    <t>martcar2003@hotmail.com</t>
  </si>
  <si>
    <t>aaneto44@gmail.com</t>
  </si>
  <si>
    <t>detect.int001@gmail.com</t>
  </si>
  <si>
    <t>natbiomatya.oficial@gmail.com</t>
  </si>
  <si>
    <t>lunitatorres@gmail.com</t>
  </si>
  <si>
    <t>deiwan_007@hotmail.com</t>
  </si>
  <si>
    <t>fernandoriscoabrego@gmail.com</t>
  </si>
  <si>
    <t>mateozoto2018@gmail.com</t>
  </si>
  <si>
    <t>hhtumbes@gmail.com</t>
  </si>
  <si>
    <t>ramonpezo777@gmail.com</t>
  </si>
  <si>
    <t>linaressaavedrajunior2@gmail.com</t>
  </si>
  <si>
    <t>pabloenriquemore@gmail.com</t>
  </si>
  <si>
    <t>moisesgomezisla64@gmail.com</t>
  </si>
  <si>
    <t>denifariaslima@gmail.com</t>
  </si>
  <si>
    <t>helengracianhernandez@gmail.com</t>
  </si>
  <si>
    <t>rosmerybarzola25@gmail.com</t>
  </si>
  <si>
    <t>santossouzamauricio10@gmail.com</t>
  </si>
  <si>
    <t>anakarinaserenotorres@gmail.com</t>
  </si>
  <si>
    <t>cahuanahuaringar@gmail.com</t>
  </si>
  <si>
    <t>carlos.psicanalista7@gmail.com</t>
  </si>
  <si>
    <t>comercialjpa@despachorapido.com.br</t>
  </si>
  <si>
    <t>oliveirapedranoeli@gmail.com</t>
  </si>
  <si>
    <t>dayhanareadi40@gmail.com</t>
  </si>
  <si>
    <t>carlosjavierm@gmail.com</t>
  </si>
  <si>
    <t>maricelabm1972@gmail.com</t>
  </si>
  <si>
    <t>cochi11carkos@gmail.com</t>
  </si>
  <si>
    <t>reobliga@hotmail.com</t>
  </si>
  <si>
    <t>ottagustavo@hotmail.com</t>
  </si>
  <si>
    <t>manzanillosolyarena56@gmail.com</t>
  </si>
  <si>
    <t>vegitoexeloquendero@gmail.com</t>
  </si>
  <si>
    <t>gerardac2602@gmail.com</t>
  </si>
  <si>
    <t>fabiosb.batista@gmail.com</t>
  </si>
  <si>
    <t>targinoreb@gmail.com</t>
  </si>
  <si>
    <t>fwsaudefitness@gmail.com</t>
  </si>
  <si>
    <t>p.aguiar508@gmail.com</t>
  </si>
  <si>
    <t>adonay1724@hotmail.com</t>
  </si>
  <si>
    <t>datapulta@gmail.com</t>
  </si>
  <si>
    <t>basilio.trattoria@gmail.com</t>
  </si>
  <si>
    <t>jllherbal@gmail.com</t>
  </si>
  <si>
    <t>ingridsauceda53@gmail.com</t>
  </si>
  <si>
    <t>essabetty@gmail.com</t>
  </si>
  <si>
    <t>alexanderg@bytexbyte.pe</t>
  </si>
  <si>
    <t>davi.jesus@associadoirineu.com.br</t>
  </si>
  <si>
    <t>elenagro3006@gmail.com</t>
  </si>
  <si>
    <t>mmarcal18@hotmail.com</t>
  </si>
  <si>
    <t>noegarciagalan6@gmail.com</t>
  </si>
  <si>
    <t>resguardosenrique@gmail.com</t>
  </si>
  <si>
    <t>panchitogonzales939@gmail.com</t>
  </si>
  <si>
    <t>m.siucho2001@gmail.com</t>
  </si>
  <si>
    <t>juankferro@gmail.com</t>
  </si>
  <si>
    <t>juanjasiu@gmail.com</t>
  </si>
  <si>
    <t>sales_oferta2x1_peru</t>
  </si>
  <si>
    <t>zanardo.marcos@gmail.com</t>
  </si>
  <si>
    <t>rafaelantoniosarmientoperez@gmail.com</t>
  </si>
  <si>
    <t>mejiamallquineyda9@gmail.com</t>
  </si>
  <si>
    <t>leuqar991008@gmail.com</t>
  </si>
  <si>
    <t>joilsonc57@gmail.com</t>
  </si>
  <si>
    <t>victormangiante01@gmail.com</t>
  </si>
  <si>
    <t>racharhurtado@gmail.com</t>
  </si>
  <si>
    <t>fredyluis1991@gmail.com</t>
  </si>
  <si>
    <t>juanarondoncossi@gmail.com</t>
  </si>
  <si>
    <t>elmayorista43@gmail.com</t>
  </si>
  <si>
    <t>20221747@une.edu.pe</t>
  </si>
  <si>
    <t>angelojvelar17@gmail.com</t>
  </si>
  <si>
    <t>lilianagoicochea14@gmail.com</t>
  </si>
  <si>
    <t>janusafigueiredo@gmail.com</t>
  </si>
  <si>
    <t>zcruzadobringas@gmail.com</t>
  </si>
  <si>
    <t>vicente.garcia83@gmail.com</t>
  </si>
  <si>
    <t>dsafiox@gmail.com</t>
  </si>
  <si>
    <t>acb_carlos_10@hotmail.com</t>
  </si>
  <si>
    <t>andreshdzdelfin@gmail.com</t>
  </si>
  <si>
    <t>victor8441laco@gmail.com</t>
  </si>
  <si>
    <t>cirlenefzeferinocampos@gmail.com</t>
  </si>
  <si>
    <t>am.interiores@outlook.com</t>
  </si>
  <si>
    <t>renylima1982@hotmail.com</t>
  </si>
  <si>
    <t>cleversonvas1@gmail.com</t>
  </si>
  <si>
    <t>pc042608@gmail.com</t>
  </si>
  <si>
    <t>pricilacoradini@gmail.com</t>
  </si>
  <si>
    <t>dinhoalianca@gmail.com</t>
  </si>
  <si>
    <t>nktatacado2020@gmail.com</t>
  </si>
  <si>
    <t>rsgmramon@gmail.com</t>
  </si>
  <si>
    <t>lucanonilver70@gmail.com</t>
  </si>
  <si>
    <t>franciscoceliosoaressales@gmail.com</t>
  </si>
  <si>
    <t>alejandrocristobalarenasvargas@gmail.com</t>
  </si>
  <si>
    <t>hernandezmariscaljorgeantonio@gmail.com</t>
  </si>
  <si>
    <t>cynthiaherrera.ponce@gmail.com</t>
  </si>
  <si>
    <t>tito311070@gmail.com</t>
  </si>
  <si>
    <t>grupovisaoforte@gmail.com</t>
  </si>
  <si>
    <t>edgar.osores@gmail.com</t>
  </si>
  <si>
    <t>clarazevallosortega17@gmail.com</t>
  </si>
  <si>
    <t>growthonlinepro@gmail.com</t>
  </si>
  <si>
    <t>jesussierra9099@gmail.com</t>
  </si>
  <si>
    <t>amramnv@gmail.com</t>
  </si>
  <si>
    <t>samukalocutorvoz@gmail.com</t>
  </si>
  <si>
    <t>estancia.mob@gmail.com</t>
  </si>
  <si>
    <t>camore70@yahoo.com.br</t>
  </si>
  <si>
    <t>ubillus4@gmail.com</t>
  </si>
  <si>
    <t>blankita_fbv@hotmail.com</t>
  </si>
  <si>
    <t>felixedgar487@gmail.com</t>
  </si>
  <si>
    <t>veritomar202008@gmail.com</t>
  </si>
  <si>
    <t>victor.godoy1809@gmail.com</t>
  </si>
  <si>
    <t>ivonneestherporqueespinoza@gmail.com</t>
  </si>
  <si>
    <t>raza29sc@hotmail.com</t>
  </si>
  <si>
    <t>hildarf60@hotmail.com</t>
  </si>
  <si>
    <t>juarezlelis69@gmail.com</t>
  </si>
  <si>
    <t>rf45194@gmail.com</t>
  </si>
  <si>
    <t>linoserrucheve@gmail.com</t>
  </si>
  <si>
    <t>impulso.sedeizaguirre@gmail.com</t>
  </si>
  <si>
    <t>dillawy33@gmail.com</t>
  </si>
  <si>
    <t>castillo.roberto5@gmail.com</t>
  </si>
  <si>
    <t>elviscruzaleguipinillos@gmail.com</t>
  </si>
  <si>
    <t>reifese@gmail.com</t>
  </si>
  <si>
    <t>sfdhfmhj9@gmail.com</t>
  </si>
  <si>
    <t>dbfg83@gmail.com</t>
  </si>
  <si>
    <t>siemensblacks@gmail.com</t>
  </si>
  <si>
    <t>elvia855@hotmail.com</t>
  </si>
  <si>
    <t>siesquenpizarrokatherinabeatri@gmail.com</t>
  </si>
  <si>
    <t>julietardesing@gmail.com</t>
  </si>
  <si>
    <t>dianamacedo218@gmail.com</t>
  </si>
  <si>
    <t>grupo.rpm2025@gmail.com</t>
  </si>
  <si>
    <t>aapks723@gmail.com</t>
  </si>
  <si>
    <t>agusmm68@gmail.com</t>
  </si>
  <si>
    <t>nilzamariaadm01@gmail.com</t>
  </si>
  <si>
    <t>vitro_velez@hotmail.com</t>
  </si>
  <si>
    <t>jochevh1@gmail.com</t>
  </si>
  <si>
    <t>almaelisa81@gmail.com</t>
  </si>
  <si>
    <t>tumundoaldigital@gmail.com</t>
  </si>
  <si>
    <t>charmetpe@gmail.com</t>
  </si>
  <si>
    <t>ailtoncosta73@gmail.com</t>
  </si>
  <si>
    <t>erg1967@outlook.com</t>
  </si>
  <si>
    <t>elenilsejeronimo@gmail.com</t>
  </si>
  <si>
    <t>gianvargasp@gmail.com</t>
  </si>
  <si>
    <t>guzmanaraceli490@gmail.com</t>
  </si>
  <si>
    <t>yakelineh40@gmail.com</t>
  </si>
  <si>
    <t>clubsymaaimemartinez@gmail.com</t>
  </si>
  <si>
    <t>gutierrezramonjuanantonio03@gmail.com</t>
  </si>
  <si>
    <t>reymundoa812@gmail.com</t>
  </si>
  <si>
    <t>jarrltda@hotmail.com</t>
  </si>
  <si>
    <t>servbem@outlook.com.br</t>
  </si>
  <si>
    <t>levanosaucedols@gmail.com</t>
  </si>
  <si>
    <t>danielvmoranh@gmail.com</t>
  </si>
  <si>
    <t>rcarrerachavez@gmail.com</t>
  </si>
  <si>
    <t>ee5563384@gmail.com</t>
  </si>
  <si>
    <t>solanojimenezabraham3@gmail.com</t>
  </si>
  <si>
    <t>gabrielalima1234599@gmail.com</t>
  </si>
  <si>
    <t>nell.ruth.c.a@gmail.com</t>
  </si>
  <si>
    <t>renata.parizoto@gmail.com</t>
  </si>
  <si>
    <t>brunialejandro648@gmail.com</t>
  </si>
  <si>
    <t>danielanicolelugojuarez14@gmail.com</t>
  </si>
  <si>
    <t>nelsonsanchezcruz11@gmail.com</t>
  </si>
  <si>
    <t>celulardigitalredmia1@gmail.com</t>
  </si>
  <si>
    <t>jivagris1989@gmail.com</t>
  </si>
  <si>
    <t>anamariamenecescampos846@gmail.com</t>
  </si>
  <si>
    <t>sunpositivesolarenergy@gmail.com</t>
  </si>
  <si>
    <t>cleomar625@gmail.com</t>
  </si>
  <si>
    <t>vivianaiurk@gmail.com</t>
  </si>
  <si>
    <t>anthonycana1996@gmail.com</t>
  </si>
  <si>
    <t>cuatemigue63@gmail.com</t>
  </si>
  <si>
    <t>williandossantossilva12@gmail.com</t>
  </si>
  <si>
    <t>cristiancortezperu@gmail.com</t>
  </si>
  <si>
    <t>marcolombe6@gmail.com</t>
  </si>
  <si>
    <t>vmelo8199@gmail.com</t>
  </si>
  <si>
    <t>noepersornal@gmail.com</t>
  </si>
  <si>
    <t>juansolier1106@gmail.com</t>
  </si>
  <si>
    <t>rolandoegoavil33@gmail.com</t>
  </si>
  <si>
    <t>refrigeracao42@gmail.com</t>
  </si>
  <si>
    <t>davidbarbosaalmeida@gmail.com</t>
  </si>
  <si>
    <t>outrabusca@gmail.com</t>
  </si>
  <si>
    <t>dgironsosa@gmail.com</t>
  </si>
  <si>
    <t>oliveiraborgesc@hotmail.com</t>
  </si>
  <si>
    <t>contatoerikdiet@gmail.com</t>
  </si>
  <si>
    <t>elkiness265@gmail.com</t>
  </si>
  <si>
    <t>espbarra333@gmail.com</t>
  </si>
  <si>
    <t>cidinhodecristo@gmail.com</t>
  </si>
  <si>
    <t>kawsaylq@gmail.com</t>
  </si>
  <si>
    <t>sebastian.ca010203@icloud.com</t>
  </si>
  <si>
    <t>anasartori554@gmail.com</t>
  </si>
  <si>
    <t>welytoncleyton.wc@gmail.com</t>
  </si>
  <si>
    <t>sinvalrocha438@gmail.com</t>
  </si>
  <si>
    <t>chcarloss12345@gmail.com</t>
  </si>
  <si>
    <t>milady2001@hotmail.com</t>
  </si>
  <si>
    <t>facturas.sazon.isabel@gmail.com</t>
  </si>
  <si>
    <t>danielmatsdaconceicaodaniel@gmail.com</t>
  </si>
  <si>
    <t>arturoquirino31@gmail.com</t>
  </si>
  <si>
    <t>lama.rodriguez21@gmail.com</t>
  </si>
  <si>
    <t>novalife189@gmail.com</t>
  </si>
  <si>
    <t>lospatascj@gmail.com</t>
  </si>
  <si>
    <t>levalinareswalter@gmail.com</t>
  </si>
  <si>
    <t>gutierrezpnayeli@gmail.com</t>
  </si>
  <si>
    <t>sgargurevich@gmail.com</t>
  </si>
  <si>
    <t>pabliziocavalcante21@hotmail.com</t>
  </si>
  <si>
    <t>fredyairebejarano@gmail.com</t>
  </si>
  <si>
    <t>cpajuelolop@gmail.com</t>
  </si>
  <si>
    <t>mariosanchez5787@gmail.com</t>
  </si>
  <si>
    <t>porta2025mary@gmail.com</t>
  </si>
  <si>
    <t>comserms6@gmail.com</t>
  </si>
  <si>
    <t>aguilarestradadavid24@gmail.com</t>
  </si>
  <si>
    <t>adrianohendrik@gmail.com</t>
  </si>
  <si>
    <t>tonomendoza26439@gmail.com</t>
  </si>
  <si>
    <t>karenrosalesfrancia@gmail.com</t>
  </si>
  <si>
    <t>hyg3000@hotmail.com</t>
  </si>
  <si>
    <t>yoxselina.mata@gmail.com</t>
  </si>
  <si>
    <t>xiomibereche@gmail.com</t>
  </si>
  <si>
    <t>oortizflorez@gmail.com</t>
  </si>
  <si>
    <t>huaccachimarco@gmail.com</t>
  </si>
  <si>
    <t>dcanchuricra@pucp.edu.pe</t>
  </si>
  <si>
    <t>hectorabelgomez@gmail.com</t>
  </si>
  <si>
    <t>jhenryrl78@gmail.com</t>
  </si>
  <si>
    <t>lg121050@gmail.com</t>
  </si>
  <si>
    <t>aerofacturaspim@gmail.com</t>
  </si>
  <si>
    <t>casadociclistavr2020@gmail.com</t>
  </si>
  <si>
    <t>josephv.vdl@gmail.com</t>
  </si>
  <si>
    <t>luzrubiragodoy@gmail.com</t>
  </si>
  <si>
    <t>gerenciageneralferreboom@gmail.com</t>
  </si>
  <si>
    <t>sqrafael@yahoo.com.mx</t>
  </si>
  <si>
    <t>ivanfrq-kuyasqay@hotmail.com</t>
  </si>
  <si>
    <t>arojasc83@gmail.com</t>
  </si>
  <si>
    <t>marcelarios909@yahoo.com</t>
  </si>
  <si>
    <t>edenilsondasilvad@gmai.com</t>
  </si>
  <si>
    <t>dcasma@artidororodriguez.com</t>
  </si>
  <si>
    <t>pgodoi1306@gmail.com</t>
  </si>
  <si>
    <t>felixhernan99@gmail.com</t>
  </si>
  <si>
    <t>pergaru1@gmail.com</t>
  </si>
  <si>
    <t>juniorcastropasache819@gmail.com</t>
  </si>
  <si>
    <t>camionfap@hotmail.com</t>
  </si>
  <si>
    <t>roger.rios.p@gmail.com</t>
  </si>
  <si>
    <t>ventas@firmeasy.legal</t>
  </si>
  <si>
    <t>anidemlupita@hotmail.com</t>
  </si>
  <si>
    <t>manolojr007@hotmail.com</t>
  </si>
  <si>
    <t>johnnyaular22@gmail.com</t>
  </si>
  <si>
    <t>tadeouribe88270685@gmail.com</t>
  </si>
  <si>
    <t>jhordandiazfalcon70225@gmail.com</t>
  </si>
  <si>
    <t>elprofeacuna1977@gmail.com</t>
  </si>
  <si>
    <t>liamneizan27@gmail.com</t>
  </si>
  <si>
    <t>juanjc6@hotmail.com</t>
  </si>
  <si>
    <t>dizquierdohuayaban@gmail.com</t>
  </si>
  <si>
    <t>ricardo.moreno.a5263@gmail.com</t>
  </si>
  <si>
    <t>uni.apuntefor@gmail.com</t>
  </si>
  <si>
    <t>benayanitor@hotmail.com</t>
  </si>
  <si>
    <t>BING</t>
  </si>
  <si>
    <t>johan03092015@gmail.com</t>
  </si>
  <si>
    <t>rodor725@gmail.com</t>
  </si>
  <si>
    <t>elgatod207@gmail.com</t>
  </si>
  <si>
    <t>cdsproducciones@icloud.com</t>
  </si>
  <si>
    <t>josegk647@gmail.com</t>
  </si>
  <si>
    <t>vanuza_vi@hotmail.com</t>
  </si>
  <si>
    <t>dianabreascarranza@gmail.com</t>
  </si>
  <si>
    <t>centrodebendicion777@gmail.com</t>
  </si>
  <si>
    <t>urbanstoremonteria@gmail.com</t>
  </si>
  <si>
    <t>newsyesterday552@gmail.com</t>
  </si>
  <si>
    <t>amiphonesac@gamil.com</t>
  </si>
  <si>
    <t>globaltrendy27@gmail.com</t>
  </si>
  <si>
    <t>anayuliirodriguez@gmail.com</t>
  </si>
  <si>
    <t>su.mdr2911@gmail.com</t>
  </si>
  <si>
    <t>jurandioliveira36@gmail.com</t>
  </si>
  <si>
    <t>leydianefontenele0@gmail.com</t>
  </si>
  <si>
    <t>mebarib@yahoo.com</t>
  </si>
  <si>
    <t>antoninopierodc@gmail.com</t>
  </si>
  <si>
    <t>rmvh033@gmail.com</t>
  </si>
  <si>
    <t>josedaniellopezrojas03@gmail.com</t>
  </si>
  <si>
    <t>ingoscarbenavides@gmail.com</t>
  </si>
  <si>
    <t>valdemarjosemarques66836@gmail.com</t>
  </si>
  <si>
    <t>tnaquelequemefortalece78@gmail.com</t>
  </si>
  <si>
    <t>emer_lm5@hotmail.com</t>
  </si>
  <si>
    <t>marcondisvitrem@gmail.com</t>
  </si>
  <si>
    <t>huamantuanamajonathan@gmail.com</t>
  </si>
  <si>
    <t>sergioca1973@hotmail.com</t>
  </si>
  <si>
    <t>reateguimarlene0708@gmail.com</t>
  </si>
  <si>
    <t>zc.isavi@gmail.com</t>
  </si>
  <si>
    <t>charaparestobarperu2024@gmail.com</t>
  </si>
  <si>
    <t>jyvjunior@gmail.com</t>
  </si>
  <si>
    <t>williamandreshuamanoyarce5@gmail.com</t>
  </si>
  <si>
    <t>lucas.moreno.olivos@gmail.com</t>
  </si>
  <si>
    <t>antoniopsdjunior@gmail.com</t>
  </si>
  <si>
    <t>domimontero12@gmail.com</t>
  </si>
  <si>
    <t>arriagapachecojennifernicol@gmail.com</t>
  </si>
  <si>
    <t>guinho31234@gmail.com</t>
  </si>
  <si>
    <t>miruizeg@gmail.com</t>
  </si>
  <si>
    <t>maelraycm@gmail.com</t>
  </si>
  <si>
    <t>cintiagoncalvesmodas@gmail.com</t>
  </si>
  <si>
    <t>josewilsonfarronansuclupe074@gmail.com</t>
  </si>
  <si>
    <t>adrianofacundosantos@gmail.com</t>
  </si>
  <si>
    <t>matsugol10@gmail.com</t>
  </si>
  <si>
    <t>celimarpereira478@gmail.com</t>
  </si>
  <si>
    <t>bellaluz200@hotmail.com</t>
  </si>
  <si>
    <t>abelmorenopradoabel@gmail.com</t>
  </si>
  <si>
    <t>jesusandree1205@gmail.com</t>
  </si>
  <si>
    <t>maiaraguedes341@gmail.com</t>
  </si>
  <si>
    <t>transportesjrdelperu@gmail.com</t>
  </si>
  <si>
    <t>ventas@puntomoda.com.pe</t>
  </si>
  <si>
    <t>joselinosilvaf98@gmail.com</t>
  </si>
  <si>
    <t>segundosinarahua977@gmail.com</t>
  </si>
  <si>
    <t>joseneide874@gmail.com</t>
  </si>
  <si>
    <t>dander28.13@gmail.com</t>
  </si>
  <si>
    <t>afiliados1973@gmail.com</t>
  </si>
  <si>
    <t>braythe9@gmail.com</t>
  </si>
  <si>
    <t>khollyvoohr@gmail.com</t>
  </si>
  <si>
    <t>aguaoasistpp@gmail.com</t>
  </si>
  <si>
    <t>angeljesus1997@hotmail.com</t>
  </si>
  <si>
    <t>groberquintopd2@gmail.com</t>
  </si>
  <si>
    <t>ej73075@gmail.com</t>
  </si>
  <si>
    <t>krolreis15@hotmail.com</t>
  </si>
  <si>
    <t>kathleengalvez89@gmail.com</t>
  </si>
  <si>
    <t>michelinigc@gmail.com</t>
  </si>
  <si>
    <t>darianllilis@gmail.com</t>
  </si>
  <si>
    <t>mwfitnessweb@gmail.com</t>
  </si>
  <si>
    <t>cushinovoa@gmail.com</t>
  </si>
  <si>
    <t>eriosbarreto@hotmail.com</t>
  </si>
  <si>
    <t>nilda.silva.maria10086@gmail.com</t>
  </si>
  <si>
    <t>ignavenegas2009@gmail.com</t>
  </si>
  <si>
    <t>facebook / messages</t>
  </si>
  <si>
    <t>dfernandez@tranqui.pe</t>
  </si>
  <si>
    <t>monthary@hotmail.com</t>
  </si>
  <si>
    <t>perezjoserafael1973@gmail.com</t>
  </si>
  <si>
    <t>llashacmachacaadrian@gmail.com</t>
  </si>
  <si>
    <t>juan@yaya.tech</t>
  </si>
  <si>
    <t>pattyexpress22@gmail.com</t>
  </si>
  <si>
    <t>esteticistamalugil@gmail.com</t>
  </si>
  <si>
    <t>araucovillavicenciom@gmail.com</t>
  </si>
  <si>
    <t>padeirorafaell@gmail.com</t>
  </si>
  <si>
    <t>dirceu.limaac@gmail.com</t>
  </si>
  <si>
    <t>guillermo.gsl94@gmail.com.pe</t>
  </si>
  <si>
    <t>andyaguilarmacahuachi44@gmail.com</t>
  </si>
  <si>
    <t>mascarenhasbrt@hotmail.com</t>
  </si>
  <si>
    <t>frankastuvilca319@gmail.com</t>
  </si>
  <si>
    <t>herbertgaliano@gmail.com</t>
  </si>
  <si>
    <t>ONLINE_STORE;WHATSAPP_BUSINESS;SOCIAL_NETWORKS;PHYSICAL_STORE</t>
  </si>
  <si>
    <t>dbissom@gmail.com</t>
  </si>
  <si>
    <t>gallinasdoradasnaranjal@gmail.com</t>
  </si>
  <si>
    <t>ivonne.rios1012@gmail.com</t>
  </si>
  <si>
    <t>isabellabra419@gmail.com</t>
  </si>
  <si>
    <t>denzel131184@gmail.com</t>
  </si>
  <si>
    <t>juanalmeida291@gmail.com</t>
  </si>
  <si>
    <t>rmelo@anderson.edu</t>
  </si>
  <si>
    <t>roosevelt-sales@hotmail.com</t>
  </si>
  <si>
    <t>jgutierrezgonzales18@hmail.com</t>
  </si>
  <si>
    <t>minerva.33.al@gmail.com</t>
  </si>
  <si>
    <t>vicentecandelabro@gmail.com</t>
  </si>
  <si>
    <t>perushoptime@gmail.com</t>
  </si>
  <si>
    <t>rodolfoma784@gmail.com</t>
  </si>
  <si>
    <t>cissi-25@hotmail.com</t>
  </si>
  <si>
    <t>mariamoyanoc24@gmail.com</t>
  </si>
  <si>
    <t>grupo.sytel.ti@gmail.com</t>
  </si>
  <si>
    <t>ce29falcon@gmail.com</t>
  </si>
  <si>
    <t>renzocordovamatias@gmail.com</t>
  </si>
  <si>
    <t>edwinrjb@gmail.com</t>
  </si>
  <si>
    <t>m65586602@gmail.com</t>
  </si>
  <si>
    <t>gaby.ando.dav@gmail.com</t>
  </si>
  <si>
    <t>maria2614ruiz@gmail.com</t>
  </si>
  <si>
    <t>brian-92-12@hotmail.com</t>
  </si>
  <si>
    <t>ronnymarvin.chavezsoria@gmail.com</t>
  </si>
  <si>
    <t>prodriguez1702@gmail.com</t>
  </si>
  <si>
    <t>cesarcosi777@gmail.com</t>
  </si>
  <si>
    <t>jdanielmarin.2805@gmail.com</t>
  </si>
  <si>
    <t>abregounavarro@gmail.com</t>
  </si>
  <si>
    <t>radr.dominguez@gmail.com</t>
  </si>
  <si>
    <t>vladmir.ramos0000@gmail.com</t>
  </si>
  <si>
    <t>marcoreategui7519@gmail.com</t>
  </si>
  <si>
    <t>nicole.silva.1424@gmail.com</t>
  </si>
  <si>
    <t>josefinacar.sp@gmail.com</t>
  </si>
  <si>
    <t>mhalex29@gmail.com</t>
  </si>
  <si>
    <t>claudencir.messias@gmail.com</t>
  </si>
  <si>
    <t>miguelpostigo12@gmail.com</t>
  </si>
  <si>
    <t>prandreluiz19@gmail.com</t>
  </si>
  <si>
    <t>rogerioresende489@gmail.com</t>
  </si>
  <si>
    <t>renildapaulino45@gmail.com</t>
  </si>
  <si>
    <t>arielkemper@camping44.com.py</t>
  </si>
  <si>
    <t>joha.ev03@gmail.com</t>
  </si>
  <si>
    <t>luchocorrea648@gmail.com</t>
  </si>
  <si>
    <t>mariaaliciar78@gmail.com</t>
  </si>
  <si>
    <t>pedrocuricollazos@gmail.com</t>
  </si>
  <si>
    <t>anaferreira20092009@hotmail.com</t>
  </si>
  <si>
    <t>turismo.caballos.chivay@gmail.com</t>
  </si>
  <si>
    <t>magobato@gmail.com</t>
  </si>
  <si>
    <t>oswaldo.ramirez1801@gmail.com</t>
  </si>
  <si>
    <t>zafiro280693@gmail.com</t>
  </si>
  <si>
    <t>zgatsbi@gmail.com</t>
  </si>
  <si>
    <t>laurasuney@gimail.com</t>
  </si>
  <si>
    <t>juanrivas43@msn.com</t>
  </si>
  <si>
    <t>facundocolman@camping44.com.py</t>
  </si>
  <si>
    <t>folivarit@gmail.com</t>
  </si>
  <si>
    <t>negociosegurovm30@gmail.com</t>
  </si>
  <si>
    <t>altamiranofernandezmariamargar@gmail.com</t>
  </si>
  <si>
    <t>claudio.sintego1974@gmail.com</t>
  </si>
  <si>
    <t>dzmarafernandes@gmail.com</t>
  </si>
  <si>
    <t>jpaulbarrios@gmail.com</t>
  </si>
  <si>
    <t>japon.usuario@gmail.com</t>
  </si>
  <si>
    <t>cpaigel@hotmail.com</t>
  </si>
  <si>
    <t>mvglobaltradesac@gmail.com</t>
  </si>
  <si>
    <t>visneyyalila24@gmail.com</t>
  </si>
  <si>
    <t>abnerpardini19@gmail.com</t>
  </si>
  <si>
    <t>lfdelcampo91@gmail.com</t>
  </si>
  <si>
    <t>macielmiranda9779@gmail.com</t>
  </si>
  <si>
    <t>davidjosueperezmendoza@hotmail.com</t>
  </si>
  <si>
    <t>kathylizarragaovalle@gmail.com</t>
  </si>
  <si>
    <t>francisoaresfarias75@gmail.com</t>
  </si>
  <si>
    <t>aline_rossipereira@hotmail.com</t>
  </si>
  <si>
    <t>javierbrill12@gmail.com</t>
  </si>
  <si>
    <t>thaemelima09@icloud.com</t>
  </si>
  <si>
    <t>everaldolima010@gmail.com</t>
  </si>
  <si>
    <t>jheyshopperu@gmail.com</t>
  </si>
  <si>
    <t>cmoctezuma@moctezumatravels.com</t>
  </si>
  <si>
    <t>contato@lastribus.com.br</t>
  </si>
  <si>
    <t>directvventas3@gmail.com</t>
  </si>
  <si>
    <t>yago@yavendio.com</t>
  </si>
  <si>
    <t>silvon5643@gmail.com</t>
  </si>
  <si>
    <t>gguerrero0029@gmail.com</t>
  </si>
  <si>
    <t>denyrodrigues99@gmail.com</t>
  </si>
  <si>
    <t>lebicaflo@gmail.com</t>
  </si>
  <si>
    <t>ruizcarlos786@gmail.com</t>
  </si>
  <si>
    <t>luissousagoes717@gmail.com</t>
  </si>
  <si>
    <t>maperz999@gmail.com</t>
  </si>
  <si>
    <t>georgeokey@hotmail.com</t>
  </si>
  <si>
    <t>josedfdzssm@gmail.com</t>
  </si>
  <si>
    <t>maitetc2013@gmail.com</t>
  </si>
  <si>
    <t>vivicdr621@gmail.com</t>
  </si>
  <si>
    <t>portallucia137@gmail.com</t>
  </si>
  <si>
    <t>yvonnelarrieu@hotmail.com</t>
  </si>
  <si>
    <t>giuzampas@gmail.com</t>
  </si>
  <si>
    <t>shufran1607@gmail.com</t>
  </si>
  <si>
    <t>fabianalexandrovelizlopez@gmail.com</t>
  </si>
  <si>
    <t>segundoarriaga2@gmail.com</t>
  </si>
  <si>
    <t>lizbethjhanderlyhanna@gmail.com</t>
  </si>
  <si>
    <t>melquisedecc31@gmail.com</t>
  </si>
  <si>
    <t>leozirdholiveira2013@gmail.com</t>
  </si>
  <si>
    <t>jmsalcedob@gmail.com</t>
  </si>
  <si>
    <t>madresquefacturanclub@gmail.com</t>
  </si>
  <si>
    <t>victorrafaelramirezlopez843@gmail.com</t>
  </si>
  <si>
    <t>joesalasr@yahoo.es</t>
  </si>
  <si>
    <t>elienatorres@yahoo.com.br</t>
  </si>
  <si>
    <t>jorgemacedogomez@gmail.com</t>
  </si>
  <si>
    <t>aquispebel@ucvvirtual.edu.pe</t>
  </si>
  <si>
    <t>pedrorobertocasimiroramos@gmail.com</t>
  </si>
  <si>
    <t>thecremotafernando@gmail.com</t>
  </si>
  <si>
    <t>WHATSAPP_BUSINESS;NONE;SOCIAL_NETWORKS</t>
  </si>
  <si>
    <t>jopesal5@hotmail.com</t>
  </si>
  <si>
    <t>servistex2021@gmail.com</t>
  </si>
  <si>
    <t>empreendedor6b@gmail.com</t>
  </si>
  <si>
    <t>percymonky52@gmail.com</t>
  </si>
  <si>
    <t>chocceandre@gmail.com</t>
  </si>
  <si>
    <t>wendy64va@gmail.com</t>
  </si>
  <si>
    <t>castrejoneslinda@gmail.com</t>
  </si>
  <si>
    <t>intertourstravel121@gmail.com</t>
  </si>
  <si>
    <t>uelintonrodrigues452@gmail.com</t>
  </si>
  <si>
    <t>nenidolsan1974@gmail.com</t>
  </si>
  <si>
    <t>yanetelidaflorestenorio@gmail.com</t>
  </si>
  <si>
    <t>rosach181@gmail.com</t>
  </si>
  <si>
    <t>jscp.shande25@hotmail.com</t>
  </si>
  <si>
    <t>franciscocoronx235@gmail.com</t>
  </si>
  <si>
    <t>henrrypower26@gmail.com</t>
  </si>
  <si>
    <t>josemardelaguila071@gmail.com</t>
  </si>
  <si>
    <t>darb.1711@gmail.com</t>
  </si>
  <si>
    <t>gerardoeduclavijo@gmail.com</t>
  </si>
  <si>
    <t>compuestomineralsa@gmail.com</t>
  </si>
  <si>
    <t>rodrigosanchez200983@gmail.com</t>
  </si>
  <si>
    <t>aguirrelopezrosayuli@gmail.com</t>
  </si>
  <si>
    <t>raulzenozainl@gmail.com</t>
  </si>
  <si>
    <t>analy_97_35@hotmail.com</t>
  </si>
  <si>
    <t>gparedes@mcm.com.pe</t>
  </si>
  <si>
    <t>SOCIAL_NETWORKS;WHATSAPP_BUSINESS;PHYSICAL_STORE;ONLINE_STORE</t>
  </si>
  <si>
    <t>esplanadabarporcoes@gmail.com</t>
  </si>
  <si>
    <t>jadys1219@gmail.com</t>
  </si>
  <si>
    <t>taterveravizcarra@yahoo.com</t>
  </si>
  <si>
    <t>laprincesamoda@hotmail.com</t>
  </si>
  <si>
    <t>lidapalomino@yahoo.com</t>
  </si>
  <si>
    <t>pepemanchay1@gmail.com</t>
  </si>
  <si>
    <t>maylin.ds123@gmail.com</t>
  </si>
  <si>
    <t>josezq1196@gmail.com</t>
  </si>
  <si>
    <t>janaleticia1@gmail.com</t>
  </si>
  <si>
    <t>anaelisabethpalero@gmail.com</t>
  </si>
  <si>
    <t>artilleroaries2020@hotmail.com</t>
  </si>
  <si>
    <t>r_vera_1@hotmail.com</t>
  </si>
  <si>
    <t>nicolassousa746@gmail.com</t>
  </si>
  <si>
    <t>militargiovane@gmail.com</t>
  </si>
  <si>
    <t>ONLINE_STORE;NONE</t>
  </si>
  <si>
    <t>ezefores14@gmail.com</t>
  </si>
  <si>
    <t>rondinellecastro09@gmail.com</t>
  </si>
  <si>
    <t>madameisoldaboutique@gmail.com</t>
  </si>
  <si>
    <t>atrativa.presentes2020@gmail.com</t>
  </si>
  <si>
    <t>lanelucia9@gmail.com</t>
  </si>
  <si>
    <t>daniela44936228@gmail.com</t>
  </si>
  <si>
    <t>julianinha1952@hotmail.com</t>
  </si>
  <si>
    <t>jhordanvilchessanchez@gmail.com</t>
  </si>
  <si>
    <t>rozza945@gmail.com</t>
  </si>
  <si>
    <t>jari_1318@hotmail.com</t>
  </si>
  <si>
    <t>mejiabikershopeirl@gmail.com</t>
  </si>
  <si>
    <t>yeysondelacruzmorocho@gmail.com</t>
  </si>
  <si>
    <t>priisraell0@gmail.com</t>
  </si>
  <si>
    <t>wilmerguradia34@gmail.com</t>
  </si>
  <si>
    <t>demetrioheredia3@gmail.com</t>
  </si>
  <si>
    <t>quizpequilion@gmail.com</t>
  </si>
  <si>
    <t>amatista2126@gmail.com</t>
  </si>
  <si>
    <t>mujer.estrategica@outlook.com</t>
  </si>
  <si>
    <t>raulsabogal@gmail.com</t>
  </si>
  <si>
    <t>mvsegurad68@gmail.com</t>
  </si>
  <si>
    <t>eduroman9926@gmail.com</t>
  </si>
  <si>
    <t>jorgejrboyerlarrea@gmail.com</t>
  </si>
  <si>
    <t>davidhg6@hotmail.com</t>
  </si>
  <si>
    <t>raidahuaman5@gmail.com</t>
  </si>
  <si>
    <t>thalyamenezes15@gmail.com</t>
  </si>
  <si>
    <t>workshop_febrero_2026_forms</t>
  </si>
  <si>
    <t>arango.aida@gmail.com</t>
  </si>
  <si>
    <t>shoku1234@gmail.com</t>
  </si>
  <si>
    <t>gonzalesmoran.04@gmail.com</t>
  </si>
  <si>
    <t>jennifer2406huanca@gmail.com</t>
  </si>
  <si>
    <t>rgarridob1@gmail.com</t>
  </si>
  <si>
    <t>keveenleon3@gmail.com</t>
  </si>
  <si>
    <t>antonypicis21@gmail.com</t>
  </si>
  <si>
    <t>yamilleivav@gmail.com</t>
  </si>
  <si>
    <t>busaco_19@hotmail.com</t>
  </si>
  <si>
    <t>kikeheros75@gmail.com</t>
  </si>
  <si>
    <t>espinozaterronesluis@gmail.com</t>
  </si>
  <si>
    <t>nahuijetli@gmail.com</t>
  </si>
  <si>
    <t>jcarlosdp.18@gmail.com</t>
  </si>
  <si>
    <t>ONLINE_STORE;PHYSICAL_STORE</t>
  </si>
  <si>
    <t>jsptakizawa@gmail.com</t>
  </si>
  <si>
    <t>ngmezzegarra@gmail.com</t>
  </si>
  <si>
    <t>pilarverdei@gmail.com</t>
  </si>
  <si>
    <t>dhonesnc171@gmail.com</t>
  </si>
  <si>
    <t>marycar.ra08@gmail.com</t>
  </si>
  <si>
    <t>nelmer254@gamail.com</t>
  </si>
  <si>
    <t>bozajuniorsmith@gmail.com</t>
  </si>
  <si>
    <t>goalkeepersport22@gmail.com</t>
  </si>
  <si>
    <t>josebadagarcia@gmail.com</t>
  </si>
  <si>
    <t>linacadillo@gmail.com</t>
  </si>
  <si>
    <t>almogueze@gmail.com</t>
  </si>
  <si>
    <t>cossiohm@gmail.com</t>
  </si>
  <si>
    <t>mariellaolivari8@gmail.com</t>
  </si>
  <si>
    <t>poolbatti@hotmail.com</t>
  </si>
  <si>
    <t>nccopaay@gmail.com</t>
  </si>
  <si>
    <t>andrecabrera796@gmail.com</t>
  </si>
  <si>
    <t>elisandovalch38@gmail.com</t>
  </si>
  <si>
    <t>alejandracorreamejia26@gmail.com</t>
  </si>
  <si>
    <t>jrgoso413@gmail.com</t>
  </si>
  <si>
    <t>oscarramos@hmail.com</t>
  </si>
  <si>
    <t>lumhmendoza@gmail.com</t>
  </si>
  <si>
    <t>tranki_erazo@hotmail.com</t>
  </si>
  <si>
    <t>jose.apaza.bejar@gmail.com</t>
  </si>
  <si>
    <t>elmorita020480@gmail.com</t>
  </si>
  <si>
    <t>v_arzapalo@hotmail.com</t>
  </si>
  <si>
    <t>alangeouts@gmail.com</t>
  </si>
  <si>
    <t>marcelamunozmx@gmail.com</t>
  </si>
  <si>
    <t>susuaa39@gmail.com</t>
  </si>
  <si>
    <t>silvasernaquejosuearturo@gmail.com</t>
  </si>
  <si>
    <t>mariaavila@gmail.com</t>
  </si>
  <si>
    <t>gabrielestefano1978@gmail.com</t>
  </si>
  <si>
    <t>latam</t>
  </si>
  <si>
    <t>adm.posvendasdiniz@gmail.com</t>
  </si>
  <si>
    <t>evento / live_event</t>
  </si>
  <si>
    <t>giancarlocatering@gmail.com</t>
  </si>
  <si>
    <t>ucastrog7@gmail.com</t>
  </si>
  <si>
    <t>persc915@gmail.com</t>
  </si>
  <si>
    <t>vanessacastillog35@gmail.com</t>
  </si>
  <si>
    <t>ozinaldodantas@gmail.com</t>
  </si>
  <si>
    <t>katalentsmart@gmail.com</t>
  </si>
  <si>
    <t>sirilofloresyulino@gmail.com</t>
  </si>
  <si>
    <t>ortopediaej@gmail.com</t>
  </si>
  <si>
    <t>miansima11982@gmail.com</t>
  </si>
  <si>
    <t>pratamiljoias@gmail.com</t>
  </si>
  <si>
    <t>hansvalenzuelarosas@gmail.com</t>
  </si>
  <si>
    <t>diegof@yavendio.com</t>
  </si>
  <si>
    <t>ademirstreit@gmail.com</t>
  </si>
  <si>
    <t>alan.techcom@gmail.com</t>
  </si>
  <si>
    <t>aramisjesus1978@gmail.com</t>
  </si>
  <si>
    <t>doritharuizcoach@gmail.com</t>
  </si>
  <si>
    <t>agroserviciossalinas.sac@gmail.com</t>
  </si>
  <si>
    <t>cuzcanoenrique15@gmail.com</t>
  </si>
  <si>
    <t>kaizenperformance1@gmail.com</t>
  </si>
  <si>
    <t>reynaysla56@gmail.com</t>
  </si>
  <si>
    <t>valentinapanduromoran@gmail.com</t>
  </si>
  <si>
    <t>beikingwu@gmail.com</t>
  </si>
  <si>
    <t>fasabimozombitew@gmail.com</t>
  </si>
  <si>
    <t>18cheve@gmail.com</t>
  </si>
  <si>
    <t>cp2569329@gmail.com</t>
  </si>
  <si>
    <t>jaimec@yavendio.com</t>
  </si>
  <si>
    <t>abm.country@yahoo.com</t>
  </si>
  <si>
    <t>consultorclaudio6@gmail.com</t>
  </si>
  <si>
    <t>psicologaerikatello@gmail.com</t>
  </si>
  <si>
    <t>naturaldiaz@hotmail.com</t>
  </si>
  <si>
    <t>amyecruzfamilia@gmail.com</t>
  </si>
  <si>
    <t>ivetefergutz03@gmail.com</t>
  </si>
  <si>
    <t>araca687@gmail.com</t>
  </si>
  <si>
    <t>maritzamarhi@hotmail.com</t>
  </si>
  <si>
    <t>daromaz@hotmail.com</t>
  </si>
  <si>
    <t>sgrandac1@gmail.com</t>
  </si>
  <si>
    <t>luzelviralopez12@gmail.com</t>
  </si>
  <si>
    <t>nicodemos986@gmail.com</t>
  </si>
  <si>
    <t>designerborges@gmail.com</t>
  </si>
  <si>
    <t>fabienefonsecasoaresf@gmail.com</t>
  </si>
  <si>
    <t>andreza150araujo@gmail.com</t>
  </si>
  <si>
    <t>sone.mike@outlook.com</t>
  </si>
  <si>
    <t>juankarlosmonja@gmail.com</t>
  </si>
  <si>
    <t>btiquillahuancacarpio@gmail.com</t>
  </si>
  <si>
    <t>victormateo1971@gmail.com</t>
  </si>
  <si>
    <t>zofarmultiservicios@gmail.com</t>
  </si>
  <si>
    <t>marcelogkr3@gmail.com</t>
  </si>
  <si>
    <t>obedcherres161@gmail.com</t>
  </si>
  <si>
    <t>cabanillas.teran.heber1980@gmail.com</t>
  </si>
  <si>
    <t>josecarlosmarceloquintana17@gmail.com</t>
  </si>
  <si>
    <t>joelsonpereira1607@gmail.com</t>
  </si>
  <si>
    <t>badela634@gmail.com</t>
  </si>
  <si>
    <t>neoperu.ventas@gmail.com</t>
  </si>
  <si>
    <t>robertswagner41@gmail.com</t>
  </si>
  <si>
    <t>littleprincess.abbyas@gmail.com</t>
  </si>
  <si>
    <t>jossikigae5404@gmail.com</t>
  </si>
  <si>
    <t>mpamoisesperalta@gmail.com</t>
  </si>
  <si>
    <t>achowinapiedwin@gmail.com</t>
  </si>
  <si>
    <t>guiselaabad57@gmail.com</t>
  </si>
  <si>
    <t>alexmarxt11@hotmail.com</t>
  </si>
  <si>
    <t>marvick150@gmail.com</t>
  </si>
  <si>
    <t>mistolsac2025@gmail.com</t>
  </si>
  <si>
    <t>mariavaldiviacisneros123@gmail.com</t>
  </si>
  <si>
    <t>marianelamag@gmail.com</t>
  </si>
  <si>
    <t>garvidia@hotmail.com</t>
  </si>
  <si>
    <t>luveiga33@gmail.com</t>
  </si>
  <si>
    <t>huayllapumaescobedoluisalfredo@gmail.com</t>
  </si>
  <si>
    <t>fmeg.1975@gmail.com</t>
  </si>
  <si>
    <t>yomeva28@gmail.com</t>
  </si>
  <si>
    <t>terronesivone@gmail.com</t>
  </si>
  <si>
    <t>veronicanamuche28@gmail.com</t>
  </si>
  <si>
    <t>lebasyairam@gmail.com</t>
  </si>
  <si>
    <t>mate_1005@hotmail.com</t>
  </si>
  <si>
    <t>keniacristina778@gmail.com</t>
  </si>
  <si>
    <t>trofoastro@gmail.com</t>
  </si>
  <si>
    <t>marco.gonzales@auna.org</t>
  </si>
  <si>
    <t>marleni9a@gmail.com</t>
  </si>
  <si>
    <t>montoyaramosjoseluis6@gmail.com</t>
  </si>
  <si>
    <t>corporationsol@gmail.com</t>
  </si>
  <si>
    <t>rosemeirejacinto.c@gmail.com</t>
  </si>
  <si>
    <t>carf5405@gmail.com</t>
  </si>
  <si>
    <t>misskarinadxn@gmail.com</t>
  </si>
  <si>
    <t>rojazamado@gmail.com</t>
  </si>
  <si>
    <t>billcisneros55@gmail.com</t>
  </si>
  <si>
    <t>impresionesfullimprenta@gmail.com</t>
  </si>
  <si>
    <t>jcastillo112@gmail.com</t>
  </si>
  <si>
    <t>thaliasalced082@gmail.com</t>
  </si>
  <si>
    <t>yeremibastidas@gmail.com</t>
  </si>
  <si>
    <t>decoint72@gmail.com</t>
  </si>
  <si>
    <t>robinjeanpiero@gmail.com</t>
  </si>
  <si>
    <t>marcelofabio616@gmail.com</t>
  </si>
  <si>
    <t>michaelormaecheazalde@gmail.com</t>
  </si>
  <si>
    <t>kike_96@hotmail.com</t>
  </si>
  <si>
    <t>alephgabrielalfaroramos@gmail.com</t>
  </si>
  <si>
    <t>administracionyfinanzas@zeidem.com</t>
  </si>
  <si>
    <t>printcolors.ig2017@gmail.com</t>
  </si>
  <si>
    <t>leonardo_5670@hotmail.com</t>
  </si>
  <si>
    <t>maurito1887@gmail.com</t>
  </si>
  <si>
    <t>inicio049@gmail.com</t>
  </si>
  <si>
    <t>mjohnsonata@gmail.com</t>
  </si>
  <si>
    <t>adrianacarolm@gmail.com</t>
  </si>
  <si>
    <t>chefviniciusmaia@gmail.com</t>
  </si>
  <si>
    <t>61547597@rosario.edu.pe</t>
  </si>
  <si>
    <t>santoswelington941@gmail.com</t>
  </si>
  <si>
    <t>WHATSAPP_BUSINESS;SOCIAL_NETWORKS;ONLINE_STORE;PHYSICAL_STORE;NONE</t>
  </si>
  <si>
    <t>juanperaltapuemape@gmail.com</t>
  </si>
  <si>
    <t>jvertizc.segurosgenerales@gmail.com</t>
  </si>
  <si>
    <t>dondanielvalero21@gmail.com</t>
  </si>
  <si>
    <t>cabrerahuamansandrita@gmail.com</t>
  </si>
  <si>
    <t>alamoaq@gmail.com</t>
  </si>
  <si>
    <t>paolo40ruiz2022@gmail.com</t>
  </si>
  <si>
    <t>jrvo34@gmail.com</t>
  </si>
  <si>
    <t>sanancinalopezpiorela@gmail.com</t>
  </si>
  <si>
    <t>monzon487@hotmail.com</t>
  </si>
  <si>
    <t>blascar1987@gmail.com</t>
  </si>
  <si>
    <t>vanesaortiz23coronado@hotmail.com</t>
  </si>
  <si>
    <t>teamready2000@gmail.com</t>
  </si>
  <si>
    <t>belinha1989@yahoo.com.br</t>
  </si>
  <si>
    <t>malvinas.smart@gmail.com</t>
  </si>
  <si>
    <t>huarangahuayra@gmail.com</t>
  </si>
  <si>
    <t>bncontato07@gmail.com</t>
  </si>
  <si>
    <t>geraldcasis@gmail.com</t>
  </si>
  <si>
    <t>ribask9@outlook.com</t>
  </si>
  <si>
    <t>adaoeliane792@gmail.com</t>
  </si>
  <si>
    <t>vharry168@gmail.com</t>
  </si>
  <si>
    <t>isabelcandiatuero@gmail.com</t>
  </si>
  <si>
    <t>eomarlp76@gmail.com</t>
  </si>
  <si>
    <t>emocao_razao@hotmail.com</t>
  </si>
  <si>
    <t>paolodavila26@gmail.com</t>
  </si>
  <si>
    <t>bionunaperu@gmail.com</t>
  </si>
  <si>
    <t>SOCIAL_NETWORKS;ONLINE_STORE;PHYSICAL_STORE</t>
  </si>
  <si>
    <t>hola@pepescore.com</t>
  </si>
  <si>
    <t>yoryelinduertoinojosa@gmail.com</t>
  </si>
  <si>
    <t>ugarteniltonpachecorichard@gmail.com</t>
  </si>
  <si>
    <t>ikenatoc1990@gmail.com</t>
  </si>
  <si>
    <t>alvarosoporte@proton.me</t>
  </si>
  <si>
    <t>humberto_hs74@hotmail.com</t>
  </si>
  <si>
    <t>fabiopaes@gmail.com</t>
  </si>
  <si>
    <t>gerailton.neves@hotmail.com</t>
  </si>
  <si>
    <t>pedrohuarancca1890@gmail.com</t>
  </si>
  <si>
    <t>rtueros9@gmail.com</t>
  </si>
  <si>
    <t>villegasalbertho90@gmail.com</t>
  </si>
  <si>
    <t>byvolle1@gmail.com</t>
  </si>
  <si>
    <t>mayramabeltarazonaeusebio0412@gmail.com</t>
  </si>
  <si>
    <t>rmgcomercialdiego@hotmail.com</t>
  </si>
  <si>
    <t>giomar_aht@hotmail.com</t>
  </si>
  <si>
    <t>crravina@hotmail.com</t>
  </si>
  <si>
    <t>jarinogarcialopez02@gmail.com</t>
  </si>
  <si>
    <t>mwatsonv@gmail.com</t>
  </si>
  <si>
    <t>deuzacestenarii57@gmail.com</t>
  </si>
  <si>
    <t>sidinei.francisco123@gmail.com</t>
  </si>
  <si>
    <t>midentistacortes123@gmail.com</t>
  </si>
  <si>
    <t>jesusclaudiovisionary@gmail.com</t>
  </si>
  <si>
    <t>joaquinruizleon1974@gmail.com</t>
  </si>
  <si>
    <t>clhonoresvasquez@gmail.com</t>
  </si>
  <si>
    <t>ventas@todopescashop.com</t>
  </si>
  <si>
    <t>hgutierrez1@goldwayperu.com</t>
  </si>
  <si>
    <t>alejandrogarnier88@gmail.com</t>
  </si>
  <si>
    <t>jemachs@hotmail.com</t>
  </si>
  <si>
    <t>judix73@hotmail.com</t>
  </si>
  <si>
    <t>m_gianfranco@hotmail.com</t>
  </si>
  <si>
    <t>hayrolopez.2019@gmail.com</t>
  </si>
  <si>
    <t>rrodriguezquincho4@gmail.com</t>
  </si>
  <si>
    <t>abrahammendozapadilla@gmail.com</t>
  </si>
  <si>
    <t>catacas0321@gmail.com</t>
  </si>
  <si>
    <t>deiberhulik32@gmail.com</t>
  </si>
  <si>
    <t>carolinacandela84@gmail.com</t>
  </si>
  <si>
    <t>ercules.rsantos@gmail.com</t>
  </si>
  <si>
    <t>campostrujillor@gmail.com</t>
  </si>
  <si>
    <t>nicolascarhuachinperu@gmail.com</t>
  </si>
  <si>
    <t>ebey2070@gmail.com</t>
  </si>
  <si>
    <t>fredy.cabanillas@agrominlabonita.com</t>
  </si>
  <si>
    <t>clinicaterapeuta.01@gmail.com</t>
  </si>
  <si>
    <t>iamiles47@gmail.com</t>
  </si>
  <si>
    <t>hinostrozacerronelvismiguel@gmail.com</t>
  </si>
  <si>
    <t>cedeno.helman@gmail.com</t>
  </si>
  <si>
    <t>marcia.cristinha@gmail.com</t>
  </si>
  <si>
    <t>gianv2707@gmail.com</t>
  </si>
  <si>
    <t>djhugo28@hotmail.es</t>
  </si>
  <si>
    <t>santos122393@outlook.com</t>
  </si>
  <si>
    <t>joel.sanchez.0705@gmail.com</t>
  </si>
  <si>
    <t>none / none</t>
  </si>
  <si>
    <t>soniakaua0207@gmail.com</t>
  </si>
  <si>
    <t>rt.comercial03@outlook.com</t>
  </si>
  <si>
    <t>sousajanete408@gmail.com</t>
  </si>
  <si>
    <t>elvisvmjv@gmail.com</t>
  </si>
  <si>
    <t>aeugenio687@gmail.com</t>
  </si>
  <si>
    <t>jhulyastefani28@gmail.com</t>
  </si>
  <si>
    <t>eleninhaegk@gmail.com</t>
  </si>
  <si>
    <t>informesasl2@gmail.com</t>
  </si>
  <si>
    <t>diariasdajosy@gmail.com</t>
  </si>
  <si>
    <t>rodrigodomingos583@gmail.com</t>
  </si>
  <si>
    <t>ypistener82@gmail.com</t>
  </si>
  <si>
    <t>juliojuniorcachique@gmail.com</t>
  </si>
  <si>
    <t>santiagojimenezangel194@gmail.com</t>
  </si>
  <si>
    <t>sebastiancamposf2@gmail.com</t>
  </si>
  <si>
    <t>gemasmondragon@gmail.com</t>
  </si>
  <si>
    <t>carlospovis0270@gmail.com</t>
  </si>
  <si>
    <t>aydemiacastaneda@gmail.com</t>
  </si>
  <si>
    <t>juanadanielafarrocastillo@gmail.com</t>
  </si>
  <si>
    <t>lucienesoaresdacunhasilva@gmail.com</t>
  </si>
  <si>
    <t>lgbo1986@gmail.com</t>
  </si>
  <si>
    <t>rzegarramanc@yahoo.es</t>
  </si>
  <si>
    <t>jpck.iptv@gmail.com</t>
  </si>
  <si>
    <t>dilcia_3@hotmail.com</t>
  </si>
  <si>
    <t>joelsposito2025@gmail.com</t>
  </si>
  <si>
    <t>dilanisidro@hotmail.com</t>
  </si>
  <si>
    <t>heritage1804haiti@gmail.com</t>
  </si>
  <si>
    <t>adja38401608@gmail.com</t>
  </si>
  <si>
    <t>gustavodsilva785@gmail.com</t>
  </si>
  <si>
    <t>renepacaya27@gmail.com</t>
  </si>
  <si>
    <t>danielcbraz@gmail.com</t>
  </si>
  <si>
    <t>rodrigomirandadasilvarms@gmail.com</t>
  </si>
  <si>
    <t>francyslima@yahoo.com.br</t>
  </si>
  <si>
    <t>rossi.mara@gmail.com</t>
  </si>
  <si>
    <t>maricielo741@hotmail.com</t>
  </si>
  <si>
    <t>lincoltonycerasrojas12@gmail.com</t>
  </si>
  <si>
    <t>maxitoheigghen@gmail.com</t>
  </si>
  <si>
    <t>soniaregina130177@gmail.com</t>
  </si>
  <si>
    <t>jzjimihuanuiri@gmail.com</t>
  </si>
  <si>
    <t>valeriaservejeira@gmail.com</t>
  </si>
  <si>
    <t>dezadurandolenka573@gmail.com</t>
  </si>
  <si>
    <t>sotoad1026@gmail.com</t>
  </si>
  <si>
    <t>fisiocarelatam@gmail.com</t>
  </si>
  <si>
    <t>sacafeg1@yahoo.es</t>
  </si>
  <si>
    <t>pochitope24@gmail.com</t>
  </si>
  <si>
    <t>davidgarcia9631@gmail.com</t>
  </si>
  <si>
    <t>edmundoreis79@gmail.com</t>
  </si>
  <si>
    <t>njosimar689@gmail.com</t>
  </si>
  <si>
    <t>samuelito.ia.2024@gmail.com</t>
  </si>
  <si>
    <t>neil.mathy@gmail.com</t>
  </si>
  <si>
    <t>david-tores2014@hotmail.com</t>
  </si>
  <si>
    <t>jesussilvae1983@gmail.com</t>
  </si>
  <si>
    <t>jmartinluna@yahoo.com</t>
  </si>
  <si>
    <t>ruso162556@gmail.com</t>
  </si>
  <si>
    <t>francis637@hotmail.com</t>
  </si>
  <si>
    <t>fdiosmoran@gmail.com</t>
  </si>
  <si>
    <t>enriquegarcia25@hotmail.com</t>
  </si>
  <si>
    <t>dalindaarroyotroncos83@gmail.com</t>
  </si>
  <si>
    <t>ellimenito@gmail.com</t>
  </si>
  <si>
    <t>jimmy.urtecho18@gmail.com</t>
  </si>
  <si>
    <t>meta / cpl</t>
  </si>
  <si>
    <t>hernandezllanosjg2025@gmail.com</t>
  </si>
  <si>
    <t>kcumpalumbre@gmail.com</t>
  </si>
  <si>
    <t>rudineia.herrmann@gmail.com</t>
  </si>
  <si>
    <t>williamwayna@gmail.com</t>
  </si>
  <si>
    <t>jhdechevarria@gmail.com</t>
  </si>
  <si>
    <t>juliomig24@hotmail.com</t>
  </si>
  <si>
    <t>gabrieldesousa.h@gmail.com</t>
  </si>
  <si>
    <t>dignaldo2020@outlook.com</t>
  </si>
  <si>
    <t>juditperoza@gmail.com</t>
  </si>
  <si>
    <t>anninhamodassac@gmail.com</t>
  </si>
  <si>
    <t>ariane_423@hotmail.com</t>
  </si>
  <si>
    <t>emrenteriari@ucvvirtual.edu.pe</t>
  </si>
  <si>
    <t>paoloasme@gmail.com</t>
  </si>
  <si>
    <t>mdiaz@centauroperu.com</t>
  </si>
  <si>
    <t>marteldennis90@gmail.com</t>
  </si>
  <si>
    <t>vlanda2@hotmail.com</t>
  </si>
  <si>
    <t>valquiriasantos8895@hotmail.com</t>
  </si>
  <si>
    <t>cantinhodoartesanatobaby@gmail.com</t>
  </si>
  <si>
    <t>alexisrof@gmail.com</t>
  </si>
  <si>
    <t>marlonc78@hotmaill.com</t>
  </si>
  <si>
    <t>khuamanisullca.20@gmail.com</t>
  </si>
  <si>
    <t>renantapia75@gmail.com</t>
  </si>
  <si>
    <t>biosbyale@gmail.com</t>
  </si>
  <si>
    <t>cindydelgadocarrasco@gmail.com</t>
  </si>
  <si>
    <t>miguel.dlgd@gmail.com</t>
  </si>
  <si>
    <t>yomiguelx@gmail.com</t>
  </si>
  <si>
    <t>rrt.peru.2021@gmail.com</t>
  </si>
  <si>
    <t>gp.castaneda88@gmail.com</t>
  </si>
  <si>
    <t>virginiiamello9.p@gmail.com</t>
  </si>
  <si>
    <t>trodriguezsuarez19@gmail.com</t>
  </si>
  <si>
    <t>nayararozasemijoias@gmail.com</t>
  </si>
  <si>
    <t>adrianar@yavendio.com</t>
  </si>
  <si>
    <t>aguadogarcianoemicristina@gmail.com</t>
  </si>
  <si>
    <t>sebasliam777@gmail.com</t>
  </si>
  <si>
    <t>lizmargot214@gmail.com</t>
  </si>
  <si>
    <t>vanicarvalho2009@yahoo.com</t>
  </si>
  <si>
    <t>xiruma32@gmail.com</t>
  </si>
  <si>
    <t>brendacj21@outlook.com</t>
  </si>
  <si>
    <t>huizacontrerasz@gmail.com</t>
  </si>
  <si>
    <t>conecta.celularesbd@gmail.com</t>
  </si>
  <si>
    <t>soraiasantanacosta20@gmail.com</t>
  </si>
  <si>
    <t>pelomeudepilacao@gmail.com</t>
  </si>
  <si>
    <t>gyari2117@gmail.com</t>
  </si>
  <si>
    <t>eversondiasdeoliveira45@gmail.com</t>
  </si>
  <si>
    <t>h.erika.chavez@gmail.com</t>
  </si>
  <si>
    <t>robson.mauriciu@gmail.com</t>
  </si>
  <si>
    <t>birzoenrique0209@gmail.com</t>
  </si>
  <si>
    <t>eduardoym710@gmail.com</t>
  </si>
  <si>
    <t>morianomenezv@gmail.com</t>
  </si>
  <si>
    <t>natalianicollas79@gmail.com</t>
  </si>
  <si>
    <t>ummissionarionaestrada@gmail.com</t>
  </si>
  <si>
    <t>betycampusano60@gmail.com</t>
  </si>
  <si>
    <t>almircoricardo6@gmail.com</t>
  </si>
  <si>
    <t>soyjhonyff@gmail.com</t>
  </si>
  <si>
    <t>crc52crc@gmail.com</t>
  </si>
  <si>
    <t>andres_exito@hotmail.com</t>
  </si>
  <si>
    <t>negoisaia72@gmail.com</t>
  </si>
  <si>
    <t>sergiolopezyt12234@gmail.com</t>
  </si>
  <si>
    <t>knezvich1@gmail.com</t>
  </si>
  <si>
    <t>alexmarllomartinez@gmail.com</t>
  </si>
  <si>
    <t>georgia.silvam@gmail.com</t>
  </si>
  <si>
    <t>clodo100aldo@hotmail.com</t>
  </si>
  <si>
    <t>dennisurielfernandez@gmail.com</t>
  </si>
  <si>
    <t>lindacir.thomaz72@gmail.com</t>
  </si>
  <si>
    <t>gleycutipa@gmail.com</t>
  </si>
  <si>
    <t>rluna1407@gmail.com</t>
  </si>
  <si>
    <t>cslimportbr@gmail.com</t>
  </si>
  <si>
    <t>dafsflakp@gmail.com</t>
  </si>
  <si>
    <t>joaquinvbecerra2008@gmail.com</t>
  </si>
  <si>
    <t>snovoaesquivel@gmail.com</t>
  </si>
  <si>
    <t>aorecaceres@gmail.com</t>
  </si>
  <si>
    <t>entrenadormendoza@gmail.com</t>
  </si>
  <si>
    <t>rosa.fely06@gmail.com</t>
  </si>
  <si>
    <t>eduardonegocio.com@gmail.com</t>
  </si>
  <si>
    <t>auroramaganr@hotmail.com</t>
  </si>
  <si>
    <t>davidsoriar1974@gmail.com</t>
  </si>
  <si>
    <t>lgbeto24@gmail.com</t>
  </si>
  <si>
    <t>appflix.streaming@gmail.com</t>
  </si>
  <si>
    <t>isaiasosccovasquez@gmail.com</t>
  </si>
  <si>
    <t>crysfashionshow@gmail.com</t>
  </si>
  <si>
    <t>ana23rodrig1975@gmail.com</t>
  </si>
  <si>
    <t>rlachapell2018@hotmail.com</t>
  </si>
  <si>
    <t>cont_hum@hotmail.com</t>
  </si>
  <si>
    <t>edilbertosuarezq@hotmail.com</t>
  </si>
  <si>
    <t>campaña webinar - 07/08 - pe</t>
  </si>
  <si>
    <t>katia89moale@gmail.com</t>
  </si>
  <si>
    <t>nilo.abuhadba@gmail.com</t>
  </si>
  <si>
    <t>valdomeroh@hotmail.com</t>
  </si>
  <si>
    <t>enoc.analuna@gmail.com</t>
  </si>
  <si>
    <t>arnald.felipe@gmail.com</t>
  </si>
  <si>
    <t>ivaneterosadeoliveiralemes@gmail.com</t>
  </si>
  <si>
    <t>quispetorresedwardandy@gmail.com</t>
  </si>
  <si>
    <t>omarpaucar978armagedon@gmail.com</t>
  </si>
  <si>
    <t>rebecasolano45@gmail.com</t>
  </si>
  <si>
    <t>lcruzadorojas4@gmail.com</t>
  </si>
  <si>
    <t>benjaminmendozacristobal3@gmail.com</t>
  </si>
  <si>
    <t>alexandrahuertas06@gmail.com</t>
  </si>
  <si>
    <t>mariamezacc@gmail.com</t>
  </si>
  <si>
    <t>luzangelicaolazabal@hotmail.com</t>
  </si>
  <si>
    <t>glamourstoree0@gmail.com</t>
  </si>
  <si>
    <t>moiseslivaque.7@gmail.com</t>
  </si>
  <si>
    <t>rsotomayor.ia@gmail.com</t>
  </si>
  <si>
    <t>galeriadeartellompart@gmail.com</t>
  </si>
  <si>
    <t>marketingambientalnativa@gmail.com</t>
  </si>
  <si>
    <t>anavalentinaamaro@gmail.com</t>
  </si>
  <si>
    <t>gatooo503@gmail.com</t>
  </si>
  <si>
    <t>claudiacajap1@gmail.com</t>
  </si>
  <si>
    <t>comercial.laviniaabreu@gmail.com</t>
  </si>
  <si>
    <t>ramosmarciomenezes@gmail.com</t>
  </si>
  <si>
    <t>ravick.94.97@gmail.com</t>
  </si>
  <si>
    <t>reservasjulius@gmail.com</t>
  </si>
  <si>
    <t>globalfitness.pe@gmail.com</t>
  </si>
  <si>
    <t>silviasisabour@gmail.com</t>
  </si>
  <si>
    <t>aldairmarin30@gmail.com</t>
  </si>
  <si>
    <t>aaronleodan1502@gmail.com</t>
  </si>
  <si>
    <t>jportaronoriega@gmail.com</t>
  </si>
  <si>
    <t>marceloalmeidadigital@gmail.com</t>
  </si>
  <si>
    <t>robertohenrysalasobregon@gmail.com</t>
  </si>
  <si>
    <t>lbn.vale@gmail.com</t>
  </si>
  <si>
    <t>asullca27@gmail.com</t>
  </si>
  <si>
    <t>raulraul331331@gmail.com</t>
  </si>
  <si>
    <t>stevencandiah07@gmail.com</t>
  </si>
  <si>
    <t>lojajcinforcell@gmail.com</t>
  </si>
  <si>
    <t>jottacleinerraaaraaa@gmail.com</t>
  </si>
  <si>
    <t>gregorioostolaza@gmail.com</t>
  </si>
  <si>
    <t>cessitar2009@hotmail.com</t>
  </si>
  <si>
    <t>obrunoaceof@gmail.com</t>
  </si>
  <si>
    <t>aureliosan12345@gmail.com</t>
  </si>
  <si>
    <t>freddycon2@hotmail.com</t>
  </si>
  <si>
    <t>rgina.queiroz@gmail.com</t>
  </si>
  <si>
    <t>minhaempresa57fc@gmail.com</t>
  </si>
  <si>
    <t>anapaula@panoramagospel.com</t>
  </si>
  <si>
    <t>royquevedo64@gmail.com</t>
  </si>
  <si>
    <t>rutiano235@gmail.com</t>
  </si>
  <si>
    <t>lazoalvaradoelena@gmil.com</t>
  </si>
  <si>
    <t>jlleonizoz3@gmail.com</t>
  </si>
  <si>
    <t>ricardocvcontact@gmail.com</t>
  </si>
  <si>
    <t>danieltrom2579@gmail.com</t>
  </si>
  <si>
    <t>ramirofranklin1@gmail.com</t>
  </si>
  <si>
    <t>charlysppir@gmail.com</t>
  </si>
  <si>
    <t>manolo.arizaga@gmail.com</t>
  </si>
  <si>
    <t>youtube / live_event</t>
  </si>
  <si>
    <t>tiocaxasoutlet@gmail.com</t>
  </si>
  <si>
    <t>ivanhairo@gmail.com</t>
  </si>
  <si>
    <t>lizmayrasaenztinta.02@gmail.com</t>
  </si>
  <si>
    <t>mmilujo18k@gmail.com</t>
  </si>
  <si>
    <t>lizandreasantacruzmachado@gmail.com</t>
  </si>
  <si>
    <t>aaronpercar27@gmail.com</t>
  </si>
  <si>
    <t>perezcruzkevinjhoel944@gmail.com</t>
  </si>
  <si>
    <t>comercial.usbsiteperu@gmail.com</t>
  </si>
  <si>
    <t>lucianodecamargo275@gmail.com</t>
  </si>
  <si>
    <t>gomezoscar65@gmail.com</t>
  </si>
  <si>
    <t>mateoprieto481@gmail.com</t>
  </si>
  <si>
    <t>patriciamacedosangama@gmail.com</t>
  </si>
  <si>
    <t>ronaldosilva.andrade@hotmail.com</t>
  </si>
  <si>
    <t>ricardocalderon867@gmail.com</t>
  </si>
  <si>
    <t>arileideanner@gmail.com</t>
  </si>
  <si>
    <t>sebastianruesta13@gmail.com</t>
  </si>
  <si>
    <t>jesushuaringa749@gmail.com</t>
  </si>
  <si>
    <t>meganingenieros@gmail.com</t>
  </si>
  <si>
    <t>uperfectperu@gmail.com</t>
  </si>
  <si>
    <t>jimmy1508@gmail.com</t>
  </si>
  <si>
    <t>jmchp2020@gmail.com</t>
  </si>
  <si>
    <t>sebastianalexanderchavezguerra@gmail.com</t>
  </si>
  <si>
    <t>rodolfolara1952@gmail.com</t>
  </si>
  <si>
    <t>yosicae@gmail.com</t>
  </si>
  <si>
    <t>gessilenebarbosa2017@gmail.com</t>
  </si>
  <si>
    <t>07100387@ue.edu.pe</t>
  </si>
  <si>
    <t>caluroso-vivaracho9t@icloud.com</t>
  </si>
  <si>
    <t>erika.ta.log@gmail.com</t>
  </si>
  <si>
    <t>nilocerna21@gmail.com</t>
  </si>
  <si>
    <t>portellasrefrigelar@gmail.com</t>
  </si>
  <si>
    <t>rodrigocm.work@gmail.com</t>
  </si>
  <si>
    <t>refrigeracaovitoria6988@gmail.com</t>
  </si>
  <si>
    <t>taisvital4793@gmail.com</t>
  </si>
  <si>
    <t>juliotenoriopareja46@gmail.com</t>
  </si>
  <si>
    <t>aucordova.66@gmail.com</t>
  </si>
  <si>
    <t>lpenalozagalindo@gmail.com</t>
  </si>
  <si>
    <t>rcarlosvicente.01@gmail.com</t>
  </si>
  <si>
    <t>bernaola92@gmail.com</t>
  </si>
  <si>
    <t>sazilla28candida@gmail.com</t>
  </si>
  <si>
    <t>dayauriculoterapeuta@yahoo.com</t>
  </si>
  <si>
    <t>pameice@gmail.com</t>
  </si>
  <si>
    <t>jperezmurillo25@gmail.com</t>
  </si>
  <si>
    <t>emprendeproonline@gmail.com</t>
  </si>
  <si>
    <t>arianayllari02@gmail.com</t>
  </si>
  <si>
    <t>asamanamu@outlook.es</t>
  </si>
  <si>
    <t>marcelotorresyalta@gmail.com</t>
  </si>
  <si>
    <t>giselareyna991@gmail.com</t>
  </si>
  <si>
    <t>rodllontopquiroz@gmail.com</t>
  </si>
  <si>
    <t>zapatajuarezgloriagabriela@gmail.com</t>
  </si>
  <si>
    <t>pachugranda@gmail.com</t>
  </si>
  <si>
    <t>guti98765navarro123@gmail.com</t>
  </si>
  <si>
    <t>ericknel04@gmail.com</t>
  </si>
  <si>
    <t>verajuliet497@gmail.com</t>
  </si>
  <si>
    <t>nenegarcia6612@gmail.com</t>
  </si>
  <si>
    <t>dmncksedano@gmail.com</t>
  </si>
  <si>
    <t>carlabalboa.01@gmail.com</t>
  </si>
  <si>
    <t>vicuzsac443@gmail.com</t>
  </si>
  <si>
    <t>vmsilvapsicanalista@gmail.com</t>
  </si>
  <si>
    <t>manuriol300@gmail.com</t>
  </si>
  <si>
    <t>ximenavillegas220@gmail.com</t>
  </si>
  <si>
    <t>dam.fran182@gmail.com</t>
  </si>
  <si>
    <t>janainalojista@gmail.com</t>
  </si>
  <si>
    <t>annie-z7@hotmail.com</t>
  </si>
  <si>
    <t>gardeniadasilvacoelho@gmail.com</t>
  </si>
  <si>
    <t>romildemoraes79@gmail.com</t>
  </si>
  <si>
    <t>oralmed22@gmail.com</t>
  </si>
  <si>
    <t>ray.dasilvasousa4@gmail.com</t>
  </si>
  <si>
    <t>valeria55souza@hotmail.com.br</t>
  </si>
  <si>
    <t>crisostomofreddy26@gmail.com</t>
  </si>
  <si>
    <t>fdelaquintanac@gmail.com</t>
  </si>
  <si>
    <t>arteslucas1@gmail.com</t>
  </si>
  <si>
    <t>mveramercedesmaribel81@gmail.com</t>
  </si>
  <si>
    <t>facebook / none</t>
  </si>
  <si>
    <t>bricenocarlos695@gmail.com</t>
  </si>
  <si>
    <t>ramosserrutoalejandro@gmail.com</t>
  </si>
  <si>
    <t>bruna@baroninet.com.br</t>
  </si>
  <si>
    <t>rollylotefeliz9@gmail.com</t>
  </si>
  <si>
    <t>clary.libra1988@gmail.com</t>
  </si>
  <si>
    <t>floryesthermaynas@gmail.com</t>
  </si>
  <si>
    <t>guillecam45@gmail.com</t>
  </si>
  <si>
    <t>vadosi22@hotmail.com</t>
  </si>
  <si>
    <t>fernando.caycho22@gmail.com</t>
  </si>
  <si>
    <t>lead_gen-megaevento_15.11-ppto_diario</t>
  </si>
  <si>
    <t>pantojadany988@gmail.com</t>
  </si>
  <si>
    <t>oborgono@hotmail.com</t>
  </si>
  <si>
    <t>rojas1959maria@gmail.com</t>
  </si>
  <si>
    <t>brunoagr2008@gmail.com</t>
  </si>
  <si>
    <t>katherinalama@outlook.com</t>
  </si>
  <si>
    <t>hernannekyller@gmail.com</t>
  </si>
  <si>
    <t>garostegui@uaromori.com</t>
  </si>
  <si>
    <t>juniordamian88@gmail.com</t>
  </si>
  <si>
    <t>dswarrior78@gmail.com</t>
  </si>
  <si>
    <t>vyankavargas@gmail.com</t>
  </si>
  <si>
    <t>brandyloza@gmail.com</t>
  </si>
  <si>
    <t>rubencarmengarcia0@gmail.com</t>
  </si>
  <si>
    <t>majumm27_1995@hotmail.es</t>
  </si>
  <si>
    <t>josemauroconillasanchez@gmail.com</t>
  </si>
  <si>
    <t>rflchristopher@gmail.com</t>
  </si>
  <si>
    <t>ricardoalvaradoperu@gmail.com</t>
  </si>
  <si>
    <t>valdeircosta113@gmail.com</t>
  </si>
  <si>
    <t>empreededormartins@gmail.com</t>
  </si>
  <si>
    <t>demdesouzaltda@gmail.com</t>
  </si>
  <si>
    <t>espejohilariojonathan@gmail.com</t>
  </si>
  <si>
    <t>cuzziramosy@gmail.com</t>
  </si>
  <si>
    <t>huillcamasccoh286@gmail.com</t>
  </si>
  <si>
    <t>mirehuacre@gmail.com</t>
  </si>
  <si>
    <t>elisalvatierra2019@gmail.com</t>
  </si>
  <si>
    <t>wmarcaquilca@gmail.com</t>
  </si>
  <si>
    <t>rmunozpelaez@gmail.com</t>
  </si>
  <si>
    <t>darwingamarra240115@gmail.com</t>
  </si>
  <si>
    <t>mauarditto@gmail.com</t>
  </si>
  <si>
    <t>joguchi1987@gmail.com</t>
  </si>
  <si>
    <t>samuelrubi21@gmail.com</t>
  </si>
  <si>
    <t>rodrigopg2026@gmail.com</t>
  </si>
  <si>
    <t>stephanycm0704@gmail.com</t>
  </si>
  <si>
    <t>edicaro94j@gmail.com</t>
  </si>
  <si>
    <t>mosheunas2006@gmail.com</t>
  </si>
  <si>
    <t>walter.ambrosio.castillo@gmail.com</t>
  </si>
  <si>
    <t>jimyjadiern@gmail.com</t>
  </si>
  <si>
    <t>azanedojacintozoevalentina@gmail.com</t>
  </si>
  <si>
    <t>sharitkinberlyn@gmail.com</t>
  </si>
  <si>
    <t>jorjedav15@gmail.com</t>
  </si>
  <si>
    <t>geminis_1250@hotmail.com</t>
  </si>
  <si>
    <t>fabrizioardiless22@gmail.com</t>
  </si>
  <si>
    <t>amycornejo78@gmail.com</t>
  </si>
  <si>
    <t>espacoafrohairpc@gmail.com</t>
  </si>
  <si>
    <t>elvisaliaga2910@gmail.com</t>
  </si>
  <si>
    <t>katherin.castro1001@gmail.com</t>
  </si>
  <si>
    <t>jchuamanp@hotmail.com</t>
  </si>
  <si>
    <t>elgatoblancoxd@gmail.com</t>
  </si>
  <si>
    <t>yajairavc705@gmail.com</t>
  </si>
  <si>
    <t>jgonzalescheff@gmail.com</t>
  </si>
  <si>
    <t>maxdonaldlopezarirama@gmail.com</t>
  </si>
  <si>
    <t>asdf.mko.mlk@gmail.com</t>
  </si>
  <si>
    <t>huauyataiperonaldopablo@gmail.com</t>
  </si>
  <si>
    <t>victorxitomamaniv@gmail.com</t>
  </si>
  <si>
    <t>lucilenemend81@gmail.com</t>
  </si>
  <si>
    <t>luisalbertotrujilloch@gmail.com</t>
  </si>
  <si>
    <t>tattiananees79@gmail.com</t>
  </si>
  <si>
    <t>marogarcia381@gmail.com</t>
  </si>
  <si>
    <t>ramosvasquezeliasjesus9@gmail.com</t>
  </si>
  <si>
    <t>muditaglamour@hotmail.com</t>
  </si>
  <si>
    <t>paulfloresdelrosario24@gmail.com</t>
  </si>
  <si>
    <t>felixmedar87@gmail.com</t>
  </si>
  <si>
    <t>yccallahuacasi@gmail.com</t>
  </si>
  <si>
    <t>alexbaitun15@gmail.com</t>
  </si>
  <si>
    <t>anchantetipiani@hotmail.com</t>
  </si>
  <si>
    <t>marcorevello24@gmail.com</t>
  </si>
  <si>
    <t>florescardenasfabrizzio@gmail.com</t>
  </si>
  <si>
    <t>aaronrojas1799@gmail.com</t>
  </si>
  <si>
    <t>gilbergavilan9@gmail.com</t>
  </si>
  <si>
    <t>holamuamore@gmail.com</t>
  </si>
  <si>
    <t>rmostleitelucena@gmail.com</t>
  </si>
  <si>
    <t>ronyapolayabelahonia1983@gmail.com</t>
  </si>
  <si>
    <t>tarismarlenytacillachaupe@gmail.com</t>
  </si>
  <si>
    <t>guillermocastellano223@gmail.com</t>
  </si>
  <si>
    <t>mgarcia@indianorg.com</t>
  </si>
  <si>
    <t>ignacioana91@gmail.com</t>
  </si>
  <si>
    <t>12silviarove@gmail.com</t>
  </si>
  <si>
    <t>yordanluislizanapadilla2@gmail.com</t>
  </si>
  <si>
    <t>francineidemartinssoares152@gmail.com</t>
  </si>
  <si>
    <t>navegador3322@gmail.com</t>
  </si>
  <si>
    <t>pazyassir777@gmail.com</t>
  </si>
  <si>
    <t>javiergomezsuarez15@gmail.com</t>
  </si>
  <si>
    <t>estradasalazarjavier3@gmail.com</t>
  </si>
  <si>
    <t>ricardobflores76@gmail.com</t>
  </si>
  <si>
    <t>bchipayo@unsa.edu.pe</t>
  </si>
  <si>
    <t>62253908cesar@gmail.com</t>
  </si>
  <si>
    <t>juanavichuela@gmail.com</t>
  </si>
  <si>
    <t>gnslsebaxtia@gmail.com</t>
  </si>
  <si>
    <t>contato.egp.negocios@gmail.com</t>
  </si>
  <si>
    <t>omarmurrieta69@gmail.com</t>
  </si>
  <si>
    <t>andinaexp@gmail.com</t>
  </si>
  <si>
    <t>plopz_85@hotmail.com</t>
  </si>
  <si>
    <t>soporteswa@gmail.com</t>
  </si>
  <si>
    <t>junior_2387@hotmail.com</t>
  </si>
  <si>
    <t>teresatello1405@gmail.com</t>
  </si>
  <si>
    <t>caval2018@gmail.com</t>
  </si>
  <si>
    <t>bccinternationalservice@gmail.com</t>
  </si>
  <si>
    <t>sonrident.chincha@gmail.com</t>
  </si>
  <si>
    <t>manacecilia598@gmail.com</t>
  </si>
  <si>
    <t>jefersonalexis27@gmail.com</t>
  </si>
  <si>
    <t>nattymquispe12@gmail.com</t>
  </si>
  <si>
    <t>deejayhaluk@gmail.com</t>
  </si>
  <si>
    <t>rguzmanantezana@gmail.com</t>
  </si>
  <si>
    <t>jesus@uscaleup.com</t>
  </si>
  <si>
    <t>anagabrielduran1998@gmail.com</t>
  </si>
  <si>
    <t>esneyderquirozromero40@gmail.com</t>
  </si>
  <si>
    <t>libani.system7@gmail.com</t>
  </si>
  <si>
    <t>yordicasafrancagur@gmail.com</t>
  </si>
  <si>
    <t>yaniracossio5577@gmail.com</t>
  </si>
  <si>
    <t>alexanderlok.7@gmail.com</t>
  </si>
  <si>
    <t>reyescorreaartemio902@gmail.com</t>
  </si>
  <si>
    <t>dimagsebas1809@gmail.com</t>
  </si>
  <si>
    <t>jhojanyvillantoy@hotmail.com</t>
  </si>
  <si>
    <t>joelma42genil@gmail.com</t>
  </si>
  <si>
    <t>franciscomagali77@gmail.com</t>
  </si>
  <si>
    <t>priscillacoutinho79t@gmail.com</t>
  </si>
  <si>
    <t>danielarmaz07@gmail.com</t>
  </si>
  <si>
    <t>huayunga987@gmail.com</t>
  </si>
  <si>
    <t>yedaaraujo736@gmail.com</t>
  </si>
  <si>
    <t>katiarejanebatista639@gmail.com</t>
  </si>
  <si>
    <t>yrvingsmithcd@gmail.com</t>
  </si>
  <si>
    <t>alfredoruiz95@gmail.com</t>
  </si>
  <si>
    <t>carlossanchezdavila1989@outlook.com</t>
  </si>
  <si>
    <t>alvarezbasurcon@gmail.com</t>
  </si>
  <si>
    <t>ghmodas2004@gmail.com</t>
  </si>
  <si>
    <t>josuelojacasca@gmail.com</t>
  </si>
  <si>
    <t>stalinlenins@hotmail.com</t>
  </si>
  <si>
    <t>johnnydeanbernaltalla1301@gmail.com</t>
  </si>
  <si>
    <t>jennidiazsegovia97@gmail.com</t>
  </si>
  <si>
    <t>pablo80454604@gmail.com</t>
  </si>
  <si>
    <t>bnatcr@gmail.com</t>
  </si>
  <si>
    <t>a_bel_2@hotmail.com</t>
  </si>
  <si>
    <t>lanzamoralesedwindaniel5@gmail.com</t>
  </si>
  <si>
    <t>quinonesrafo27@gmail.com</t>
  </si>
  <si>
    <t>8gdrdistribuidora01@gmail.com</t>
  </si>
  <si>
    <t>albermorenoquiroz7@gmail.com</t>
  </si>
  <si>
    <t>josueeliasfc54@gmail.com</t>
  </si>
  <si>
    <t>goldensmile.602@gmail.com</t>
  </si>
  <si>
    <t>leonelaotazu2304@gmail.com</t>
  </si>
  <si>
    <t>fbrionesgd0603@gmail.com</t>
  </si>
  <si>
    <t>globalspirits23@gmail.com</t>
  </si>
  <si>
    <t>khatterininonan@gmail.com</t>
  </si>
  <si>
    <t>salasarirama97@gmail.com</t>
  </si>
  <si>
    <t>maria2761980@gmail.com</t>
  </si>
  <si>
    <t>andape.desarrollo@gmail.com</t>
  </si>
  <si>
    <t>hecjohan15@gmail.com</t>
  </si>
  <si>
    <t>elvishinostroza21@gmail.com</t>
  </si>
  <si>
    <t>estevesgarciajhonmichel88@gmail.com</t>
  </si>
  <si>
    <t>karito3119@gmail.com</t>
  </si>
  <si>
    <t>mileixychacin78@gmail.com</t>
  </si>
  <si>
    <t>rodolfoabrahamcartagena@hotmail.com</t>
  </si>
  <si>
    <t>microtechpara@gmail.com</t>
  </si>
  <si>
    <t>ariaslewis35@gmail.com</t>
  </si>
  <si>
    <t>chelaarteaga@gmail.com</t>
  </si>
  <si>
    <t>rsalazarc7@upao.edu.pe</t>
  </si>
  <si>
    <t>rojas60080228@gmail.com</t>
  </si>
  <si>
    <t>eclipsedelande@gmail.com</t>
  </si>
  <si>
    <t>luis.talavera8828@outlook.com</t>
  </si>
  <si>
    <t>estebanqc611@gmail.com</t>
  </si>
  <si>
    <t>adangh030597@gmail.com</t>
  </si>
  <si>
    <t>jimenabenites2005@gmail.com</t>
  </si>
  <si>
    <t>luzdonayre21@gmail.com</t>
  </si>
  <si>
    <t>boutiquesaso@gmail.com</t>
  </si>
  <si>
    <t>chrishassriro@gmail.com</t>
  </si>
  <si>
    <t>dadanisantos261@gmail.com</t>
  </si>
  <si>
    <t>luluzitasstore@gmail.com</t>
  </si>
  <si>
    <t>mimofreddypaucar@yahoo.es</t>
  </si>
  <si>
    <t>rmkt_engagers_peru_pql</t>
  </si>
  <si>
    <t>cilene_sg@yahoo.com.br</t>
  </si>
  <si>
    <t>gonzalescuevamiler9@gmail.com</t>
  </si>
  <si>
    <t>karinatimboc@gmail.com</t>
  </si>
  <si>
    <t>albertogamarraasis88@gmail.com</t>
  </si>
  <si>
    <t>al3xloz4no28@gmail.com</t>
  </si>
  <si>
    <t>iccesac@gmail.com</t>
  </si>
  <si>
    <t>camilozabalap@gmail.com</t>
  </si>
  <si>
    <t>elemaja2@hotmail.com</t>
  </si>
  <si>
    <t>pvargasconduto@gmail.com</t>
  </si>
  <si>
    <t>elmerguzmanpersonal@gmail.com</t>
  </si>
  <si>
    <t>estefanytapiasolis10@gmail.com</t>
  </si>
  <si>
    <t>walter.placencia@outlook.com</t>
  </si>
  <si>
    <t>jl9671605@gmail.com</t>
  </si>
  <si>
    <t>suporteinternacional.sac@gmail.com</t>
  </si>
  <si>
    <t>laraelarissa2011@hotmail.com</t>
  </si>
  <si>
    <t>itamarissp@gmail.com</t>
  </si>
  <si>
    <t>tekoloco2000@gmail.com</t>
  </si>
  <si>
    <t>nandaegabi@outlook.com</t>
  </si>
  <si>
    <t>bruna.martoni19@gmail.com</t>
  </si>
  <si>
    <t>carosreategui24@gmail.com</t>
  </si>
  <si>
    <t>floresfigueroajosefina@gmail.com</t>
  </si>
  <si>
    <t>sfpuskaric@gmail.com</t>
  </si>
  <si>
    <t>soly0589@gmail.com</t>
  </si>
  <si>
    <t>katiayuliana211283@gmail.com</t>
  </si>
  <si>
    <t>mirnacolannlunes@gmail.com</t>
  </si>
  <si>
    <t>guardiarussel36@gmail.com</t>
  </si>
  <si>
    <t>miguelangelfloresparedes@gmail.com</t>
  </si>
  <si>
    <t>rhyriumdaniel@gmail.com</t>
  </si>
  <si>
    <t>avilaeliane905@gmail.com</t>
  </si>
  <si>
    <t>dubosimao71@gmail.com</t>
  </si>
  <si>
    <t>davidjup29@gmail.com</t>
  </si>
  <si>
    <t>angezrx@gmail.com</t>
  </si>
  <si>
    <t>flaviozavalalopez1226@gmail.com</t>
  </si>
  <si>
    <t>josebv0809@gmail.com</t>
  </si>
  <si>
    <t>guidoarteperu@gmail.com</t>
  </si>
  <si>
    <t>antidoto.store87@gmail.com</t>
  </si>
  <si>
    <t>isabel_ambiental@hotmail.com</t>
  </si>
  <si>
    <t>dgarrafarayme@gmail.com</t>
  </si>
  <si>
    <t>hegele02@gmail.com</t>
  </si>
  <si>
    <t>zafra239118@gmail.com</t>
  </si>
  <si>
    <t>sivik_smith.123@hotmail.com</t>
  </si>
  <si>
    <t>adrianbonifacio2001@gmail.com</t>
  </si>
  <si>
    <t>martintalledon83@gmail.com</t>
  </si>
  <si>
    <t>raquelramosvazsilva@gmail.com</t>
  </si>
  <si>
    <t>marcollaccta@gmail.com</t>
  </si>
  <si>
    <t>jacksonpacayasilvano8@gmail.com</t>
  </si>
  <si>
    <t>apuqui123@gmail.com</t>
  </si>
  <si>
    <t>jazkamin242526@gmail.com</t>
  </si>
  <si>
    <t>italosilvasullon@gmail.com</t>
  </si>
  <si>
    <t>veragarciamarcoantonio10@gmail.com</t>
  </si>
  <si>
    <t>clebernobre913@gmail.com</t>
  </si>
  <si>
    <t>luisgeidervilchezrios@gmail.com</t>
  </si>
  <si>
    <t>marlon_151020@hotmail.com</t>
  </si>
  <si>
    <t>adolfofojo@gmail.com</t>
  </si>
  <si>
    <t>rooniedsonperezmorales@gmail.com</t>
  </si>
  <si>
    <t>newinvestor.02@gmail.com</t>
  </si>
  <si>
    <t>geazon.22@gmail.com</t>
  </si>
  <si>
    <t>karel-rv.18@hotmail.com</t>
  </si>
  <si>
    <t>ratzielanguloarevalo@gmail.com</t>
  </si>
  <si>
    <t>leodanlopezcordova@gmail.com</t>
  </si>
  <si>
    <t>marisoltumbavilca01@gmail.com</t>
  </si>
  <si>
    <t>jenikristelbardales12@gmail.com</t>
  </si>
  <si>
    <t>dieggooo.09.23@gmail.com</t>
  </si>
  <si>
    <t>depretell@gmail.com</t>
  </si>
  <si>
    <t>cleversonmedina977@gmail.com</t>
  </si>
  <si>
    <t>coanf302000@gmail.com</t>
  </si>
  <si>
    <t>ccayanchirarenso@gmail.com</t>
  </si>
  <si>
    <t>michelj228@gmail.com</t>
  </si>
  <si>
    <t>adrianocostadossantos07@gmail.com</t>
  </si>
  <si>
    <t>carmen947859037@hotmail.com</t>
  </si>
  <si>
    <t>lopezfloresrofino867@gmail.com</t>
  </si>
  <si>
    <t>felipenjp2000@yahoo.com</t>
  </si>
  <si>
    <t>hasseaas@hotmail.com</t>
  </si>
  <si>
    <t>aline_miua@hotmail.com</t>
  </si>
  <si>
    <t>garoto30@yahoo.com</t>
  </si>
  <si>
    <t>cardenastobi14@gmail.com</t>
  </si>
  <si>
    <t>ventascoaritafood@gmail.com</t>
  </si>
  <si>
    <t>tony123nnsk@gmail.com</t>
  </si>
  <si>
    <t>carlos.srs99@outlook.com</t>
  </si>
  <si>
    <t>arredondopantojamarcos@gmail.com</t>
  </si>
  <si>
    <t>deliapattycachaylopez@gmail.com</t>
  </si>
  <si>
    <t>devairrobertomoreira@outlook.com</t>
  </si>
  <si>
    <t>aureliosolis0106@gmail.com</t>
  </si>
  <si>
    <t>meilyncabrera1981@gmail.com</t>
  </si>
  <si>
    <t>jcontreras19736@gmail.com</t>
  </si>
  <si>
    <t>castrojalixto1@gmail.com</t>
  </si>
  <si>
    <t>daymarquesleite@gmail.com</t>
  </si>
  <si>
    <t>bertiotegeovana@gmail.com</t>
  </si>
  <si>
    <t>alexronaldorojas465@gmail.com</t>
  </si>
  <si>
    <t>franciscosilva.ia@gmail.com</t>
  </si>
  <si>
    <t>cristiannunto2018a@gmail.com</t>
  </si>
  <si>
    <t>llrafaelxp@gmail.com</t>
  </si>
  <si>
    <t>silviaparedes16@gmail.com</t>
  </si>
  <si>
    <t>0nasshir@gmail.com</t>
  </si>
  <si>
    <t>matiassg2625@gmail.com</t>
  </si>
  <si>
    <t>audairsouzapereira@gmail.com</t>
  </si>
  <si>
    <t>braulioshm5@gmail.com</t>
  </si>
  <si>
    <t>f.t.a.system@hotmail.com</t>
  </si>
  <si>
    <t>shermaintp034@gmail.com</t>
  </si>
  <si>
    <t>ivancete1988@hotmail.com</t>
  </si>
  <si>
    <t>miguelone1357@gmail.com</t>
  </si>
  <si>
    <t>ivanchitodc@gmail.com</t>
  </si>
  <si>
    <t>magasiqueira31@gmail.com</t>
  </si>
  <si>
    <t>escorpio_20_11_88@hotmail.com</t>
  </si>
  <si>
    <t>vieiracristiano.costa@gmail.com</t>
  </si>
  <si>
    <t>braparos@gmail.com</t>
  </si>
  <si>
    <t>janetisamarp@gmail.com</t>
  </si>
  <si>
    <t>tumi15012006@gmail.com</t>
  </si>
  <si>
    <t>renatoaparecidocosta@hotmail.com</t>
  </si>
  <si>
    <t>dias.fabianap@hotmail.com</t>
  </si>
  <si>
    <t>wally231272@gmail.com</t>
  </si>
  <si>
    <t>danielmirandaxd2019@gmail.com</t>
  </si>
  <si>
    <t>jackelinevilcapoma84@gmail.com</t>
  </si>
  <si>
    <t>serviciosrapidos2019@gmail.com</t>
  </si>
  <si>
    <t>marcelosomgois@gmail.com</t>
  </si>
  <si>
    <t>jucimadeke@hotmail.com</t>
  </si>
  <si>
    <t>wendolynsosafernandez@gmail.com</t>
  </si>
  <si>
    <t>tantajulian@gmail.com</t>
  </si>
  <si>
    <t>ronalturpo363@gmil.com</t>
  </si>
  <si>
    <t>hector.anapan1966@gmail.com</t>
  </si>
  <si>
    <t>riki29382@hotmail.com</t>
  </si>
  <si>
    <t>henryalexander87@gmail.com</t>
  </si>
  <si>
    <t>bruno_ghr93@hotmail.com</t>
  </si>
  <si>
    <t>alexandraallstar16@gmail.com</t>
  </si>
  <si>
    <t>victorgil1950@gmail.com</t>
  </si>
  <si>
    <t>deniacuario_92_9@hotmail.com</t>
  </si>
  <si>
    <t>martatemistokes@gmail.co</t>
  </si>
  <si>
    <t>gi.mingati@hotmail.com</t>
  </si>
  <si>
    <t>marychura78@gmail.com</t>
  </si>
  <si>
    <t>guilherme.alves6@icloud.com</t>
  </si>
  <si>
    <t>raul.honorio.carrillo@gmail.com</t>
  </si>
  <si>
    <t>arturazabal@gmail.com</t>
  </si>
  <si>
    <t>rcadillod891@gmail.com</t>
  </si>
  <si>
    <t>videira1003@gmail.com</t>
  </si>
  <si>
    <t>cllanos26@gmail.com</t>
  </si>
  <si>
    <t>yersonvillanuevaanticona@gmail.com</t>
  </si>
  <si>
    <t>pitbarc@hotmail.com</t>
  </si>
  <si>
    <t>cesarpalominonavarro62@gmail.com</t>
  </si>
  <si>
    <t>mex2015@gmail.com</t>
  </si>
  <si>
    <t>eslogatica24@gmail.com</t>
  </si>
  <si>
    <t>camposchimoysegundomanuel@gmail.com</t>
  </si>
  <si>
    <t>daniel.omar.p.u@gmail.com</t>
  </si>
  <si>
    <t>maxmunozfire@gmail.com</t>
  </si>
  <si>
    <t>malcoseralvarado7@gmail.com</t>
  </si>
  <si>
    <t>kikelarosa@gmail.com</t>
  </si>
  <si>
    <t>diegovp060425@gmail.com</t>
  </si>
  <si>
    <t>zunigalandeoeveldyandres@gmail.com</t>
  </si>
  <si>
    <t>javierbelisarioriosmori17@gmail.com</t>
  </si>
  <si>
    <t>martini_018@hotmail.com</t>
  </si>
  <si>
    <t>cicerofernandescf45@gmail.com</t>
  </si>
  <si>
    <t>celestetorresmunoz@gmail.com</t>
  </si>
  <si>
    <t>biozark2@gmail.com</t>
  </si>
  <si>
    <t>javier.diaz.tenorio@gmail.com</t>
  </si>
  <si>
    <t>jesusramos1801@hotmail.com</t>
  </si>
  <si>
    <t>trade2winnow@gmail.com</t>
  </si>
  <si>
    <t>giancachavillanueva310@gmail.com</t>
  </si>
  <si>
    <t>felipe_go5@hotmail.com</t>
  </si>
  <si>
    <t>ls7420058@gmail.com</t>
  </si>
  <si>
    <t>jgoncalves4498@gmail.com</t>
  </si>
  <si>
    <t>delcomsys@gmail.com</t>
  </si>
  <si>
    <t>jblossiers@ssiblosac.com</t>
  </si>
  <si>
    <t>marianohepp@gmail.com</t>
  </si>
  <si>
    <t>rcasas2018@gmail.com</t>
  </si>
  <si>
    <t>mihetyrf@gmail.com</t>
  </si>
  <si>
    <t>daysuke789@gmail.com</t>
  </si>
  <si>
    <t>anaclara.nane128@gmail.com</t>
  </si>
  <si>
    <t>estikerswii@gmail.com</t>
  </si>
  <si>
    <t>liathaisgomeztello@gmail.com</t>
  </si>
  <si>
    <t>20140972@aloe.ulima.edu.pe</t>
  </si>
  <si>
    <t>yorchsrocaespinal@gmail.com</t>
  </si>
  <si>
    <t>gllacsa@gmail.com</t>
  </si>
  <si>
    <t>yenlivicentecampoverde@gmail.com</t>
  </si>
  <si>
    <t>edmilson12bernabe@gmail.com</t>
  </si>
  <si>
    <t>carlosenriquemenach@gmail.com</t>
  </si>
  <si>
    <t>hnrlrs04@gmail.com</t>
  </si>
  <si>
    <t>stephaniepj73@gmail.com</t>
  </si>
  <si>
    <t>castillochiroquesinai@gmail.com</t>
  </si>
  <si>
    <t>csynthyc@hotmail.com</t>
  </si>
  <si>
    <t>ravelykdrywall@gmail.com</t>
  </si>
  <si>
    <t>gustavoandreacunhadossantos@gmail.com</t>
  </si>
  <si>
    <t>floresluiz721@gmail.com</t>
  </si>
  <si>
    <t>eliaporraslopez@gmail.com</t>
  </si>
  <si>
    <t>asukutagawa@gmail.com</t>
  </si>
  <si>
    <t>alezitoelunico83@gmail.com</t>
  </si>
  <si>
    <t>gonzalezraf19@gmail.com</t>
  </si>
  <si>
    <t>mcalcinaj14@gmail.com</t>
  </si>
  <si>
    <t>romeropalaciosjhonnyjoseromero@gmail.com</t>
  </si>
  <si>
    <t>pieroacevedoinga@gmail.com</t>
  </si>
  <si>
    <t>joaquinsalas021@gmail.com</t>
  </si>
  <si>
    <t>samanthacuadros29@gmail.com</t>
  </si>
  <si>
    <t>lisandro.prado.lsd24@gmail.com</t>
  </si>
  <si>
    <t>ojitosdecieza_02@gmail.com</t>
  </si>
  <si>
    <t>milagroselizabeth733@gmail.com</t>
  </si>
  <si>
    <t>bermudesmayra96@gmail.com</t>
  </si>
  <si>
    <t>camibononi@yahoo.com.br</t>
  </si>
  <si>
    <t>carmeambulay@gmairl.com</t>
  </si>
  <si>
    <t>genertaricuarimavargas@gmail.com</t>
  </si>
  <si>
    <t>severoas75@gmail.com</t>
  </si>
  <si>
    <t>yadhirita123@gmail.com</t>
  </si>
  <si>
    <t>judielquispevargas165@gmail.com</t>
  </si>
  <si>
    <t>moiccof_@hotmail.com</t>
  </si>
  <si>
    <t>aldorbn20@gmail.com</t>
  </si>
  <si>
    <t>virgo_xx_liz@hotmail.com</t>
  </si>
  <si>
    <t>mrweed650@gmail.com</t>
  </si>
  <si>
    <t>gabrielcamasca22112007@gmail.com</t>
  </si>
  <si>
    <t>jhonatantangoa69@gmail.com</t>
  </si>
  <si>
    <t>mieguelromero605@gmail.com</t>
  </si>
  <si>
    <t>daniadavilasilva84@gmail.com</t>
  </si>
  <si>
    <t>fjvo87@gmail.com</t>
  </si>
  <si>
    <t>arcaastudilloita0@gmail.com</t>
  </si>
  <si>
    <t>lucerito9412@gmail.com</t>
  </si>
  <si>
    <t>wily_huayllani@hotmail.com</t>
  </si>
  <si>
    <t>isairr_25@hotmail.com</t>
  </si>
  <si>
    <t>veroniramos628@gmail.com</t>
  </si>
  <si>
    <t>yaquelintaya.30@gmail.com</t>
  </si>
  <si>
    <t>augustoflor40@gmail.com</t>
  </si>
  <si>
    <t>ydderf5@hotmail.com</t>
  </si>
  <si>
    <t>huamanmaritza76@gmail.com</t>
  </si>
  <si>
    <t>gabrielasantoscamargo@hotmail.com</t>
  </si>
  <si>
    <t>naty.nfs@gmail.com</t>
  </si>
  <si>
    <t>luisgarciagaribaldi1963@gmail.com</t>
  </si>
  <si>
    <t>samiragoncalvesdemouragata@gmail.com</t>
  </si>
  <si>
    <t>alexiitho2893@gmail.com</t>
  </si>
  <si>
    <t>alexaguilarmori8@gmail.com</t>
  </si>
  <si>
    <t>nachulli2017@gmail.com</t>
  </si>
  <si>
    <t>kvaz.oliver@gmail.com</t>
  </si>
  <si>
    <t>galileamaria17@gmail.com</t>
  </si>
  <si>
    <t>mcdecorkids.edu@gmail.com</t>
  </si>
  <si>
    <t>hugocharubengc@gmail.com</t>
  </si>
  <si>
    <t>vertizrodriguezk@gmail.com</t>
  </si>
  <si>
    <t>karinabueno043@gmail.com</t>
  </si>
  <si>
    <t>halaeditores@gmail.com</t>
  </si>
  <si>
    <t>borbagau2024@gmail.com</t>
  </si>
  <si>
    <t>liramargot20@gmail.com</t>
  </si>
  <si>
    <t>leandrocabeleireiro189@gmail.com</t>
  </si>
  <si>
    <t>tonyriostuesta@gmail.com</t>
  </si>
  <si>
    <t>jonalibra1@hotmail.com</t>
  </si>
  <si>
    <t>cielo_ivana_diego@hotmail.com</t>
  </si>
  <si>
    <t>alexandersaavedranolorve@gmail.com</t>
  </si>
  <si>
    <t>jquispekayap@gmail.com</t>
  </si>
  <si>
    <t>solob_2@hotmail.com</t>
  </si>
  <si>
    <t>calcadoscanaz@gmail.com</t>
  </si>
  <si>
    <t>migueldelacruzflores0@gmail.com</t>
  </si>
  <si>
    <t>jaya.bim21@gmail.com</t>
  </si>
  <si>
    <t>murayarituestafaber@gmail.com</t>
  </si>
  <si>
    <t>yhojanvargasberrio@gmail.com</t>
  </si>
  <si>
    <t>jbrenaa@gmail.com</t>
  </si>
  <si>
    <t>jheremy.r.p.2008@gmail.com</t>
  </si>
  <si>
    <t>****495@gmail.com</t>
  </si>
  <si>
    <t>eclares.25@gmail.com</t>
  </si>
  <si>
    <t>joel04786@gmail.com</t>
  </si>
  <si>
    <t>julioventocillaugarte@gmail.com</t>
  </si>
  <si>
    <t>mackstore2020@gmail.com</t>
  </si>
  <si>
    <t>mendespresentes2@hotmail.com</t>
  </si>
  <si>
    <t>leoramoss588@gmail.com</t>
  </si>
  <si>
    <t>jhap3678@gmail.com</t>
  </si>
  <si>
    <t>roderikt2001@gmail.com</t>
  </si>
  <si>
    <t>perezsalazarmilagros9@gmail.com</t>
  </si>
  <si>
    <t>****n61@gmail.com</t>
  </si>
  <si>
    <t>sanez9220@gmail.com</t>
  </si>
  <si>
    <t>jlapa0910@gmail.com</t>
  </si>
  <si>
    <t>alfredocanalzamora95@gmail.com</t>
  </si>
  <si>
    <t>vittaliciainversiones@gmail.com</t>
  </si>
  <si>
    <t>optica.vision.estiloi@gmail.com</t>
  </si>
  <si>
    <t>rubeninfantesromero@gmail.com</t>
  </si>
  <si>
    <t>christianvargasgarcia1507@gmail.com</t>
  </si>
  <si>
    <t>carolinaravines0@gmail.com</t>
  </si>
  <si>
    <t>gricaldeztorres@gmail.com</t>
  </si>
  <si>
    <t>sebasteo2411@gmail.com</t>
  </si>
  <si>
    <t>betzabethquispevilca@gmail.com</t>
  </si>
  <si>
    <t>hoic_isca_30@hitmail.com</t>
  </si>
  <si>
    <t>huaman150895@gmail.com</t>
  </si>
  <si>
    <t>petadventure.gerencia@gmail.com</t>
  </si>
  <si>
    <t>helene.ventas@gmail.com</t>
  </si>
  <si>
    <t>borghi84.jard@gmail.com</t>
  </si>
  <si>
    <t>erikarrvargas@gmail.com</t>
  </si>
  <si>
    <t>rmkt_newsletter_peru</t>
  </si>
  <si>
    <t>contatolinefins@gmail.com</t>
  </si>
  <si>
    <t>dcusib@unjbg.edu.pe</t>
  </si>
  <si>
    <t>serginhop2p@gmail.com</t>
  </si>
  <si>
    <t>fliaprince@gmail.com</t>
  </si>
  <si>
    <t>isacarantes0@gmail.com</t>
  </si>
  <si>
    <t>carlospuga014@gmail.com</t>
  </si>
  <si>
    <t>luceroropa8@gmail.com</t>
  </si>
  <si>
    <t>angelmanriquefigueroa@gmail.com</t>
  </si>
  <si>
    <t>daga.gonzales.ja@gmail.com</t>
  </si>
  <si>
    <t>josue.marchan.ramirez@gmail.com</t>
  </si>
  <si>
    <t>juandiegochavezzuniga@gmail.com</t>
  </si>
  <si>
    <t>trigozojaboyojaniroxi@gmail.com</t>
  </si>
  <si>
    <t>marcosrobertoavila2014@gmail.com</t>
  </si>
  <si>
    <t>niltonalmeida211@gmail.com</t>
  </si>
  <si>
    <t>incorpshop.pe@gmail.com</t>
  </si>
  <si>
    <t>marquesdapazcristiano391@gmail.com</t>
  </si>
  <si>
    <t>arletrk443@gmail.com</t>
  </si>
  <si>
    <t>anderson159911@gmail.com</t>
  </si>
  <si>
    <t>elielianaribeirodorosario@gmail.com</t>
  </si>
  <si>
    <t>cavalcantejj2014@gmail.com</t>
  </si>
  <si>
    <t>felipearturotiradocarrillo8@gmail.com</t>
  </si>
  <si>
    <t>the_deaht@hotmail.com</t>
  </si>
  <si>
    <t>deysydxn@gmail.com</t>
  </si>
  <si>
    <t>mvillegas1204@gmail.com</t>
  </si>
  <si>
    <t>llobito123l@gmail.com</t>
  </si>
  <si>
    <t>ramoszaratezarai@gmail.com</t>
  </si>
  <si>
    <t>yelzonitalofigueredocaldas@gmail.com</t>
  </si>
  <si>
    <t>pypjulio@gmail.com</t>
  </si>
  <si>
    <t>valeryvilcamarin@gmail.com</t>
  </si>
  <si>
    <t>victoriaoliveravasquez@gmail.com</t>
  </si>
  <si>
    <t>donayreteobaldo@gmail.com</t>
  </si>
  <si>
    <t>edgarore474@gmail.com</t>
  </si>
  <si>
    <t>henrhyccantoperez@gmail.com</t>
  </si>
  <si>
    <t>rubenes720917@gmail.com</t>
  </si>
  <si>
    <t>aljemise@live.com</t>
  </si>
  <si>
    <t>mg7589955@gmail.com</t>
  </si>
  <si>
    <t>jhbrjose@gmail.com</t>
  </si>
  <si>
    <t>ezin.anle.dael@gmail.com</t>
  </si>
  <si>
    <t>ricardorarroyo@gmail.com</t>
  </si>
  <si>
    <t>cheto.chalco.19@gmail.com</t>
  </si>
  <si>
    <t>alexanderzapta2004@gmail.com</t>
  </si>
  <si>
    <t>joelfalcon1985@gmail.com</t>
  </si>
  <si>
    <t>riccellybruno9@gmail.com</t>
  </si>
  <si>
    <t>georgevalverd@gmail.com</t>
  </si>
  <si>
    <t>andreacampos_santos@hotmail.com</t>
  </si>
  <si>
    <t>vsilvah1996@gmail.com</t>
  </si>
  <si>
    <t>calderonzavalajoseantonio@hotmail.com</t>
  </si>
  <si>
    <t>jarin248438@gmail.com</t>
  </si>
  <si>
    <t>reiner.narr@vemdo.cl</t>
  </si>
  <si>
    <t>villanuevalalyzacura@gmail.com</t>
  </si>
  <si>
    <t>anaisoj@hotmail.com</t>
  </si>
  <si>
    <t>marcia.pariseventos@gmail.com</t>
  </si>
  <si>
    <t>amesarinallerena@gmail.com</t>
  </si>
  <si>
    <t>gmedali79@gmail.com</t>
  </si>
  <si>
    <t>andyhenrry7@gmail.com</t>
  </si>
  <si>
    <t>enryque001@gmail.com</t>
  </si>
  <si>
    <t>carlosvargasduliam@gmail.com</t>
  </si>
  <si>
    <t>jkimmodastore@gmail.com</t>
  </si>
  <si>
    <t>yuttdemil@gmail.com</t>
  </si>
  <si>
    <t>aelsonsantana241@gmail.com</t>
  </si>
  <si>
    <t>naleon777@hotmail.com</t>
  </si>
  <si>
    <t>canal99internacional@gmail.com</t>
  </si>
  <si>
    <t>youtube / sebastiangonzalez_yt</t>
  </si>
  <si>
    <t>rocio_scs@hotmail.com</t>
  </si>
  <si>
    <t>mariaraimundarocha27@gmail.com</t>
  </si>
  <si>
    <t>rofer6@yahoo.com</t>
  </si>
  <si>
    <t>n00165576@gmail.com</t>
  </si>
  <si>
    <t>limberamaringoramirez@gmail.com</t>
  </si>
  <si>
    <t>milton.melendez.c@gmail.com</t>
  </si>
  <si>
    <t>vulcaolidao@gmail.com</t>
  </si>
  <si>
    <t>ofertaslimaperu@gmail.com</t>
  </si>
  <si>
    <t>teresarojitas20@gmail.com</t>
  </si>
  <si>
    <t>amorcitoracosta@gmail.com</t>
  </si>
  <si>
    <t>dianav03@hotmail.com</t>
  </si>
  <si>
    <t>hectorantoniotokumotoguibu@gmail.com</t>
  </si>
  <si>
    <t>sennasamuel362@gmail.com</t>
  </si>
  <si>
    <t>contacto@satelitalsecurity.com</t>
  </si>
  <si>
    <t>menajaramangrol@gmail.com</t>
  </si>
  <si>
    <t>franemidio.designer@gmail.com</t>
  </si>
  <si>
    <t>karina.leyva.perochena@gmail.com</t>
  </si>
  <si>
    <t>azambranoguarniz@gmail.com</t>
  </si>
  <si>
    <t>erasmotrade@gmail.com</t>
  </si>
  <si>
    <t>max.velasco19@gmail.com</t>
  </si>
  <si>
    <t>xena_08@hotmail.com</t>
  </si>
  <si>
    <t>vendas@cymaz.com</t>
  </si>
  <si>
    <t>ammyrugel12@gmail.com</t>
  </si>
  <si>
    <t>smithastocondori@gmail.com</t>
  </si>
  <si>
    <t>contacto@desayunaconmigo.com</t>
  </si>
  <si>
    <t>percisito2012@gmail.com</t>
  </si>
  <si>
    <t>renatocastro@outlook.com</t>
  </si>
  <si>
    <t>melisa818938e@gmail.com</t>
  </si>
  <si>
    <t>marciafm07@gmail.com</t>
  </si>
  <si>
    <t>luzsantoschinchay040@gmail.com</t>
  </si>
  <si>
    <t>yamile.luna.aguirre@gmail.com</t>
  </si>
  <si>
    <t>sierrapaucardaniel@gmail.com</t>
  </si>
  <si>
    <t>manuelzapata20@hotmail.com</t>
  </si>
  <si>
    <t>aurora2014-2014@outlook.com</t>
  </si>
  <si>
    <t>christianwilbermunoz@gmail.com</t>
  </si>
  <si>
    <t>washington.wn77@gmail.com</t>
  </si>
  <si>
    <t>asencioskary@gmail.com</t>
  </si>
  <si>
    <t>chris.pretinha@hotmail.com</t>
  </si>
  <si>
    <t>terronesdiazmarioantonio2027@gmail.com</t>
  </si>
  <si>
    <t>perutecnogadget@gmail.com</t>
  </si>
  <si>
    <t>davidmarianodios@gmail.com</t>
  </si>
  <si>
    <t>roneihenrique158@gmail.com</t>
  </si>
  <si>
    <t>oscarnetworkingpro@gmail.com</t>
  </si>
  <si>
    <t>marineiamcampos@outlook.com</t>
  </si>
  <si>
    <t>labanneyra38@gmail.com</t>
  </si>
  <si>
    <t>haslylucialaramarquina@gmail.com</t>
  </si>
  <si>
    <t>travieso_capricornio_16@hotmail.com</t>
  </si>
  <si>
    <t>cintiacaetano2024@gmail.com</t>
  </si>
  <si>
    <t>favinellamallmalopez@gmail.com</t>
  </si>
  <si>
    <t>kuglerguilherme@gmail.com</t>
  </si>
  <si>
    <t>idegobooks@gmail.com</t>
  </si>
  <si>
    <t>rbarranzuelagutierrez@gmail.com</t>
  </si>
  <si>
    <t>julianajlimpressoes25@gmail.com</t>
  </si>
  <si>
    <t>imp.lyseani@hotmail.com</t>
  </si>
  <si>
    <t>ofernandez80@gmail.com</t>
  </si>
  <si>
    <t>pd935912@gmail.com</t>
  </si>
  <si>
    <t>valboaalessandrojos@gmail.com</t>
  </si>
  <si>
    <t>angelicarenaware@hotmail.com</t>
  </si>
  <si>
    <t>pulachejeferivan@gmail.com</t>
  </si>
  <si>
    <t>adlinebura@gmail.com</t>
  </si>
  <si>
    <t>gnapuriortega@gmail.com</t>
  </si>
  <si>
    <t>cervantesfarfanm@gmail.com</t>
  </si>
  <si>
    <t>rennerivera058@gmail.com</t>
  </si>
  <si>
    <t>saulpapiquiliche@gmail.com</t>
  </si>
  <si>
    <t>andyserg97@gmail.com</t>
  </si>
  <si>
    <t>nicollealexandravasquezvasquez@gmail.com</t>
  </si>
  <si>
    <t>colinayanivet@gmail.com</t>
  </si>
  <si>
    <t>a77eab72-c7ac-4b7e-a688-81c58f518877</t>
  </si>
  <si>
    <t>poholelfren07@gmail.com</t>
  </si>
  <si>
    <t>mecraul@hotmail.com</t>
  </si>
  <si>
    <t>homeoffice.taisratier@gmail.com</t>
  </si>
  <si>
    <t>electricistanilton@gmail.com</t>
  </si>
  <si>
    <t>ervv.27.05@gmail.com</t>
  </si>
  <si>
    <t>stalinlastra58@gmail.com</t>
  </si>
  <si>
    <t>crauchavez@gmail.com</t>
  </si>
  <si>
    <t>cabenatto44@gmail.com</t>
  </si>
  <si>
    <t>m75070582@gmail.com</t>
  </si>
  <si>
    <t>churamarjori325@gmail.com</t>
  </si>
  <si>
    <t>COUNTA of Id de registro</t>
  </si>
  <si>
    <t>Grand Total</t>
  </si>
  <si>
    <t>PAID_SOCIAL Total</t>
  </si>
  <si>
    <t>DIRECT_TRAFFIC Total</t>
  </si>
  <si>
    <t>OTHER_CAMPAIGNS Total</t>
  </si>
  <si>
    <t>SOCIAL_MEDIA Total</t>
  </si>
  <si>
    <t>REFERRALS Total</t>
  </si>
  <si>
    <t>ORGANIC_SEARCH Total</t>
  </si>
  <si>
    <t xml:space="preserve"> Total</t>
  </si>
  <si>
    <t>OFFLINE Total</t>
  </si>
  <si>
    <t>PAID_SEARCH Total</t>
  </si>
  <si>
    <t>Growth</t>
  </si>
  <si>
    <t>Mes</t>
  </si>
  <si>
    <t>Días en el mes</t>
  </si>
  <si>
    <t>Hoy</t>
  </si>
  <si>
    <t>LATAM</t>
  </si>
  <si>
    <t>Brasil</t>
  </si>
  <si>
    <t>ID</t>
  </si>
  <si>
    <t>Meta Signups</t>
  </si>
  <si>
    <t>Luis</t>
  </si>
  <si>
    <t>Meta PQL's</t>
  </si>
  <si>
    <t>Jorge chu</t>
  </si>
  <si>
    <t>Meta to Date (Signups)</t>
  </si>
  <si>
    <t>Pablo</t>
  </si>
  <si>
    <t>Meta to Date (PQL's)</t>
  </si>
  <si>
    <t>Rafa</t>
  </si>
  <si>
    <t>Sebas</t>
  </si>
  <si>
    <t>Signups</t>
  </si>
  <si>
    <t>Diego</t>
  </si>
  <si>
    <t>PQL's</t>
  </si>
  <si>
    <t>Avance del mes (Signups)</t>
  </si>
  <si>
    <t>Avance to Date (Signups)</t>
  </si>
  <si>
    <t>Avance del mes (PQL's)</t>
  </si>
  <si>
    <t>Avance to Date (PQL's)</t>
  </si>
  <si>
    <t>N° Mes</t>
  </si>
  <si>
    <t>Source</t>
  </si>
  <si>
    <t>BR</t>
  </si>
  <si>
    <t>Texto LATAM</t>
  </si>
  <si>
    <t>Texto BR</t>
  </si>
  <si>
    <t>Concat LATAM</t>
  </si>
  <si>
    <t>Concat BR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</si>
  <si>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</si>
  <si>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</si>
  <si>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</si>
  <si>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</si>
  <si>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</si>
  <si>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</si>
  <si>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</si>
  <si>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</si>
  <si>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</si>
  <si>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</si>
  <si>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</si>
  <si>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Sin fuente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</si>
</sst>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u/>
      <color rgb="FF0000FF"/>
    </font>
    <font>
      <u/>
      <color rgb="FF0000FF"/>
    </font>
    <font>
      <b/>
      <color rgb="FFFFFFFF"/>
      <name val="Arial"/>
    </font>
    <font>
      <color rgb="FFFFFFFF"/>
      <name val="Arial"/>
    </font>
    <font>
      <sz val="10.0"/>
      <color rgb="FF000000"/>
      <name val="Arial"/>
    </font>
    <font>
      <b/>
      <color theme="1"/>
      <name val="Arial"/>
    </font>
    <font>
      <b/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Font="1"/>
    <xf borderId="0" fillId="0" fontId="5" numFmtId="0" xfId="0" applyFont="1"/>
    <xf borderId="0" fillId="2" fontId="6" numFmtId="0" xfId="0" applyFill="1" applyFont="1"/>
    <xf borderId="0" fillId="2" fontId="7" numFmtId="0" xfId="0" applyFont="1"/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8" numFmtId="0" xfId="0" applyFont="1"/>
    <xf borderId="0" fillId="0" fontId="9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borderId="0" fillId="0" fontId="7" numFmtId="9" xfId="0" applyFont="1" applyNumberFormat="1"/>
    <xf borderId="0" fillId="0" fontId="2" numFmtId="10" xfId="0" applyFont="1" applyNumberFormat="1"/>
    <xf borderId="0" fillId="0" fontId="11" numFmtId="0" xfId="0" applyAlignment="1" applyFont="1">
      <alignment vertical="top"/>
    </xf>
    <xf borderId="1" fillId="0" fontId="9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1" fillId="0" fontId="1" numFmtId="3" xfId="0" applyAlignment="1" applyBorder="1" applyFont="1" applyNumberFormat="1">
      <alignment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hiago Alves dos Reis" id="{efa69b55-5005-4cac-9d6f-4b4084bb6cea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4635" sheet="BD"/>
  </cacheSource>
  <cacheFields>
    <cacheField name="Id de registro" numFmtId="0">
      <sharedItems containsString="0" containsBlank="1" containsNumber="1" containsInteger="1">
        <n v="1.9824398963E11"/>
        <n v="1.98256320407E11"/>
        <n v="1.4273872466E11"/>
        <n v="1.98255622519E11"/>
        <n v="1.98255475205E11"/>
        <n v="1.64002674072E11"/>
        <n v="1.98268556573E11"/>
        <n v="1.9827108614E11"/>
        <n v="1.98266616451E11"/>
        <n v="1.98273072278E11"/>
        <n v="1.98270960422E11"/>
        <n v="1.98281270817E11"/>
        <n v="1.98281559461E11"/>
        <n v="1.98272911994E11"/>
        <n v="1.98272936256E11"/>
        <n v="1.98276572487E11"/>
        <n v="1.98278483972E11"/>
        <n v="1.98283084121E11"/>
        <n v="1.98290484371E11"/>
        <n v="1.98299135757E11"/>
        <n v="1.98297228298E11"/>
        <n v="1.98312079699E11"/>
        <n v="1.98320959833E11"/>
        <n v="1.98322004395E11"/>
        <n v="1.98332342867E11"/>
        <n v="1.98335997858E11"/>
        <n v="1.98339064194E11"/>
        <n v="1.98359606096E11"/>
        <n v="1.98372954752E11"/>
        <n v="1.98365408091E11"/>
        <n v="1.9836494346E11"/>
        <n v="1.98375156635E11"/>
        <n v="1.86614573466E11"/>
        <n v="1.98367815567E11"/>
        <n v="1.98375930882E11"/>
        <n v="1.97708489753E11"/>
        <n v="1.9838239801E11"/>
        <n v="1.98383968163E11"/>
        <n v="1.98396333992E11"/>
        <n v="1.9838514509E11"/>
        <n v="1.98394792736E11"/>
        <n v="1.98384791336E11"/>
        <n v="1.98385166242E11"/>
        <n v="1.98399396998E11"/>
        <n v="1.98399410864E11"/>
        <n v="1.98388149162E11"/>
        <n v="1.98387476009E11"/>
        <n v="1.98407269914E11"/>
        <n v="1.95763181218E11"/>
        <n v="1.98418409843E11"/>
        <n v="1.98420147505E11"/>
        <n v="1.40658987035E11"/>
        <n v="1.62493931694E11"/>
        <n v="1.97012482854E11"/>
        <n v="1.98424446297E11"/>
        <n v="1.98453966626E11"/>
        <n v="1.98453829391E11"/>
        <n v="1.98476551187E11"/>
        <n v="1.98432389003E11"/>
        <n v="1.98487889468E11"/>
        <n v="1.98485658957E11"/>
        <n v="1.97557734989E11"/>
        <n v="1.98435714345E11"/>
        <n v="1.90245242241E11"/>
        <n v="1.98437699488E11"/>
        <n v="1.98528749436E11"/>
        <n v="1.98530613311E11"/>
        <n v="1.98529483372E11"/>
        <n v="1.98538829647E11"/>
        <n v="1.98522655842E11"/>
        <n v="1.98560200259E11"/>
        <n v="1.98561649778E11"/>
        <n v="1.98564065122E11"/>
        <n v="1.98528100697E11"/>
        <n v="1.98560719501E11"/>
        <n v="1.73382561953E11"/>
        <n v="1.98569022591E11"/>
        <n v="1.78953366387E11"/>
        <n v="1.98574553149E11"/>
        <n v="1.98589852074E11"/>
        <n v="1.98589379193E11"/>
        <n v="1.98593663024E11"/>
        <n v="1.98600527165E11"/>
        <n v="1.98598891449E11"/>
        <n v="1.98604577051E11"/>
        <n v="1.98607798129E11"/>
        <n v="1.98666370938E11"/>
        <n v="1.98665931531E11"/>
        <n v="1.98669141842E11"/>
        <n v="1.98684973353E11"/>
        <n v="1.98691907918E11"/>
        <n v="1.98682917998E11"/>
        <n v="1.9868184937E11"/>
        <n v="1.80795999662E11"/>
        <n v="1.98709490723E11"/>
        <n v="1.98694638209E11"/>
        <n v="1.98697361068E11"/>
        <n v="1.98699050347E11"/>
        <n v="1.98697417606E11"/>
        <n v="1.05834638764E11"/>
        <n v="1.98579746923E11"/>
        <n v="1.98725685815E11"/>
        <n v="1.98756758414E11"/>
        <n v="1.98760826943E11"/>
        <n v="1.98797974575E11"/>
        <n v="1.98754206993E11"/>
        <n v="1.98755524978E11"/>
        <n v="1.98829369689E11"/>
        <n v="1.98833197712E11"/>
        <n v="1.98817940379E11"/>
        <n v="1.9886129959E11"/>
        <n v="1.98860656302E11"/>
        <n v="1.63888795007E11"/>
        <n v="1.9884672874E11"/>
        <n v="1.98847315294E11"/>
        <n v="1.9887748173E11"/>
        <n v="1.98879324601E11"/>
        <n v="1.98888294432E11"/>
        <n v="1.98888333676E11"/>
        <n v="1.98897966514E11"/>
        <n v="1.69493993073E11"/>
        <n v="1.98898935449E11"/>
        <n v="1.98901137247E11"/>
        <n v="1.97586281852E11"/>
        <n v="5.6768100187E10"/>
        <n v="1.98716373806E11"/>
        <n v="1.7149485418E11"/>
        <n v="1.98907615156E11"/>
        <n v="1.70709240874E11"/>
        <n v="1.98905625463E11"/>
        <n v="1.98906012435E11"/>
        <n v="1.98906546831E11"/>
        <n v="1.98899036239E11"/>
        <n v="1.98903894937E11"/>
        <n v="1.98919242596E11"/>
        <n v="1.98919074422E11"/>
        <n v="1.98913137409E11"/>
        <n v="1.72637114186E11"/>
        <n v="1.98932289659E11"/>
        <n v="1.98980064265E11"/>
        <n v="1.98982884535E11"/>
        <n v="1.99012327187E11"/>
        <n v="1.99013599579E11"/>
        <n v="1.99012323095E11"/>
        <n v="1.9901587663E11"/>
        <n v="1.99027276984E11"/>
        <n v="1.9902083472E11"/>
        <n v="1.99019246994E11"/>
        <n v="1.9902952576E11"/>
        <n v="1.99057354769E11"/>
        <n v="1.99061425591E11"/>
        <n v="1.99031066536E11"/>
        <n v="1.99038676E11"/>
        <n v="1.99061680715E11"/>
        <n v="1.63159477318E11"/>
        <n v="1.94531510147E11"/>
        <n v="1.9906227564E11"/>
        <n v="1.99082908746E11"/>
        <n v="1.85891359507E11"/>
        <n v="1.99093237645E11"/>
        <n v="1.9909432737E11"/>
        <n v="1.99096354723E11"/>
        <n v="1.99099628114E11"/>
        <n v="1.99099297542E11"/>
        <n v="1.99099900225E11"/>
        <n v="1.99107089932E11"/>
        <n v="1.99109111849E11"/>
        <n v="1.87762170924E11"/>
        <n v="1.88105526047E11"/>
        <n v="1.97360461704E11"/>
        <n v="1.99112997385E11"/>
        <n v="1.99112646954E11"/>
        <n v="1.99118202967E11"/>
        <n v="1.99128707689E11"/>
        <n v="1.99134590108E11"/>
        <n v="1.99119348741E11"/>
        <n v="1.99169236833E11"/>
        <n v="1.1430221139E11"/>
        <n v="1.99168342193E11"/>
        <n v="6.5173258304E10"/>
        <n v="1.99184893532E11"/>
        <n v="1.99184142899E11"/>
        <n v="1.99182804246E11"/>
        <n v="1.99142117516E11"/>
        <n v="1.99189240391E11"/>
        <n v="1.99227781519E11"/>
        <n v="1.55818034745E11"/>
        <n v="1.99248254292E11"/>
        <n v="1.92312980149E11"/>
        <n v="1.70690670221E11"/>
        <n v="1.99243450504E11"/>
        <n v="1.99245506456E11"/>
        <n v="1.80478879539E11"/>
        <n v="1.73874439085E11"/>
        <n v="1.9930694235E11"/>
        <n v="1.99315742837E11"/>
        <n v="1.99280638385E11"/>
        <n v="1.99279492883E11"/>
        <n v="1.89169006508E11"/>
        <n v="1.93466896169E11"/>
        <n v="1.99280736065E11"/>
        <n v="1.99314159782E11"/>
        <n v="1.99284015625E11"/>
        <n v="1.99314971964E11"/>
        <n v="1.99320896407E11"/>
        <n v="1.9931978637E11"/>
        <n v="1.99321785107E11"/>
        <n v="1.99285703203E11"/>
        <n v="1.99288980599E11"/>
        <n v="1.99328060565E11"/>
        <n v="1.99326460568E11"/>
        <n v="1.99325846965E11"/>
        <n v="1.99293704865E11"/>
        <n v="1.97799820441E11"/>
        <n v="1.88737898417E11"/>
        <n v="1.99294573677E11"/>
        <n v="1.99297888868E11"/>
        <n v="1.99298556043E11"/>
        <n v="1.99337041322E11"/>
        <n v="1.99368069946E11"/>
        <n v="1.99345485113E11"/>
        <n v="1.99396532359E11"/>
        <n v="1.99407834378E11"/>
        <n v="1.60919350424E11"/>
        <n v="1.99408944563E11"/>
        <n v="1.99407562292E11"/>
        <n v="1.9941960734E11"/>
        <n v="1.99432712039E11"/>
        <n v="1.99426653311E11"/>
        <n v="1.71055376055E11"/>
        <n v="1.99438229119E11"/>
        <n v="1.9944422404E11"/>
        <n v="1.54617839175E11"/>
        <n v="1.99446566228E11"/>
        <n v="1.99449428341E11"/>
        <n v="1.99451905382E11"/>
        <n v="1.99458948945E11"/>
        <n v="1.6141679879E11"/>
        <n v="1.82798085199E11"/>
        <n v="1.99467551041E11"/>
        <n v="1.99475302002E11"/>
        <n v="1.99469287197E11"/>
        <n v="1.99483157323E11"/>
        <n v="1.97511819173E11"/>
        <n v="1.99488182278E11"/>
        <n v="1.99500393788E11"/>
        <n v="1.99502705198E11"/>
        <n v="1.9950429608E11"/>
        <n v="1.98857198934E11"/>
        <n v="1.77903074735E11"/>
        <n v="1.99525569371E11"/>
        <n v="1.99513263779E11"/>
        <n v="1.99528940127E11"/>
        <n v="1.97850008087E11"/>
        <n v="1.99095713114E11"/>
        <n v="1.99540716034E11"/>
        <n v="1.99544605004E11"/>
        <n v="1.99559076278E11"/>
        <n v="1.99547952553E11"/>
        <n v="1.94057708349E11"/>
        <n v="1.99559238556E11"/>
        <n v="5.0583861177E10"/>
        <n v="1.99565753496E11"/>
        <n v="1.79671506041E11"/>
        <n v="1.99550561043E11"/>
        <n v="1.99561280539E11"/>
        <n v="1.99568925617E11"/>
        <n v="1.99562739306E11"/>
        <n v="1.99553393783E11"/>
        <n v="1.99570548122E11"/>
        <n v="1.99553598241E11"/>
        <n v="1.9957073184E11"/>
        <n v="1.99572838838E11"/>
        <n v="1.99570489446E11"/>
        <n v="1.99570867486E11"/>
        <n v="1.99574538002E11"/>
        <n v="1.99593887903E11"/>
        <n v="1.99547516749E11"/>
        <n v="1.99580801917E11"/>
        <n v="1.76852283137E11"/>
        <n v="1.99636845163E11"/>
        <n v="1.99656028429E11"/>
        <n v="1.9969545376E11"/>
        <n v="1.64105728106E11"/>
        <n v="1.99660390994E11"/>
        <n v="1.71322283042E11"/>
        <n v="1.99707102235E11"/>
        <n v="1.99696726107E11"/>
        <n v="1.99711381683E11"/>
        <n v="1.99695856233E11"/>
        <n v="1.99713746535E11"/>
        <n v="1.997300294E11"/>
        <n v="1.7663820705E11"/>
        <n v="1.99748953929E11"/>
        <n v="1.99753676326E11"/>
        <n v="1.99753729095E11"/>
        <n v="1.99754721209E11"/>
        <n v="1.99753413744E11"/>
        <n v="1.99779872164E11"/>
        <n v="1.99759640464E11"/>
        <n v="1.99761862229E11"/>
        <n v="1.96244360823E11"/>
        <n v="1.9978525764E11"/>
        <n v="1.9978367058E11"/>
        <n v="1.99784040062E11"/>
        <n v="1.99790144007E11"/>
        <n v="1.99791327122E11"/>
        <n v="1.99808230975E11"/>
        <n v="1.99791569194E11"/>
        <n v="1.99795794327E11"/>
        <n v="1.99795873203E11"/>
        <n v="1.99806708583E11"/>
        <n v="1.9982446069E11"/>
        <n v="1.99845846702E11"/>
        <n v="1.87418927172E11"/>
        <n v="1.63945600905E11"/>
        <n v="1.99833427292E11"/>
        <n v="1.99849220886E11"/>
        <n v="1.99833060746E11"/>
        <n v="1.9985101039E11"/>
        <n v="1.99844790299E11"/>
        <n v="1.99843691075E11"/>
        <n v="1.99853687417E11"/>
        <n v="1.99862084188E11"/>
        <n v="1.99860335544E11"/>
        <n v="1.99864868654E11"/>
        <n v="1.99873005842E11"/>
        <n v="1.99879756966E11"/>
        <n v="1.99875659381E11"/>
        <n v="1.99883734081E11"/>
        <n v="1.99885879866E11"/>
        <n v="1.99881042983E11"/>
        <n v="1.99880827542E11"/>
        <n v="1.54615861271E11"/>
        <n v="1.99890312572E11"/>
        <n v="1.99893382402E11"/>
        <n v="1.99912377913E11"/>
        <n v="1.99946723919E11"/>
        <n v="1.7569255261E11"/>
        <n v="1.99952371038E11"/>
        <n v="1.88400420279E11"/>
        <n v="1.99952706881E11"/>
        <n v="1.99955885186E11"/>
        <n v="1.90009434389E11"/>
        <n v="1.99854586971E11"/>
        <n v="1.63819917312E11"/>
        <n v="1.99964080423E11"/>
        <n v="1.99977366338E11"/>
        <n v="1.99881340966E11"/>
        <n v="1.99982448959E11"/>
        <n v="1.84537193382E11"/>
        <n v="1.41630051484E11"/>
        <n v="1.99999510068E11"/>
        <n v="2.00000608617E11"/>
        <n v="2.00004436655E11"/>
        <n v="2.00064429586E11"/>
        <n v="2.00029488473E11"/>
        <n v="2.00064192258E11"/>
        <n v="2.00086252676E11"/>
        <n v="2.00114064974E11"/>
        <n v="1.76742203467E11"/>
        <n v="1.95695748509E11"/>
        <n v="2.00099370153E11"/>
        <n v="2.00098377728E11"/>
        <n v="2.00098685809E11"/>
        <n v="2.00094346936E11"/>
        <n v="2.000997292E11"/>
        <n v="2.00100332383E11"/>
        <n v="2.0011967678E11"/>
        <n v="1.99278134377E11"/>
        <n v="1.88770974501E11"/>
        <n v="2.00118115102E11"/>
        <n v="2.00125016324E11"/>
        <n v="2.00107046715E11"/>
        <n v="2.00126838823E11"/>
        <n v="2.00129599526E11"/>
        <n v="1.45190143053E11"/>
        <n v="2.00122113336E11"/>
        <n v="2.00152814146E11"/>
        <n v="2.00151472441E11"/>
        <n v="2.00135418215E11"/>
        <n v="2.00133236032E11"/>
        <n v="2.00148832294E11"/>
        <n v="1.56109245618E11"/>
        <n v="1.90058243631E11"/>
        <n v="2.00157507652E11"/>
        <n v="1.67437842257E11"/>
        <n v="2.00143787095E11"/>
        <n v="2.00162727685E11"/>
        <n v="2.00165580984E11"/>
        <n v="2.00169324048E11"/>
        <n v="2.00185313861E11"/>
        <n v="2.00173087868E11"/>
        <n v="2.00188109613E11"/>
        <n v="2.00173977222E11"/>
        <n v="2.0017684099E11"/>
        <n v="2.00178641486E11"/>
        <n v="2.00194118024E11"/>
        <n v="1.93510848917E11"/>
        <n v="2.00179307036E11"/>
        <n v="2.00195089428E11"/>
        <n v="2.00194437169E11"/>
        <n v="2.0018200053E11"/>
        <n v="2.00196141442E11"/>
        <n v="2.00195239526E11"/>
        <n v="1.94520613213E11"/>
        <n v="1.65189298284E11"/>
        <n v="2.00204285738E11"/>
        <n v="1.79260073831E11"/>
        <n v="2.00181952371E11"/>
        <n v="2.00183402829E11"/>
        <n v="2.00196433072E11"/>
        <n v="2.00206005351E11"/>
        <n v="1.71813927951E11"/>
        <n v="1.56201536037E11"/>
        <n v="2.00198693966E11"/>
        <n v="2.00211052076E11"/>
        <n v="2.00206652567E11"/>
        <n v="2.00213032026E11"/>
        <n v="2.00215610543E11"/>
        <n v="2.00219136826E11"/>
        <n v="2.00219330433E11"/>
        <n v="1.61507626817E11"/>
        <n v="2.00229309282E11"/>
        <n v="1.95511440056E11"/>
        <n v="2.00234763842E11"/>
        <n v="2.00241215332E11"/>
        <n v="2.00241010563E11"/>
        <n v="1.89984072276E11"/>
        <n v="2.00239234423E11"/>
        <n v="2.00247274779E11"/>
        <n v="2.00254183452E11"/>
        <n v="2.00248536176E11"/>
        <n v="2.00257667915E11"/>
        <n v="2.00251689647E11"/>
        <n v="2.00265244795E11"/>
        <n v="2.00274500242E11"/>
        <n v="2.0027051766E11"/>
        <n v="2.00269135952E11"/>
        <n v="1.86569474852E11"/>
        <n v="2.002708749E11"/>
        <n v="2.00278955164E11"/>
        <n v="2.00281735434E11"/>
        <n v="2.00291353941E11"/>
        <n v="2.0028358031E11"/>
        <n v="2.00292291413E11"/>
        <n v="2.0029349895E11"/>
        <n v="2.0029249696E11"/>
        <n v="1.64282352453E11"/>
        <n v="1.98519439743E11"/>
        <n v="1.73506584962E11"/>
        <n v="1.99468276651E11"/>
        <n v="2.0029435271E11"/>
        <n v="2.00285940532E11"/>
        <n v="2.00289129629E11"/>
        <n v="2.00291958056E11"/>
        <n v="2.00298875907E11"/>
        <n v="2.0030645172E11"/>
        <n v="2.00312226182E11"/>
        <n v="2.00320005794E11"/>
        <n v="2.00327904384E11"/>
        <n v="1.71556953161E11"/>
        <n v="2.0032934025E11"/>
        <n v="2.00337382788E11"/>
        <n v="2.00337780127E11"/>
        <n v="2.00343384925E11"/>
        <n v="2.00351187036E11"/>
        <n v="2.00351309721E11"/>
        <n v="2.00341376009E11"/>
        <n v="2.00344227763E11"/>
        <n v="2.00348360812E11"/>
        <n v="1.9988590967E11"/>
        <n v="1.90350518025E11"/>
        <n v="2.00348261948E11"/>
        <n v="2.00358608432E11"/>
        <n v="2.00358627513E11"/>
        <n v="2.00362954515E11"/>
        <n v="2.00363428223E11"/>
        <n v="2.00365558033E11"/>
        <n v="2.00372583725E11"/>
        <n v="1.69314497845E11"/>
        <n v="2.00367331147E11"/>
        <n v="2.00376812385E11"/>
        <n v="1.93564336261E11"/>
        <n v="1.67448495619E11"/>
        <n v="2.00367867681E11"/>
        <n v="2.00379619236E11"/>
        <n v="2.00381881871E11"/>
        <n v="2.00382204967E11"/>
        <n v="2.00383520526E11"/>
        <n v="2.00385149214E11"/>
        <n v="2.00395243561E11"/>
        <n v="2.00385263957E11"/>
        <n v="2.00386626163E11"/>
        <n v="1.88204597066E11"/>
        <n v="2.00398546213E11"/>
        <n v="1.90041640374E11"/>
        <n v="2.00390565279E11"/>
        <n v="1.44714412211E11"/>
        <n v="2.00417424986E11"/>
        <n v="2.00415222337E11"/>
        <n v="1.92076236728E11"/>
        <n v="2.00420874775E11"/>
        <n v="2.00427472404E11"/>
        <n v="2.00428648225E11"/>
        <n v="1.85386248751E11"/>
        <n v="2.00439290023E11"/>
        <n v="2.00432267394E11"/>
        <n v="2.00437543297E11"/>
        <n v="2.00437882781E11"/>
        <n v="2.0043806984E11"/>
        <n v="2.00434099052E11"/>
        <n v="2.00435474316E11"/>
        <n v="2.00413264247E11"/>
        <n v="2.0043608435E11"/>
        <n v="2.0044749089E11"/>
        <n v="2.00449973291E11"/>
        <n v="2.00461715249E11"/>
        <n v="1.99979908254E11"/>
        <n v="2.00453537956E11"/>
        <n v="2.00453262869E11"/>
        <n v="2.00461406751E11"/>
        <n v="2.00455522561E11"/>
        <n v="2.00465608376E11"/>
        <n v="2.00454721024E11"/>
        <n v="2.0045583345E11"/>
        <n v="2.00458211133E11"/>
        <n v="1.75291148852E11"/>
        <n v="2.00469266445E11"/>
        <n v="2.00471052808E11"/>
        <n v="1.53650065164E11"/>
        <n v="2.00476395857E11"/>
        <n v="2.00470960395E11"/>
        <n v="2.00469958692E11"/>
        <n v="2.00472466266E11"/>
        <n v="2.00488097926E11"/>
        <n v="2.00541444132E11"/>
        <n v="2.00557566876E11"/>
        <n v="2.00561590905E11"/>
        <n v="2.00570445444E11"/>
        <n v="2.00570265233E11"/>
        <n v="2.00571875498E11"/>
        <n v="2.00595018519E11"/>
        <n v="2.00596226579E11"/>
        <n v="2.00605138226E11"/>
        <n v="2.00607450682E11"/>
        <n v="2.00589973059E11"/>
        <n v="2.00593231418E11"/>
        <n v="2.00594089652E11"/>
        <n v="2.00593745038E11"/>
        <n v="2.00623526763E11"/>
        <n v="2.00625032759E11"/>
        <n v="2.00626149502E11"/>
        <n v="2.00602874666E11"/>
        <n v="2.00635120274E11"/>
        <n v="2.00639429779E11"/>
        <n v="2.00637988135E11"/>
        <n v="2.00724658869E11"/>
        <n v="2.00724338793E11"/>
        <n v="1.38946009957E11"/>
        <n v="2.00774288135E11"/>
        <n v="2.00750296396E11"/>
        <n v="2.00844076046E11"/>
        <n v="2.0084637736E11"/>
        <n v="2.00877497993E11"/>
        <n v="2.00886014353E11"/>
        <n v="2.00857209252E11"/>
        <n v="1.65149844003E11"/>
        <n v="2.0092204405E11"/>
        <n v="2.00922491456E11"/>
        <n v="2.0092622883E11"/>
        <n v="2.00929460753E11"/>
        <n v="2.00904938822E11"/>
        <n v="2.00928078908E11"/>
        <n v="2.00963336203E11"/>
        <n v="2.00983243871E11"/>
        <n v="1.6683141002E11"/>
        <n v="2.01003659324E11"/>
        <n v="2.00992931457E11"/>
        <n v="2.00990753435E11"/>
        <n v="2.01009234869E11"/>
        <n v="2.01002631953E11"/>
        <n v="1.98228661262E11"/>
        <n v="2.01020896437E11"/>
        <n v="1.80249826919E11"/>
        <n v="2.01022869429E11"/>
        <n v="2.0102157005E11"/>
        <n v="2.01026995802E11"/>
        <n v="2.01075441922E11"/>
        <n v="2.01074871368E11"/>
        <n v="2.00963175781E11"/>
        <n v="2.01074870126E11"/>
        <n v="2.01149271131E11"/>
        <n v="1.98189112965E11"/>
        <n v="1.65618221917E11"/>
        <n v="1.95260389742E11"/>
        <n v="1.77422611825E11"/>
        <n v="2.01302212955E11"/>
        <n v="2.01318138461E11"/>
        <n v="2.01344057609E11"/>
        <n v="2.01300894823E11"/>
        <n v="2.01318029981E11"/>
        <n v="1.79841110956E11"/>
        <n v="2.01326742389E11"/>
        <n v="2.01345659004E11"/>
        <n v="2.01347298131E11"/>
        <n v="2.01359308809E11"/>
        <n v="2.01359591277E11"/>
        <n v="2.01328935704E11"/>
        <n v="2.01371947664E11"/>
        <n v="2.01374289584E11"/>
        <n v="2.01385157892E11"/>
        <n v="2.01381546345E11"/>
        <n v="2.01385463697E11"/>
        <n v="2.01383034035E11"/>
        <n v="2.01368213398E11"/>
        <n v="2.01365701748E11"/>
        <n v="2.01384925959E11"/>
        <n v="2.01388533079E11"/>
        <n v="2.0136830324E11"/>
        <n v="2.01387107611E11"/>
        <n v="2.01389448498E11"/>
        <n v="2.01398316684E11"/>
        <n v="2.01388320142E11"/>
        <n v="2.01401807277E11"/>
        <n v="1.68387417256E11"/>
        <n v="2.01392628631E11"/>
        <n v="1.63996437283E11"/>
        <n v="2.01395870507E11"/>
        <n v="1.86913472171E11"/>
        <n v="2.01397025805E11"/>
        <n v="2.01404744249E11"/>
        <n v="2.01418491265E11"/>
        <n v="5.6772600475E10"/>
        <n v="1.55077460621E11"/>
        <n v="2.01432382548E11"/>
        <n v="2.01207953062E11"/>
        <n v="2.01445605263E11"/>
        <n v="2.01428615009E11"/>
        <n v="2.01429367669E11"/>
        <n v="1.85659868043E11"/>
        <n v="2.0144767196E11"/>
        <n v="2.01460036958E11"/>
        <n v="2.01463294881E11"/>
        <n v="2.00430243378E11"/>
        <n v="2.01460618385E11"/>
        <n v="2.01460517159E11"/>
        <n v="2.01479852358E11"/>
        <n v="2.01471684615E11"/>
        <n v="2.01472501076E11"/>
        <n v="2.01479309337E11"/>
        <n v="1.87659491633E11"/>
        <n v="2.01479422467E11"/>
        <n v="2.01482602342E11"/>
        <n v="1.85129358156E11"/>
        <n v="2.01486675009E11"/>
        <n v="2.01491152987E11"/>
        <n v="2.01492097913E11"/>
        <n v="2.01490211632E11"/>
        <n v="2.01492011957E11"/>
        <n v="1.96795554202E11"/>
        <n v="2.0149414222E11"/>
        <n v="2.01503005977E11"/>
        <n v="1.43662164292E11"/>
        <n v="2.0138069352E11"/>
        <n v="2.01510065941E11"/>
        <n v="2.01510364741E11"/>
        <n v="1.6171368833E11"/>
        <n v="2.01519232589E11"/>
        <n v="2.01513903799E11"/>
        <n v="2.01530016522E11"/>
        <n v="2.01533590316E11"/>
        <n v="2.01567690631E11"/>
        <n v="2.01566839851E11"/>
        <n v="2.01180695834E11"/>
        <n v="2.01570131114E11"/>
        <n v="2.01567432787E11"/>
        <n v="1.87467257205E11"/>
        <n v="2.01573680534E11"/>
        <n v="2.01575186697E11"/>
        <n v="2.0154372557E11"/>
        <n v="2.01090892879E11"/>
        <n v="2.01575659627E11"/>
        <n v="2.01539908353E11"/>
        <n v="1.82859139672E11"/>
        <n v="2.01582921871E11"/>
        <n v="2.01591460534E11"/>
        <n v="2.0160128217E11"/>
        <n v="2.01612933786E11"/>
        <n v="1.9480688879E11"/>
        <n v="2.01617045161E11"/>
        <n v="2.00292234624E11"/>
        <n v="2.01620247296E11"/>
        <n v="1.88384039765E11"/>
        <n v="2.01619008778E11"/>
        <n v="2.01636778391E11"/>
        <n v="2.01635946016E11"/>
        <n v="2.01627806387E11"/>
        <n v="2.01618853792E11"/>
        <n v="2.01630550693E11"/>
        <n v="2.01636814408E11"/>
        <n v="2.01635762065E11"/>
        <n v="2.01623242537E11"/>
        <n v="2.0162961435E11"/>
        <n v="1.90092030902E11"/>
        <n v="2.0163193329E11"/>
        <n v="2.01639817992E11"/>
        <n v="2.01639383466E11"/>
        <n v="2.0164524213E11"/>
        <n v="7.9926197356E10"/>
        <n v="2.0164695584E11"/>
        <n v="2.01645781177E11"/>
        <n v="2.01645079632E11"/>
        <n v="2.01644204804E11"/>
        <n v="1.55675717036E11"/>
        <n v="2.01647707503E11"/>
        <n v="1.97451299725E11"/>
        <n v="2.01647930179E11"/>
        <n v="2.01645403668E11"/>
        <n v="2.01650366282E11"/>
        <n v="2.01647937366E11"/>
        <n v="2.01647360543E11"/>
        <n v="5.6773701904E10"/>
        <n v="2.01646020658E11"/>
        <n v="2.01647947088E11"/>
        <n v="2.01647088035E11"/>
        <n v="2.01650181453E11"/>
        <n v="2.01657853481E11"/>
        <n v="2.01651238734E11"/>
        <n v="2.01661567044E11"/>
        <n v="2.01668506412E11"/>
        <n v="2.01674677859E11"/>
        <n v="2.01671179896E11"/>
        <n v="1.89831540585E11"/>
        <n v="2.01749782329E11"/>
        <n v="1.94955328008E11"/>
        <n v="2.0172850973E11"/>
        <n v="2.01740479897E11"/>
        <n v="2.01776228717E11"/>
        <n v="2.0177538768E11"/>
        <n v="1.77496815203E11"/>
        <n v="2.01765776964E11"/>
        <n v="2.01778695571E11"/>
        <n v="2.01764607845E11"/>
        <n v="2.017631251E11"/>
        <n v="2.01764137827E11"/>
        <n v="2.01776784554E11"/>
        <n v="2.01769719598E11"/>
        <n v="2.0176881082E11"/>
        <n v="2.01769737561E11"/>
        <n v="2.01768082049E11"/>
        <n v="2.0176949818E11"/>
        <n v="2.01786417761E11"/>
        <n v="2.01787415404E11"/>
        <n v="2.01786204023E11"/>
        <n v="2.01787771913E11"/>
        <n v="2.01806706299E11"/>
        <n v="2.01811726624E11"/>
        <n v="2.01791091862E11"/>
        <n v="2.01794933021E11"/>
        <n v="2.0179882043E11"/>
        <n v="2.0180049437E11"/>
        <n v="1.73783637401E11"/>
        <n v="2.0180142756E11"/>
        <n v="2.01802476187E11"/>
        <n v="2.01824994735E11"/>
        <n v="2.01826782648E11"/>
        <n v="2.01824293179E11"/>
        <n v="2.01833023386E11"/>
        <n v="2.01874008228E11"/>
        <n v="1.99980259214E11"/>
        <n v="2.01856684471E11"/>
        <n v="1.8515125234E11"/>
        <n v="2.01857224015E11"/>
        <n v="2.01857227792E11"/>
        <n v="2.01884278162E11"/>
        <n v="2.01880978817E11"/>
        <n v="2.01886289265E11"/>
        <n v="2.01885553537E11"/>
        <n v="1.87483589513E11"/>
        <n v="2.01893350151E11"/>
        <n v="2.01893559467E11"/>
        <n v="1.27186052215E11"/>
        <n v="2.01884982957E11"/>
        <n v="2.01909989957E11"/>
        <n v="2.01890879663E11"/>
        <n v="2.0189618497E11"/>
        <n v="2.01896006159E11"/>
        <n v="2.01882618658E11"/>
        <n v="2.0189908407E11"/>
        <n v="2.01900415834E11"/>
        <n v="2.0190131486E11"/>
        <n v="2.01899169643E11"/>
        <n v="2.01913183915E11"/>
        <n v="2.01900052096E11"/>
        <n v="2.01914552113E11"/>
        <n v="2.01907129168E11"/>
        <n v="2.01904438856E11"/>
        <n v="2.01904469845E11"/>
        <n v="2.00171921304E11"/>
        <n v="2.01915003168E11"/>
        <n v="1.84645707838E11"/>
        <n v="2.01914422192E11"/>
        <n v="2.01920858919E11"/>
        <n v="2.01921338755E11"/>
        <n v="2.01924295815E11"/>
        <n v="2.01925597463E11"/>
        <n v="2.01920338289E11"/>
        <n v="2.01930314032E11"/>
        <n v="2.01923078656E11"/>
        <n v="2.01942650457E11"/>
        <n v="2.01928094069E11"/>
        <n v="2.01928575527E11"/>
        <n v="2.01932506144E11"/>
        <n v="1.92009066268E11"/>
        <n v="2.01943019589E11"/>
        <n v="2.0192736088E11"/>
        <n v="2.01946727E11"/>
        <n v="2.01948169881E11"/>
        <n v="2.01948307541E11"/>
        <n v="2.0194888917E11"/>
        <n v="1.728052352E11"/>
        <n v="1.64027430034E11"/>
        <n v="2.01947612561E11"/>
        <n v="2.01946613376E11"/>
        <n v="2.01938539101E11"/>
        <n v="2.01952486238E11"/>
        <n v="2.01952341592E11"/>
        <n v="2.01958702624E11"/>
        <n v="2.01957210636E11"/>
        <n v="2.01958989401E11"/>
        <n v="2.01975018417E11"/>
        <n v="1.72707222115E11"/>
        <n v="2.02011801871E11"/>
        <n v="2.020115662E11"/>
        <n v="2.02015052892E11"/>
        <n v="2.02017068932E11"/>
        <n v="2.02018501225E11"/>
        <n v="2.02036814952E11"/>
        <n v="2.02038308448E11"/>
        <n v="1.97522773534E11"/>
        <n v="2.02037825313E11"/>
        <n v="2.0202784212E11"/>
        <n v="1.58296963962E11"/>
        <n v="2.02041369505E11"/>
        <n v="2.02039332926E11"/>
        <n v="2.02043998339E11"/>
        <n v="2.02054651454E11"/>
        <n v="2.02072730008E11"/>
        <n v="2.02072449335E11"/>
        <n v="2.02073079107E11"/>
        <n v="2.01536484502E11"/>
        <n v="2.01875416993E11"/>
        <n v="2.0204788418E11"/>
        <n v="2.0209897662E11"/>
        <n v="2.02103932249E11"/>
        <n v="2.0213198146E11"/>
        <n v="1.93193248828E11"/>
        <n v="1.73976475163E11"/>
        <n v="1.85195423494E11"/>
        <n v="2.01865869194E11"/>
        <n v="1.6518448859E11"/>
        <n v="2.02167725863E11"/>
        <n v="2.02171212888E11"/>
        <n v="2.02172929367E11"/>
        <n v="2.02226382205E11"/>
        <n v="1.97810462087E11"/>
        <n v="2.02232255603E11"/>
        <n v="2.02228300953E11"/>
        <n v="2.02181307395E11"/>
        <n v="2.00210667577E11"/>
        <n v="1.71334455044E11"/>
        <n v="2.02198772838E11"/>
        <n v="2.01958947948E11"/>
        <n v="2.02201338789E11"/>
        <n v="2.02250472855E11"/>
        <n v="2.02205698069E11"/>
        <n v="2.02250907567E11"/>
        <n v="2.02251752476E11"/>
        <n v="1.89762638462E11"/>
        <n v="2.02214871383E11"/>
        <n v="2.00847066725E11"/>
        <n v="2.02258676854E11"/>
        <n v="1.98885610678E11"/>
        <n v="1.85009469722E11"/>
        <n v="2.02222835826E11"/>
        <n v="2.02223095216E11"/>
        <n v="2.02271272882E11"/>
        <n v="2.02270425225E11"/>
        <n v="2.02222490008E11"/>
        <n v="2.0222012425E11"/>
        <n v="2.0227216103E11"/>
        <n v="2.02266879253E11"/>
        <n v="2.0227563358E11"/>
        <n v="2.02277213207E11"/>
        <n v="2.02279422905E11"/>
        <n v="2.02277489063E11"/>
        <n v="2.02293186186E11"/>
        <n v="2.0229491134E11"/>
        <n v="2.02294420148E11"/>
        <n v="2.02294419293E11"/>
        <n v="1.8898565972E11"/>
        <n v="2.02281553328E11"/>
        <n v="2.02282220897E11"/>
        <n v="2.02281898828E11"/>
        <n v="2.0228143386E11"/>
        <n v="2.02298025615E11"/>
        <n v="2.02329609849E11"/>
        <n v="2.02337854242E11"/>
        <n v="2.0233810541E11"/>
        <n v="1.90042982497E11"/>
        <n v="2.02373679433E11"/>
        <n v="2.02383701923E11"/>
        <n v="2.02393067531E11"/>
        <n v="1.95653130112E11"/>
        <n v="2.02398766454E11"/>
        <n v="2.02402867552E11"/>
        <n v="2.02301556769E11"/>
        <n v="2.0230320735E11"/>
        <n v="2.0230730478E11"/>
        <n v="2.02412494634E11"/>
        <n v="2.0230694847E11"/>
        <n v="2.02404611246E11"/>
        <n v="1.79871025573E11"/>
        <n v="2.02415842428E11"/>
        <n v="2.02418436457E11"/>
        <n v="2.02311990828E11"/>
        <n v="2.02311334419E11"/>
        <n v="2.02313047425E11"/>
        <n v="2.02416389791E11"/>
        <n v="2.02313582854E11"/>
        <n v="2.02269907727E11"/>
        <n v="2.02424252434E11"/>
        <n v="2.02429983087E11"/>
        <n v="2.02434373034E11"/>
        <n v="2.02434701123E11"/>
        <n v="1.94408125845E11"/>
        <n v="2.02433365317E11"/>
        <n v="2.02443410307E11"/>
        <n v="2.02444353976E11"/>
        <n v="2.02445028188E11"/>
        <n v="2.02453712906E11"/>
        <n v="2.02445981336E11"/>
        <n v="2.02488762256E11"/>
        <n v="2.02488569096E11"/>
        <n v="2.02488776011E11"/>
        <n v="2.02489799204E11"/>
        <n v="2.02508278693E11"/>
        <n v="2.025080646E11"/>
        <n v="2.02471363697E11"/>
        <n v="2.02471153738E11"/>
        <n v="2.02531646131E11"/>
        <n v="2.0252347658E11"/>
        <n v="2.02532593699E11"/>
        <n v="1.63336904556E11"/>
        <n v="2.0253793163E11"/>
        <n v="2.0253797894E11"/>
        <n v="1.90144676358E11"/>
        <n v="2.02508528274E11"/>
        <n v="2.02548515712E11"/>
        <n v="2.02544975283E11"/>
        <n v="2.02543774125E11"/>
        <n v="2.02543851414E11"/>
        <n v="2.02556359714E11"/>
        <n v="2.0255467764E11"/>
        <n v="2.02570966784E11"/>
        <n v="2.02560869814E11"/>
        <n v="2.02517861669E11"/>
        <n v="2.02568390232E11"/>
        <n v="2.02569931166E11"/>
        <n v="2.02571343779E11"/>
        <n v="2.02583134804E11"/>
        <n v="2.02594345096E11"/>
        <n v="2.02597183785E11"/>
        <n v="2.02596587346E11"/>
        <n v="2.02605930156E11"/>
        <n v="2.02604925999E11"/>
        <n v="2.02607418952E11"/>
        <n v="2.02605820072E11"/>
        <n v="2.02613320323E11"/>
        <n v="2.02606639937E11"/>
        <n v="2.02613918114E11"/>
        <n v="1.4359235518E11"/>
        <n v="2.02614182221E11"/>
        <n v="2.02614399617E11"/>
        <n v="2.02609568923E11"/>
        <n v="2.02610815842E11"/>
        <n v="1.80561475843E11"/>
        <n v="2.02619483649E11"/>
        <n v="1.56391580478E11"/>
        <n v="1.87935753078E11"/>
        <n v="2.02618930451E11"/>
        <n v="2.02619762077E11"/>
        <n v="2.02612799801E11"/>
        <n v="2.02630495244E11"/>
        <n v="2.02622437243E11"/>
        <n v="2.02621534857E11"/>
        <n v="2.02628625976E11"/>
        <n v="1.71778077598E11"/>
        <n v="2.02634523921E11"/>
        <n v="2.02636650342E11"/>
        <n v="2.02634459529E11"/>
        <n v="2.02636355862E11"/>
        <n v="2.02636265632E11"/>
        <n v="2.0264291827E11"/>
        <n v="2.02638830397E11"/>
        <n v="2.02648690793E11"/>
        <n v="2.02644084349E11"/>
        <n v="2.02644251957E11"/>
        <n v="2.02644728362E11"/>
        <n v="2.0265096909E11"/>
        <n v="2.0265171382E11"/>
        <n v="2.02532368778E11"/>
        <n v="2.02656897326E11"/>
        <n v="2.02663032966E11"/>
        <n v="2.02656902323E11"/>
        <n v="2.02662440538E11"/>
        <n v="2.02666763336E11"/>
        <n v="2.02670946059E11"/>
        <n v="2.0263509057E11"/>
        <n v="2.02670020024E11"/>
        <n v="2.0267525394E11"/>
        <n v="1.7733407681E11"/>
        <n v="2.0267824068E11"/>
        <n v="2.02314591561E11"/>
        <n v="2.02689726086E11"/>
        <n v="2.0268532795E11"/>
        <n v="2.02422731676E11"/>
        <n v="2.02709083282E11"/>
        <n v="2.02712231049E11"/>
        <n v="2.02704689571E11"/>
        <n v="1.5496652609E11"/>
        <n v="2.0271060491E11"/>
        <n v="2.02714917381E11"/>
        <n v="2.02714812523E11"/>
        <n v="2.02718784784E11"/>
        <n v="2.02717509761E11"/>
        <n v="2.02716078619E11"/>
        <n v="2.02718128966E11"/>
        <n v="2.02724079405E11"/>
        <n v="2.02717601303E11"/>
        <n v="2.02722274889E11"/>
        <n v="1.80246601864E11"/>
        <n v="2.02720839227E11"/>
        <n v="2.02731649712E11"/>
        <n v="2.02731258205E11"/>
        <n v="2.02722170434E11"/>
        <n v="2.0272361682E11"/>
        <n v="2.02726569078E11"/>
        <n v="2.0272701392E11"/>
        <n v="2.02733586758E11"/>
        <n v="2.02734540375E11"/>
        <n v="2.02733936965E11"/>
        <n v="2.0020682411E11"/>
        <n v="2.02737580422E11"/>
        <n v="2.0273467787E11"/>
        <n v="2.02739063703E11"/>
        <n v="2.02766289051E11"/>
        <n v="2.02765150221E11"/>
        <n v="2.02777475177E11"/>
        <n v="2.02765196639E11"/>
        <n v="1.8529071437E11"/>
        <n v="2.02776221327E11"/>
        <n v="2.02781836311E11"/>
        <n v="1.95970394765E11"/>
        <n v="2.02756893522E11"/>
        <n v="2.02800729984E11"/>
        <n v="2.028248257E11"/>
        <n v="2.02763122054E11"/>
        <n v="2.00168537884E11"/>
        <n v="2.02857189898E11"/>
        <n v="2.02853975132E11"/>
        <n v="2.02879048874E11"/>
        <n v="2.02878233946E11"/>
        <n v="2.02879234203E11"/>
        <n v="2.02879254311E11"/>
        <n v="2.02892147619E11"/>
        <n v="1.47744711961E11"/>
        <n v="2.02886740621E11"/>
        <n v="2.02886264492E11"/>
        <n v="2.02886705269E11"/>
        <n v="2.02910959766E11"/>
        <n v="2.02912174902E11"/>
        <n v="2.02912137553E11"/>
        <n v="2.02924214305E11"/>
        <n v="1.43108077103E11"/>
        <n v="2.02938588082E11"/>
        <n v="2.02955806299E11"/>
        <n v="1.64600634535E11"/>
        <n v="2.02950819402E11"/>
        <n v="2.02977701909E11"/>
        <n v="1.84157567604E11"/>
        <n v="2.02976696629E11"/>
        <n v="2.02951637633E11"/>
        <n v="2.0297898253E11"/>
        <n v="2.02979124042E11"/>
        <n v="2.02954485845E11"/>
        <n v="2.03002304677E11"/>
        <n v="2.03003873696E11"/>
        <n v="2.03002279481E11"/>
        <n v="2.03006709307E11"/>
        <n v="2.0300751391E11"/>
        <n v="1.72366420842E11"/>
        <n v="1.80299100228E11"/>
        <n v="2.02990646191E11"/>
        <n v="2.03006818701E11"/>
        <n v="2.03010196291E11"/>
        <n v="2.03015930007E11"/>
        <n v="1.63610263315E11"/>
        <n v="2.03037040178E11"/>
        <n v="2.03030328736E11"/>
        <n v="2.03030561806E11"/>
        <n v="2.03091987849E11"/>
        <n v="1.73695639587E11"/>
        <n v="1.88940037487E11"/>
        <n v="2.03097029256E11"/>
        <n v="2.03136678814E11"/>
        <n v="2.03095788321E11"/>
        <n v="2.03105555607E11"/>
        <n v="2.03170677858E11"/>
        <n v="2.03172409893E11"/>
        <n v="2.03104404305E11"/>
        <n v="1.86094766243E11"/>
        <n v="2.03184577681E11"/>
        <n v="2.0318210724E11"/>
        <n v="2.03100727399E11"/>
        <n v="2.03197361958E11"/>
        <n v="2.03182723156E11"/>
        <n v="2.03103569693E11"/>
        <n v="2.0319877354E11"/>
        <n v="2.0311522872E11"/>
        <n v="2.03114744954E11"/>
        <n v="2.03115436375E11"/>
        <n v="2.03116983163E11"/>
        <n v="2.03200828289E11"/>
        <n v="2.03201157229E11"/>
        <n v="2.03120766503E11"/>
        <n v="2.03121996319E11"/>
        <n v="2.03121894754E11"/>
        <n v="2.03121563577E11"/>
        <n v="2.03124788028E11"/>
        <n v="2.03208386314E11"/>
        <n v="2.03210012447E11"/>
        <n v="2.03126731575E11"/>
        <n v="2.00408992864E11"/>
        <n v="2.03125624989E11"/>
        <n v="2.03206106216E11"/>
        <n v="2.03129237782E11"/>
        <n v="2.03130330489E11"/>
        <n v="2.03131268457E11"/>
        <n v="2.03130633868E11"/>
        <n v="2.00012866409E11"/>
        <n v="2.03225856084E11"/>
        <n v="2.03256839713E11"/>
        <n v="2.03246448237E11"/>
        <n v="2.03256732288E11"/>
        <n v="2.03270518419E11"/>
        <n v="2.03271418809E11"/>
        <n v="2.03248648711E11"/>
        <n v="2.03248805248E11"/>
        <n v="2.03271972356E11"/>
        <n v="2.03249739958E11"/>
        <n v="2.03250243185E11"/>
        <n v="2.03278303796E11"/>
        <n v="2.03291223405E11"/>
        <n v="2.03287826253E11"/>
        <n v="2.03305468216E11"/>
        <n v="2.03305261849E11"/>
        <n v="2.03297551906E11"/>
        <n v="2.03308239877E11"/>
        <n v="1.95872504333E11"/>
        <n v="1.61808598145E11"/>
        <n v="2.03306494102E11"/>
        <n v="2.03301776987E11"/>
        <n v="2.03312601651E11"/>
        <n v="2.03312093593E11"/>
        <n v="2.03314000157E11"/>
        <n v="2.03321430029E11"/>
        <n v="1.13991089169E11"/>
        <n v="2.03319271273E11"/>
        <n v="2.03322158007E11"/>
        <n v="2.03338426544E11"/>
        <n v="2.03338408544E11"/>
        <n v="2.0334716863E11"/>
        <n v="2.03347572876E11"/>
        <n v="2.02134584662E11"/>
        <n v="2.03346114366E11"/>
        <n v="2.033600592E11"/>
        <n v="2.03359822855E11"/>
        <n v="2.03363381038E11"/>
        <n v="1.54702531687E11"/>
        <n v="2.03377503773E11"/>
        <n v="2.03380864141E11"/>
        <n v="2.03383046805E11"/>
        <n v="2.03386552454E11"/>
        <n v="2.0340371392E11"/>
        <n v="2.03435109241E11"/>
        <n v="2.0322013579E11"/>
        <n v="2.03415673354E11"/>
        <n v="2.03415134551E11"/>
        <n v="1.88876013152E11"/>
        <n v="2.03440962355E11"/>
        <n v="2.03415875761E11"/>
        <n v="2.03439706201E11"/>
        <n v="1.72712487459E11"/>
        <n v="2.0344637855E11"/>
        <n v="2.03473620039E11"/>
        <n v="2.03473126047E11"/>
        <n v="2.03461374517E11"/>
        <n v="2.03488961298E11"/>
        <n v="2.03491113866E11"/>
        <n v="2.03492764538E11"/>
        <n v="2.03464452366E11"/>
        <n v="1.72759888263E11"/>
        <n v="2.0346383438E11"/>
        <n v="2.03466239588E11"/>
        <n v="2.03464871246E11"/>
        <n v="2.0036001934E11"/>
        <n v="2.03488235912E11"/>
        <n v="2.03487326804E11"/>
        <n v="2.03466738554E11"/>
        <n v="2.03494409626E11"/>
        <n v="2.03488915999E11"/>
        <n v="2.03495626161E11"/>
        <n v="1.64091627394E11"/>
        <n v="2.03494170448E11"/>
        <n v="2.0349599826E11"/>
        <n v="1.55062609312E11"/>
        <n v="2.03499539517E11"/>
        <n v="2.03470026286E11"/>
        <n v="2.03501966005E11"/>
        <n v="2.03528724364E11"/>
        <n v="2.03505162344E11"/>
        <n v="2.03532617296E11"/>
        <n v="2.03512132242E11"/>
        <n v="2.03512479576E11"/>
        <n v="2.03539611712E11"/>
        <n v="2.03538344071E11"/>
        <n v="2.03557664947E11"/>
        <n v="2.0356086464E11"/>
        <n v="2.03574931266E11"/>
        <n v="2.0356984255E11"/>
        <n v="2.03568035095E11"/>
        <n v="2.03572256383E11"/>
        <n v="2.03577930626E11"/>
        <n v="2.03577334191E11"/>
        <n v="1.4433648784E11"/>
        <n v="1.86695645576E11"/>
        <n v="2.03582180141E11"/>
        <n v="1.78518790924E11"/>
        <n v="2.03606896821E11"/>
        <n v="2.03619402668E11"/>
        <n v="2.03637599796E11"/>
        <n v="1.8576010351E11"/>
        <n v="2.03641370265E11"/>
        <n v="2.03635375682E11"/>
        <n v="7.0946082629E10"/>
        <n v="2.0366910087E11"/>
        <n v="2.03671638129E11"/>
        <n v="2.03670416506E11"/>
        <n v="2.03662105152E11"/>
        <n v="2.03673406297E11"/>
        <n v="2.03679812735E11"/>
        <n v="2.03678909798E11"/>
        <n v="2.02727406163E11"/>
        <n v="2.03698937245E11"/>
        <n v="2.03688106116E11"/>
        <n v="2.03696901812E11"/>
        <n v="2.0370115602E11"/>
        <n v="2.03693482576E11"/>
        <n v="2.03696295725E11"/>
        <n v="2.03706264154E11"/>
        <n v="1.72161401399E11"/>
        <n v="2.03709424017E11"/>
        <n v="2.03712946711E11"/>
        <n v="2.03723020614E11"/>
        <n v="2.03732139852E11"/>
        <n v="2.03725300015E11"/>
        <n v="2.03726500873E11"/>
        <n v="2.03726828455E11"/>
        <n v="2.03730256148E11"/>
        <n v="2.03738779746E11"/>
        <n v="2.03727714874E11"/>
        <n v="2.0373474996E11"/>
        <n v="2.03741842103E11"/>
        <n v="2.03740381765E11"/>
        <n v="2.03746232438E11"/>
        <n v="2.03745807252E11"/>
        <n v="2.03754892039E11"/>
        <n v="2.03754692276E11"/>
        <n v="2.0375225049E11"/>
        <n v="1.81119938643E11"/>
        <n v="2.03760475685E11"/>
        <n v="2.02025537634E11"/>
        <n v="2.03758424235E11"/>
        <n v="2.03759998722E11"/>
        <n v="2.03772659798E11"/>
        <n v="2.03768556977E11"/>
        <n v="2.03774375815E11"/>
        <n v="2.03787046926E11"/>
        <n v="2.0380361169E11"/>
        <n v="2.03800605017E11"/>
        <n v="2.0380551939E11"/>
        <n v="2.03804040608E11"/>
        <n v="2.03830853402E11"/>
        <n v="2.0344261568E11"/>
        <n v="2.03834135861E11"/>
        <n v="2.03838628183E11"/>
        <n v="2.03838434488E11"/>
        <n v="2.03839688559E11"/>
        <n v="2.03846113563E11"/>
        <n v="2.03843058712E11"/>
        <n v="2.0384294452E11"/>
        <n v="2.03849219925E11"/>
        <n v="2.03849149071E11"/>
        <n v="2.03851696451E11"/>
        <n v="2.03853601438E11"/>
        <n v="2.03857295137E11"/>
        <n v="2.03863122869E11"/>
        <n v="2.03858913122E11"/>
        <n v="2.0386476836E11"/>
        <n v="2.03865748224E11"/>
        <n v="2.03865928818E11"/>
        <n v="1.8480215747E11"/>
        <n v="2.03868634539E11"/>
        <n v="2.03868877126E11"/>
        <n v="2.03864705702E11"/>
        <n v="2.00065769063E11"/>
        <n v="2.03880154522E11"/>
        <n v="2.03880343927E11"/>
        <n v="2.0387301641E11"/>
        <n v="2.0387432872E11"/>
        <n v="2.03873474463E11"/>
        <n v="2.03874763622E11"/>
        <n v="2.03880808855E11"/>
        <n v="2.03868866404E11"/>
        <n v="2.03882836637E11"/>
        <n v="2.03884334671E11"/>
        <n v="2.03890290002E11"/>
        <n v="2.03890464357E11"/>
        <n v="2.03888036756E11"/>
        <n v="2.03885090707E11"/>
        <n v="2.03890752065E11"/>
        <n v="2.03887882612E11"/>
        <n v="2.03887461529E11"/>
        <n v="2.0388788433E11"/>
        <n v="2.03887942666E11"/>
        <n v="2.03894055198E11"/>
        <n v="2.03895056224E11"/>
        <n v="2.03892858036E11"/>
        <n v="2.03908941106E11"/>
        <n v="2.03899394353E11"/>
        <n v="1.55901182232E11"/>
        <n v="2.02413007394E11"/>
        <n v="2.03907615496E11"/>
        <n v="2.03908351324E11"/>
        <n v="2.03907271842E11"/>
        <n v="2.03916582746E11"/>
        <n v="2.03919898781E11"/>
        <n v="2.03918649974E11"/>
        <n v="2.03931245834E11"/>
        <n v="2.03920463932E11"/>
        <n v="2.03922623663E11"/>
        <n v="7.9334383761E10"/>
        <n v="2.03934928796E11"/>
        <n v="2.03936749439E11"/>
        <n v="2.0393545712E11"/>
        <n v="1.79214993182E11"/>
        <n v="2.0391064541E11"/>
        <n v="2.03941645854E11"/>
        <n v="2.03943806977E11"/>
        <n v="2.03943362353E11"/>
        <n v="2.03928092082E11"/>
        <n v="2.03939978526E11"/>
        <n v="2.03948997957E11"/>
        <n v="1.69217504299E11"/>
        <n v="2.03954148356E11"/>
        <n v="2.03968200586E11"/>
        <n v="1.50985454098E11"/>
        <n v="2.0395306383E11"/>
        <n v="2.03961082643E11"/>
        <n v="2.03953614369E11"/>
        <n v="2.03961038894E11"/>
        <n v="2.03964121902E11"/>
        <n v="2.03970424475E11"/>
        <n v="2.03961132197E11"/>
        <n v="2.03982900267E11"/>
        <n v="2.03984219704E11"/>
        <n v="2.0398732451E11"/>
        <n v="2.0398702755E11"/>
        <n v="2.03999918956E11"/>
        <n v="2.03999964084E11"/>
        <n v="2.03988385108E11"/>
        <n v="2.0398432496E11"/>
        <n v="2.03987141671E11"/>
        <n v="2.0400041684E11"/>
        <n v="2.03989821606E11"/>
        <n v="2.04003847055E11"/>
        <n v="2.03991269952E11"/>
        <n v="2.04005267978E11"/>
        <n v="1.8481221687E11"/>
        <n v="2.04005313461E11"/>
        <n v="2.0399420725E11"/>
        <n v="2.04009238325E11"/>
        <n v="2.0400677519E11"/>
        <n v="2.04008757574E11"/>
        <n v="2.03994688083E11"/>
        <n v="2.04010577505E11"/>
        <n v="2.04010957641E11"/>
        <n v="2.0401476816E11"/>
        <n v="2.04014784422E11"/>
        <n v="2.04010875577E11"/>
        <n v="1.94877011471E11"/>
        <n v="2.03996018335E11"/>
        <n v="2.04015015082E11"/>
        <n v="2.04011131983E11"/>
        <n v="2.0401111862E11"/>
        <n v="2.04035280198E11"/>
        <n v="2.04016428683E11"/>
        <n v="1.43732540231E11"/>
        <n v="2.04035440027E11"/>
        <n v="2.04035441846E11"/>
        <n v="2.04019724376E11"/>
        <n v="2.04022984704E11"/>
        <n v="2.04021679741E11"/>
        <n v="1.60514259056E11"/>
        <n v="2.00986966935E11"/>
        <n v="2.0100228241E11"/>
        <n v="2.00853490813E11"/>
        <n v="2.00921077881E11"/>
        <n v="2.00891151774E11"/>
        <n v="2.01092162357E11"/>
        <n v="1.94536555526E11"/>
        <n v="1.95825441693E11"/>
        <n v="2.00752227361E11"/>
        <n v="2.009904881E11"/>
        <n v="1.89194964561E11"/>
        <n v="2.00882390164E11"/>
        <n v="2.00923273805E11"/>
        <n v="2.00849291079E11"/>
        <n v="1.92116932721E11"/>
        <n v="2.00822667566E11"/>
        <n v="2.01054743589E11"/>
        <n v="2.00854532616E11"/>
        <n v="1.5510925327E11"/>
        <n v="1.99297513067E11"/>
        <n v="2.00915838371E11"/>
        <n v="2.00985265178E11"/>
        <n v="2.0092181334E11"/>
        <n v="2.00990845583E11"/>
        <n v="2.0101269207E11"/>
        <n v="2.00880435342E11"/>
        <n v="2.00825481246E11"/>
        <n v="2.00884855406E11"/>
        <n v="2.00863782416E11"/>
        <n v="2.00915904076E11"/>
        <n v="2.00851421018E11"/>
        <n v="2.00852027406E11"/>
        <n v="1.88400751135E11"/>
        <n v="1.41627364202E11"/>
        <n v="1.87835868709E11"/>
        <n v="2.00912470314E11"/>
        <n v="2.00949164704E11"/>
        <n v="2.01109733413E11"/>
        <n v="2.01014628664E11"/>
        <n v="2.01019541508E11"/>
        <n v="2.01157754728E11"/>
        <n v="2.01003264636E11"/>
        <n v="2.0101529357E11"/>
        <n v="2.01091473687E11"/>
        <n v="2.01027297062E11"/>
        <n v="2.00924296261E11"/>
        <n v="1.45116787827E11"/>
        <n v="6.649072146E10"/>
        <n v="2.04022234966E11"/>
        <n v="2.04025209744E11"/>
        <n v="2.0403442796E11"/>
        <n v="2.04035027204E11"/>
        <n v="2.0402613382E11"/>
        <n v="2.04027631676E11"/>
        <n v="2.04044253751E11"/>
        <n v="2.04049143944E11"/>
        <n v="2.04052263997E11"/>
        <n v="2.04067788889E11"/>
        <n v="2.03785014348E11"/>
        <n v="2.04072564519E11"/>
        <n v="1.63228917022E11"/>
        <n v="2.04060131643E11"/>
        <n v="2.04085487682E11"/>
        <n v="2.04074439825E11"/>
        <n v="2.04087012657E11"/>
        <n v="2.04085778348E11"/>
        <n v="2.03980027279E11"/>
        <n v="2.04085455994E11"/>
        <n v="2.04089947396E11"/>
        <n v="2.04088279421E11"/>
        <n v="2.04090243652E11"/>
        <n v="2.04090063019E11"/>
        <n v="2.0409283854E11"/>
        <n v="2.04093424953E11"/>
        <n v="2.04093019032E11"/>
        <n v="2.04097637735E11"/>
        <n v="2.04100326734E11"/>
        <n v="2.04100335907E11"/>
        <n v="2.04100945811E11"/>
        <n v="2.04101727519E11"/>
        <n v="2.04101871253E11"/>
        <n v="2.04102196349E11"/>
        <n v="2.0410464619E11"/>
        <n v="2.04108506796E11"/>
        <n v="2.04107630379E11"/>
        <n v="2.04108409259E11"/>
        <n v="2.04106477454E11"/>
        <n v="2.0411403481E11"/>
        <n v="2.04097604915E11"/>
        <n v="2.04110109334E11"/>
        <n v="2.04115935581E11"/>
        <n v="2.04170284162E11"/>
        <n v="2.04171561263E11"/>
        <n v="2.04198857278E11"/>
        <n v="2.04171602315E11"/>
        <n v="2.02975455013E11"/>
        <n v="2.04197567397E11"/>
        <n v="2.04204019743E11"/>
        <n v="2.04184754964E11"/>
        <n v="2.01091509274E11"/>
        <n v="2.00896627094E11"/>
        <n v="2.00868339578E11"/>
        <n v="1.99087257139E11"/>
        <n v="2.00874209921E11"/>
        <n v="2.00691016605E11"/>
        <n v="2.03882609166E11"/>
        <n v="2.04211121804E11"/>
        <n v="2.04206315625E11"/>
        <n v="2.04192235362E11"/>
        <n v="2.04192780581E11"/>
        <n v="2.02422745625E11"/>
        <n v="2.04189231148E11"/>
        <n v="2.04193707011E11"/>
        <n v="2.04207839773E11"/>
        <n v="2.04195938958E11"/>
        <n v="2.0424129744E11"/>
        <n v="2.04221130878E11"/>
        <n v="2.04248153714E11"/>
        <n v="2.04248658762E11"/>
        <n v="2.04228778502E11"/>
        <n v="2.0423005521E11"/>
        <n v="2.04289138861E11"/>
        <n v="5.6770819663E10"/>
        <n v="2.04267961369E11"/>
        <n v="2.04108387108E11"/>
        <n v="2.04267955752E11"/>
        <n v="2.04268844961E11"/>
        <n v="2.04270391603E11"/>
        <n v="2.04270834187E11"/>
        <n v="2.04269480004E11"/>
        <n v="2.04288830587E11"/>
        <n v="2.04295691298E11"/>
        <n v="2.0427664806E11"/>
        <n v="2.04278272406E11"/>
        <n v="2.0429261839E11"/>
        <n v="2.04276436019E11"/>
        <n v="2.0429618567E11"/>
        <n v="2.04296828453E11"/>
        <n v="2.04302368611E11"/>
        <n v="2.04301973301E11"/>
        <n v="2.04304142162E11"/>
        <n v="2.04298126772E11"/>
        <n v="2.04327890752E11"/>
        <n v="2.04307530672E11"/>
        <n v="2.04331805212E11"/>
        <n v="2.04306499482E11"/>
        <n v="2.04304987138E11"/>
        <n v="1.41366821904E11"/>
        <n v="2.04305068839E11"/>
        <n v="2.04331092626E11"/>
        <n v="2.04331456133E11"/>
        <n v="2.04310294294E11"/>
        <n v="2.04111861262E11"/>
        <n v="2.04331390563E11"/>
        <n v="2.00886899228E11"/>
        <n v="1.90123599535E11"/>
        <n v="2.04311312234E11"/>
        <n v="2.04315250574E11"/>
        <n v="2.04329629732E11"/>
        <n v="2.04328134295E11"/>
        <n v="2.04339625732E11"/>
        <n v="2.04339477385E11"/>
        <n v="2.04315056268E11"/>
        <n v="2.04338537566E11"/>
        <n v="2.04320392791E11"/>
        <n v="1.94192543844E11"/>
        <n v="2.04345463354E11"/>
        <n v="1.89342749507E11"/>
        <n v="2.04325919614E11"/>
        <n v="2.04365737017E11"/>
        <n v="2.04366220147E11"/>
        <n v="2.04366631489E11"/>
        <n v="2.04368518548E11"/>
        <n v="2.04365439253E11"/>
        <n v="2.04353708085E11"/>
        <n v="2.04365569178E11"/>
        <n v="2.04369062673E11"/>
        <n v="2.043700135E11"/>
        <n v="2.04358065584E11"/>
        <n v="2.0158018793E11"/>
        <n v="2.04371417487E11"/>
        <n v="2.04357994882E11"/>
        <n v="2.04359485767E11"/>
        <n v="2.04372915301E11"/>
        <n v="1.80472893022E11"/>
        <n v="2.04374783789E11"/>
        <n v="2.04361816871E11"/>
        <n v="2.04372104031E11"/>
        <n v="2.04362567026E11"/>
        <n v="2.04375033248E11"/>
        <n v="2.04376386075E11"/>
        <n v="2.04376654137E11"/>
        <n v="2.04380443497E11"/>
        <n v="2.04380226629E11"/>
        <n v="2.04377999761E11"/>
        <n v="2.04378558051E11"/>
        <n v="2.04380868675E11"/>
        <n v="2.04379537923E11"/>
        <n v="2.04380917356E11"/>
        <n v="2.04383431274E11"/>
        <n v="2.0438405542E11"/>
        <n v="2.04389301381E11"/>
        <n v="2.0440500101E11"/>
        <n v="2.043978745E11"/>
        <n v="2.04405695574E11"/>
        <n v="2.04406419218E11"/>
        <n v="1.51484548931E11"/>
        <n v="2.04219658644E11"/>
        <n v="2.04423241067E11"/>
        <n v="2.04418425755E11"/>
        <n v="2.04426215532E11"/>
        <n v="2.04280050765E11"/>
        <n v="2.04442406201E11"/>
        <n v="2.04430261308E11"/>
        <n v="2.04433894558E11"/>
        <n v="2.04436558448E11"/>
        <n v="2.0443640736E11"/>
        <n v="2.0443604234E11"/>
        <n v="2.04446257934E11"/>
        <n v="2.0444677108E11"/>
        <n v="2.04440149113E11"/>
        <n v="2.04453135256E11"/>
        <n v="2.04455321942E11"/>
        <n v="2.04460800137E11"/>
        <n v="2.04466891841E11"/>
        <n v="2.04469722907E11"/>
        <n v="1.41909014443E11"/>
        <n v="2.04458633769E11"/>
        <n v="2.04468831551E11"/>
        <n v="1.50567667604E11"/>
        <n v="2.04484869263E11"/>
        <n v="2.04474557066E11"/>
        <n v="2.04471648182E11"/>
        <n v="2.04485558665E11"/>
        <n v="2.0448702293E11"/>
        <n v="2.04474859685E11"/>
        <n v="2.04477118334E11"/>
        <n v="2.04488506127E11"/>
        <n v="2.0447791386E11"/>
        <n v="2.04508714292E11"/>
        <n v="2.04496307097E11"/>
        <n v="2.04500074798E11"/>
        <n v="2.04500820336E11"/>
        <n v="2.04514020102E11"/>
        <n v="2.04509952152E11"/>
        <n v="2.0450278773E11"/>
        <n v="2.04516555182E11"/>
        <n v="2.04516182319E11"/>
        <n v="2.03246325885E11"/>
        <n v="2.04524949931E11"/>
        <n v="2.04512288524E11"/>
        <n v="2.04516521657E11"/>
        <n v="2.04513207943E11"/>
        <n v="2.04526482846E11"/>
        <n v="1.71458953489E11"/>
        <n v="2.04516646793E11"/>
        <n v="2.04526523318E11"/>
        <n v="2.04518300172E11"/>
        <n v="2.04527246164E11"/>
        <n v="2.04528589608E11"/>
        <n v="2.04527969949E11"/>
        <n v="2.04528648239E11"/>
        <n v="2.04521789351E11"/>
        <n v="2.04520719233E11"/>
        <n v="2.04529531652E11"/>
        <n v="2.04529935125E11"/>
        <n v="1.77911968624E11"/>
        <n v="2.04531189429E11"/>
        <n v="2.0453120272E11"/>
        <n v="2.04523028386E11"/>
        <n v="2.04510990502E11"/>
        <n v="1.70664981089E11"/>
        <n v="1.39766599744E11"/>
        <n v="2.04533920383E11"/>
        <n v="2.04462248967E11"/>
        <n v="2.04537278003E11"/>
        <n v="2.04528524424E11"/>
        <n v="2.04544619553E11"/>
        <n v="2.04537415951E11"/>
        <n v="2.04539183757E11"/>
        <n v="1.43524231607E11"/>
        <n v="2.04540294796E11"/>
        <n v="2.04548912212E11"/>
        <n v="2.0454511263E11"/>
        <n v="2.04542759471E11"/>
        <n v="2.04548704942E11"/>
        <n v="2.04549919013E11"/>
        <n v="2.04551706758E11"/>
        <n v="2.04549941107E11"/>
        <n v="2.04553865365E11"/>
        <n v="2.04554191014E11"/>
        <n v="2.04555735612E11"/>
        <n v="2.04562814785E11"/>
        <n v="2.04223684531E11"/>
        <n v="2.04565802404E11"/>
        <n v="2.04566834025E11"/>
        <n v="2.02429178288E11"/>
        <n v="2.0456431058E11"/>
        <n v="2.04561074773E11"/>
        <n v="1.1614111629E11"/>
        <n v="2.04570596256E11"/>
        <n v="2.04572118032E11"/>
        <n v="2.04573200553E11"/>
        <n v="2.04573371956E11"/>
        <n v="2.04580163384E11"/>
        <n v="2.04582981942E11"/>
        <n v="2.04581705071E11"/>
        <n v="2.04576056651E11"/>
        <n v="2.04537241455E11"/>
        <n v="2.04578025137E11"/>
        <n v="1.96233198502E11"/>
        <n v="2.04583834207E11"/>
        <n v="2.04599071316E11"/>
        <n v="2.04587137109E11"/>
        <n v="2.04585922107E11"/>
        <n v="2.04600018695E11"/>
        <n v="2.0459120654E11"/>
        <n v="2.04592589861E11"/>
        <n v="2.04603932035E11"/>
        <n v="2.04594180663E11"/>
        <n v="2.04605191456E11"/>
        <n v="2.04593393806E11"/>
        <n v="2.04595584798E11"/>
        <n v="2.0460321774E11"/>
        <n v="2.04609572134E11"/>
        <n v="2.04598754967E11"/>
        <n v="2.04598369371E11"/>
        <n v="2.04598055704E11"/>
        <n v="2.04609827849E11"/>
        <n v="2.04610289999E11"/>
        <n v="2.04622761784E11"/>
        <n v="2.04620745055E11"/>
        <n v="1.44622547514E11"/>
        <n v="2.03475417492E11"/>
        <n v="2.04615365779E11"/>
        <n v="2.04616073101E11"/>
        <n v="2.046238073E11"/>
        <n v="2.04010816156E11"/>
        <n v="2.04617180161E11"/>
        <n v="2.04616659982E11"/>
        <n v="2.04626175533E11"/>
        <n v="2.04628655668E11"/>
        <n v="2.046317159E11"/>
        <n v="2.04628783233E11"/>
        <n v="1.92392012462E11"/>
        <n v="1.44707139166E11"/>
        <n v="2.04634079408E11"/>
        <n v="2.04644548937E11"/>
        <n v="2.04634850313E11"/>
        <n v="2.04633867902E11"/>
        <n v="2.04634513439E11"/>
        <n v="2.04635678984E11"/>
        <n v="2.04554746526E11"/>
        <n v="2.04648972857E11"/>
        <n v="2.0248942396E11"/>
        <n v="1.80647507546E11"/>
        <n v="1.61588411552E11"/>
        <n v="2.0465049498E11"/>
        <n v="2.04653910103E11"/>
        <n v="2.04652132519E11"/>
        <n v="2.04655480374E11"/>
        <n v="2.04656744339E11"/>
        <n v="2.04671008555E11"/>
        <n v="2.04666989143E11"/>
        <n v="2.04683665823E11"/>
        <n v="2.04684451434E11"/>
        <n v="2.04667667053E11"/>
        <n v="2.04721606422E11"/>
        <n v="2.04731208002E11"/>
        <n v="2.04729260189E11"/>
        <n v="2.04738227619E11"/>
        <n v="2.0473922588E11"/>
        <n v="2.04738943363E11"/>
        <n v="2.04734672731E11"/>
        <n v="2.04741464976E11"/>
        <n v="2.04742349907E11"/>
        <n v="2.04744102264E11"/>
        <n v="2.04753791659E11"/>
        <n v="2.04751157546E11"/>
        <n v="2.0475237363E11"/>
        <n v="2.04761225364E11"/>
        <n v="2.04754524073E11"/>
        <n v="2.04773333011E11"/>
        <n v="2.04761472549E11"/>
        <n v="1.43600771642E11"/>
        <n v="2.0477351563E11"/>
        <n v="2.04773636371E11"/>
        <n v="2.04770396294E11"/>
        <n v="2.04778416043E11"/>
        <n v="1.43886405424E11"/>
        <n v="1.41990863197E11"/>
        <n v="2.04772285834E11"/>
        <n v="2.04782021786E11"/>
        <n v="2.04773101345E11"/>
        <n v="7.2912158756E10"/>
        <n v="2.0478596747E11"/>
        <n v="2.04787908878E11"/>
        <n v="2.04734206211E11"/>
        <n v="2.04790674532E11"/>
        <n v="2.04805965627E11"/>
        <n v="2.04839246881E11"/>
        <n v="1.89166484054E11"/>
        <n v="2.04822381912E11"/>
        <n v="2.04822938796E11"/>
        <n v="2.04819362428E11"/>
        <n v="2.04838441393E11"/>
        <n v="2.04837322061E11"/>
        <n v="2.04826182259E11"/>
        <n v="2.04843378577E11"/>
        <n v="2.04860806473E11"/>
        <n v="2.04845807788E11"/>
        <n v="2.04873990951E11"/>
        <n v="2.04741868135E11"/>
        <n v="2.04879617444E11"/>
        <n v="2.04874016065E11"/>
        <n v="2.0488124652E11"/>
        <n v="1.97056208303E11"/>
        <n v="2.04906252296E11"/>
        <n v="2.04901192535E11"/>
        <n v="2.0488801058E11"/>
        <n v="2.04902311062E11"/>
        <n v="2.04908062813E11"/>
        <n v="2.04907764835E11"/>
        <n v="1.40354555225E11"/>
        <n v="2.0490506736E11"/>
        <n v="2.04914544135E11"/>
        <n v="2.04913010227E11"/>
        <n v="2.04917950516E11"/>
        <n v="2.04920435322E11"/>
        <n v="2.04913208396E11"/>
        <n v="2.04921872785E11"/>
        <n v="2.04914291246E11"/>
        <n v="2.04944113709E11"/>
        <n v="2.04924653401E11"/>
        <n v="2.04944734994E11"/>
        <n v="2.04925844816E11"/>
        <n v="2.04945476208E11"/>
        <n v="2.04926850572E11"/>
        <n v="2.04946729814E11"/>
        <n v="2.04943079044E11"/>
        <n v="2.04949003943E11"/>
        <n v="2.04949044574E11"/>
        <n v="2.04929904655E11"/>
        <n v="2.04932639923E11"/>
        <n v="2.04934246066E11"/>
        <n v="2.04950247276E11"/>
        <n v="2.04962061575E11"/>
        <n v="2.04996377886E11"/>
        <n v="2.0500088962E11"/>
        <n v="2.05008989539E11"/>
        <n v="2.02174298688E11"/>
        <n v="2.05007141896E11"/>
        <n v="1.71211893097E11"/>
        <n v="2.05034096036E11"/>
        <n v="2.05034664449E11"/>
        <n v="2.05024952883E11"/>
        <n v="2.05022397855E11"/>
        <n v="2.05055064985E11"/>
        <n v="2.05044994678E11"/>
        <n v="2.05064190023E11"/>
        <n v="2.05071722261E11"/>
        <n v="2.05053661253E11"/>
        <n v="2.05073148262E11"/>
        <n v="2.05076204192E11"/>
        <n v="2.05082173563E11"/>
        <n v="2.05084906534E11"/>
        <n v="2.05089601408E11"/>
        <n v="2.050885382E11"/>
        <n v="2.02975662927E11"/>
        <n v="2.05110319385E11"/>
        <n v="2.05092220566E11"/>
        <n v="2.0509285183E11"/>
        <n v="2.05112906818E11"/>
        <n v="2.0511407412E11"/>
        <n v="2.0511909741E11"/>
        <n v="2.05121627758E11"/>
        <n v="2.05145172293E11"/>
        <n v="2.05124416679E11"/>
        <n v="2.04934486372E11"/>
        <n v="2.05130089143E11"/>
        <n v="2.05145970476E11"/>
        <n v="1.55114065306E11"/>
        <n v="2.05134936709E11"/>
        <n v="2.05134471291E11"/>
        <n v="2.05156774456E11"/>
        <n v="2.05135428271E11"/>
        <n v="2.05157260544E11"/>
        <n v="2.05161905841E11"/>
        <n v="2.05162839606E11"/>
        <n v="2.05165162316E11"/>
        <n v="1.18922188324E11"/>
        <n v="1.44009331038E11"/>
        <n v="2.05170500744E11"/>
        <n v="2.05173702762E11"/>
        <n v="2.05190188674E11"/>
        <n v="2.0517483015E11"/>
        <n v="2.05192938837E11"/>
        <n v="2.05193731764E11"/>
        <n v="2.0517803589E11"/>
        <n v="2.05189940873E11"/>
        <n v="2.05197553267E11"/>
        <n v="2.05199645592E11"/>
        <n v="2.05176622189E11"/>
        <n v="2.05192265386E11"/>
        <n v="2.05200182586E11"/>
        <n v="1.85545331329E11"/>
        <n v="2.0520716012E11"/>
        <n v="2.0520925044E11"/>
        <n v="2.05223118102E11"/>
        <n v="2.05220037993E11"/>
        <n v="2.05208915835E11"/>
        <n v="2.05222216025E11"/>
        <n v="2.05222023805E11"/>
        <n v="2.05224111667E11"/>
        <n v="2.05221088352E11"/>
        <n v="2.05222896232E11"/>
        <n v="2.0521189592E11"/>
        <n v="2.05224756591E11"/>
        <n v="2.0522438124E11"/>
        <n v="2.05214469158E11"/>
        <n v="2.05213488223E11"/>
        <n v="2.05213673011E11"/>
        <n v="2.05220506495E11"/>
        <n v="1.87315012198E11"/>
        <n v="1.42033954089E11"/>
        <n v="2.05233060182E11"/>
        <n v="2.05234443557E11"/>
        <n v="2.0523757803E11"/>
        <n v="2.0524525116E11"/>
        <n v="2.05244560167E11"/>
        <n v="2.05256739971E11"/>
        <n v="2.05278569623E11"/>
        <n v="2.05283215979E11"/>
        <n v="2.0528276532E11"/>
        <n v="2.05284082328E11"/>
        <n v="2.05282771013E11"/>
        <n v="2.05285347628E11"/>
        <n v="2.0528636126E11"/>
        <n v="2.05288410014E11"/>
        <n v="2.05297408695E11"/>
        <n v="2.05197710227E11"/>
        <n v="2.05296698402E11"/>
        <n v="2.052996305E11"/>
        <n v="2.05299635998E11"/>
        <n v="1.71451914554E11"/>
        <n v="2.05300905318E11"/>
        <n v="2.0514766911E11"/>
        <n v="2.0531015795E11"/>
        <n v="2.05316709676E11"/>
        <n v="2.05314568559E11"/>
        <n v="2.04161452297E11"/>
        <n v="1.98955076176E11"/>
        <n v="1.86540454178E11"/>
        <n v="2.05345399142E11"/>
        <n v="2.05385110074E11"/>
        <n v="2.05371905457E11"/>
        <n v="2.05385140767E11"/>
        <n v="2.05386928973E11"/>
        <n v="2.05371997829E11"/>
        <n v="2.05391064892E11"/>
        <n v="2.05364063585E11"/>
        <n v="2.05395451911E11"/>
        <n v="2.05416091807E11"/>
        <n v="2.05400423168E11"/>
        <n v="2.05397758107E11"/>
        <n v="2.05403755391E11"/>
        <n v="2.05405640249E11"/>
        <n v="2.05407312506E11"/>
        <n v="2.05457116944E11"/>
        <n v="2.05455080564E11"/>
        <n v="1.68236081182E11"/>
        <n v="2.05437886E11"/>
        <n v="2.05456564909E11"/>
        <n v="2.05458375468E11"/>
        <n v="2.05462124194E11"/>
        <n v="2.05439142672E11"/>
        <n v="2.0546528621E11"/>
        <n v="2.05440226226E11"/>
        <n v="2.0546614484E11"/>
        <n v="2.0544114772E11"/>
        <n v="2.05470693755E11"/>
        <n v="1.51218392677E11"/>
        <n v="1.71631966802E11"/>
        <n v="2.0546376875E11"/>
        <n v="2.05469134633E11"/>
        <n v="2.05448309574E11"/>
        <n v="2.05467223149E11"/>
        <n v="2.05476048825E11"/>
        <n v="2.05477175212E11"/>
        <n v="1.90002662317E11"/>
        <n v="1.61399703704E11"/>
        <n v="2.05450746929E11"/>
        <n v="1.7107713247E11"/>
        <n v="2.05448234349E11"/>
        <n v="2.05451714898E11"/>
        <n v="2.05451799338E11"/>
        <n v="2.05498893444E11"/>
        <n v="2.05453312641E11"/>
        <n v="1.46009680145E11"/>
        <n v="2.05498978901E11"/>
        <n v="2.05480569717E11"/>
        <n v="2.05485782066E11"/>
        <n v="2.05486824206E11"/>
        <n v="2.05474470028E11"/>
        <n v="2.05487075691E11"/>
        <n v="2.05507563524E11"/>
        <n v="2.05490834343E11"/>
        <n v="2.05491626008E11"/>
        <n v="2.05513390112E11"/>
        <n v="2.05511633921E11"/>
        <n v="2.04998262534E11"/>
        <n v="2.05523108481E11"/>
        <n v="2.05517368585E11"/>
        <n v="1.63723681387E11"/>
        <n v="2.0552439685E11"/>
        <n v="2.0550018987E11"/>
        <n v="2.05549952878E11"/>
        <n v="2.0555187077E11"/>
        <n v="2.05552902289E11"/>
        <n v="2.05554777722E11"/>
        <n v="1.86641244852E11"/>
        <n v="2.05557251973E11"/>
        <n v="2.05563880836E11"/>
        <n v="2.05558645819E11"/>
        <n v="2.05566706195E11"/>
        <n v="1.48485694743E11"/>
        <n v="1.43643655811E11"/>
        <n v="2.05570636103E11"/>
        <n v="2.05572680771E11"/>
        <n v="2.05580822616E11"/>
        <n v="2.05585208588E11"/>
        <n v="2.05584433476E11"/>
        <n v="1.64394478218E11"/>
        <n v="1.6362752069E11"/>
        <n v="2.05599951468E11"/>
        <n v="2.05594798209E11"/>
        <n v="2.056095945E11"/>
        <n v="2.05602438585E11"/>
        <n v="2.05643786651E11"/>
        <n v="2.05653885506E11"/>
        <n v="2.05644704892E11"/>
        <n v="2.05667276143E11"/>
        <n v="2.05657120145E11"/>
        <n v="2.05657358898E11"/>
        <n v="2.05660645211E11"/>
        <n v="1.7902395275E11"/>
        <n v="2.05672025527E11"/>
        <n v="2.04805080858E11"/>
        <n v="2.05670521732E11"/>
        <n v="2.0566418211E11"/>
        <n v="1.89626943147E11"/>
        <n v="2.05678136369E11"/>
        <n v="2.05677659577E11"/>
        <n v="2.05679341185E11"/>
        <n v="2.05679224084E11"/>
        <n v="2.05690129467E11"/>
        <n v="2.05689468967E11"/>
        <n v="2.05720810815E11"/>
        <n v="2.05720645942E11"/>
        <n v="2.0403773864E11"/>
        <n v="2.05282987671E11"/>
        <n v="1.90091739059E11"/>
        <n v="2.05735250199E11"/>
        <n v="2.05746804066E11"/>
        <n v="2.05737839432E11"/>
        <n v="2.0573678805E11"/>
        <n v="2.05745026584E11"/>
        <n v="2.05745035126E11"/>
        <n v="2.05738843802E11"/>
        <n v="2.05739537008E11"/>
        <n v="2.05755188803E11"/>
        <n v="1.87921237911E11"/>
        <n v="2.05757139815E11"/>
        <n v="2.05757169013E11"/>
        <n v="2.05757289259E11"/>
        <n v="2.05753309354E11"/>
        <n v="2.05766082379E11"/>
        <n v="2.05767917948E11"/>
        <n v="1.56203032633E11"/>
        <n v="2.05760240279E11"/>
        <n v="2.05763274813E11"/>
        <n v="2.05772583476E11"/>
        <n v="2.05775453996E11"/>
        <n v="2.05790033433E11"/>
        <n v="2.0579702786E11"/>
        <n v="1.48718006097E11"/>
        <n v="2.05821526549E11"/>
        <n v="2.05825289299E11"/>
        <n v="2.05822614033E11"/>
        <n v="2.05826864019E11"/>
        <n v="1.80488293297E11"/>
        <n v="2.05834357591E11"/>
        <n v="2.05834719404E11"/>
        <n v="2.05829865266E11"/>
        <n v="2.05829739363E11"/>
        <n v="2.0583024184E11"/>
        <n v="2.05831952229E11"/>
        <n v="2.05837717853E11"/>
        <n v="2.05836939582E11"/>
        <n v="2.05834394231E11"/>
        <n v="2.05845774903E11"/>
        <n v="2.05832810353E11"/>
        <n v="2.05831100951E11"/>
        <n v="2.05835223075E11"/>
        <n v="2.05841577558E11"/>
        <n v="2.058430358E11"/>
        <n v="2.05850139514E11"/>
        <n v="2.05861305151E11"/>
        <n v="2.05843372347E11"/>
        <n v="2.05863432254E11"/>
        <n v="2.05855771211E11"/>
        <n v="2.05864187716E11"/>
        <n v="2.0585927261E11"/>
        <n v="2.05860040745E11"/>
        <n v="2.05859318345E11"/>
        <n v="2.05836511645E11"/>
        <n v="1.87123943013E11"/>
        <n v="1.59585789509E11"/>
        <n v="2.05872887207E11"/>
        <n v="2.05873113158E11"/>
        <n v="2.05829619587E11"/>
        <n v="2.05888775304E11"/>
        <n v="2.05878885219E11"/>
        <n v="2.05897092956E11"/>
        <n v="2.05899298194E11"/>
        <n v="2.05897730626E11"/>
        <n v="2.05899135043E11"/>
        <n v="2.05899152678E11"/>
        <n v="2.05448865451E11"/>
        <n v="2.05928922991E11"/>
        <n v="2.05917732886E11"/>
        <n v="2.05934801016E11"/>
        <n v="2.05925524908E11"/>
        <n v="2.05941610292E11"/>
        <n v="2.05934871096E11"/>
        <n v="2.05941994646E11"/>
        <n v="2.05955754796E11"/>
        <n v="2.05942620786E11"/>
        <n v="2.05943966563E11"/>
        <n v="2.05941952534E11"/>
        <n v="2.05948383393E11"/>
        <n v="2.05951020944E11"/>
        <n v="2.05957304846E11"/>
        <n v="2.05962120272E11"/>
        <n v="2.05950746631E11"/>
        <n v="2.05966016287E11"/>
        <n v="2.05962130538E11"/>
        <n v="2.05954498385E11"/>
        <n v="2.05909208674E11"/>
        <n v="2.05954444331E11"/>
        <n v="2.05972211603E11"/>
        <n v="2.05954995249E11"/>
        <n v="2.05973168397E11"/>
        <n v="2.05975460156E11"/>
        <n v="2.05976489369E11"/>
        <n v="2.00945194365E11"/>
        <n v="2.05978365832E11"/>
        <n v="2.05978374784E11"/>
        <n v="2.05994063024E11"/>
        <n v="2.04513608119E11"/>
        <n v="1.75026395265E11"/>
        <n v="2.06009942806E11"/>
        <n v="2.06021706572E11"/>
        <n v="2.06010084436E11"/>
        <n v="2.06010906212E11"/>
        <n v="2.06021746795E11"/>
        <n v="2.06023486291E11"/>
        <n v="2.0601244677E11"/>
        <n v="2.06022494644E11"/>
        <n v="2.06012653693E11"/>
        <n v="2.06025228671E11"/>
        <n v="2.0602127239E11"/>
        <n v="2.06035709557E11"/>
        <n v="2.06025780874E11"/>
        <n v="1.45390225828E11"/>
        <n v="2.06030409833E11"/>
        <n v="2.06025289736E11"/>
        <n v="1.74902918411E11"/>
        <n v="2.06030497802E11"/>
        <n v="2.06031912613E11"/>
        <n v="2.06038607141E11"/>
        <n v="2.06030887221E11"/>
        <n v="1.71246041385E11"/>
        <n v="2.06038468364E11"/>
        <n v="2.06039058095E11"/>
        <n v="2.06039148434E11"/>
        <n v="2.06039543608E11"/>
        <n v="1.74308835105E11"/>
        <n v="2.06046103885E11"/>
        <n v="2.0604457746E11"/>
        <n v="2.06055223887E11"/>
        <n v="2.06055149999E11"/>
        <n v="2.06047957623E11"/>
        <n v="2.06056469906E11"/>
        <n v="2.06055919901E11"/>
        <n v="1.70823963216E11"/>
        <n v="2.06059987232E11"/>
        <n v="2.06063801522E11"/>
        <n v="2.06062183702E11"/>
        <n v="2.06064682571E11"/>
        <n v="2.04622430794E11"/>
        <n v="2.06067710537E11"/>
        <n v="2.06065996115E11"/>
        <n v="2.06068201002E11"/>
        <n v="2.06069197442E11"/>
        <n v="2.06068934458E11"/>
        <n v="2.0607161633E11"/>
        <n v="2.06094805887E11"/>
        <n v="2.06084540562E11"/>
        <n v="2.06092916304E11"/>
        <n v="2.06097148214E11"/>
        <n v="2.06088668803E11"/>
        <n v="2.06099854484E11"/>
        <n v="2.06113166151E11"/>
        <n v="1.00751295368E11"/>
        <n v="2.06106925847E11"/>
        <n v="2.06107078961E11"/>
        <n v="2.06107662884E11"/>
        <n v="2.06118335815E11"/>
        <n v="1.54725744053E11"/>
        <n v="2.06119171089E11"/>
        <n v="2.06122168458E11"/>
        <n v="2.06116937762E11"/>
        <n v="1.5580722437E11"/>
        <n v="2.06135311783E11"/>
        <n v="2.06127626059E11"/>
        <n v="2.06129074732E11"/>
        <n v="2.06130337917E11"/>
        <n v="2.06131289202E11"/>
        <n v="1.36324252702E11"/>
        <n v="2.06139740037E11"/>
        <n v="1.96487560991E11"/>
        <n v="2.06139043079E11"/>
        <n v="2.06143019294E11"/>
        <n v="2.06144183336E11"/>
        <n v="2.06142705041E11"/>
        <n v="2.06146101653E11"/>
        <n v="2.06155458698E11"/>
        <n v="2.06145239348E11"/>
        <n v="1.91506090025E11"/>
        <n v="2.06161061675E11"/>
        <n v="2.06165111658E11"/>
        <n v="1.86751915313E11"/>
        <n v="2.06177942551E11"/>
        <n v="2.06166260842E11"/>
        <n v="2.06176933288E11"/>
        <n v="2.06182900757E11"/>
        <n v="2.06174910243E11"/>
        <n v="2.06183695656E11"/>
        <n v="2.06174324284E11"/>
        <n v="2.06185978282E11"/>
        <n v="2.06186840492E11"/>
        <n v="2.06186863128E11"/>
        <n v="2.06187129408E11"/>
        <n v="2.06197601366E11"/>
        <n v="2.06188230727E11"/>
        <n v="2.06188233768E11"/>
        <n v="2.06190191265E11"/>
        <n v="2.06196514899E11"/>
        <n v="2.06191768749E11"/>
        <n v="2.06192365328E11"/>
        <n v="2.06202389137E11"/>
        <n v="2.06193339259E11"/>
        <n v="2.0619953088E11"/>
        <n v="2.06202341903E11"/>
        <n v="2.06202539192E11"/>
        <n v="2.06207287594E11"/>
        <n v="1.88508043703E11"/>
        <n v="2.06209745949E11"/>
        <n v="2.06210219805E11"/>
        <n v="1.77838954514E11"/>
        <n v="2.06211732308E11"/>
        <n v="2.06221139768E11"/>
        <n v="2.06213331259E11"/>
        <n v="2.05978272857E11"/>
        <n v="2.06222502748E11"/>
        <n v="2.06234224157E11"/>
        <n v="2.06213354612E11"/>
        <n v="1.91251733772E11"/>
        <n v="2.02721139227E11"/>
        <n v="2.0622413887E11"/>
        <n v="2.06224997743E11"/>
        <n v="2.06225381817E11"/>
        <n v="2.0623548638E11"/>
        <n v="2.05618105738E11"/>
        <n v="2.06229958487E11"/>
        <n v="2.06229759829E11"/>
        <n v="2.06241815967E11"/>
        <n v="2.05731018917E11"/>
        <n v="2.062324671E11"/>
        <n v="2.06254569599E11"/>
        <n v="2.06254203439E11"/>
        <n v="1.73671435273E11"/>
        <n v="2.06260305779E11"/>
        <n v="2.06261305211E11"/>
        <n v="2.06251642534E11"/>
        <n v="2.06249120819E11"/>
        <n v="2.0625393384E11"/>
        <n v="2.06259354709E11"/>
        <n v="2.06263763234E11"/>
        <n v="2.06262329445E11"/>
        <n v="2.06263459954E11"/>
        <n v="1.93986076594E11"/>
        <n v="2.06268537099E11"/>
        <n v="2.06276794286E11"/>
        <n v="2.06272452375E11"/>
        <n v="2.06278915719E11"/>
        <n v="2.06272433016E11"/>
        <n v="1.78675090524E11"/>
        <n v="1.89695706294E11"/>
        <n v="2.06301681478E11"/>
        <n v="2.06292538392E11"/>
        <n v="2.0629491935E11"/>
        <n v="2.06302006061E11"/>
        <n v="2.06297125442E11"/>
        <n v="2.06295800727E11"/>
        <n v="2.06308207022E11"/>
        <n v="2.06309617267E11"/>
        <n v="2.06310051942E11"/>
        <n v="2.06313405462E11"/>
        <n v="2.06314533174E11"/>
        <n v="2.06316932783E11"/>
        <n v="2.06330281768E11"/>
        <n v="2.06332622473E11"/>
        <n v="2.06343803447E11"/>
        <n v="2.0630611971E11"/>
        <n v="2.00195241016E11"/>
        <n v="2.06334733997E11"/>
        <n v="2.06336236661E11"/>
        <n v="2.06338486544E11"/>
        <n v="2.06376085643E11"/>
        <n v="2.06406693273E11"/>
        <n v="2.06405923388E11"/>
        <n v="2.06408311851E11"/>
        <n v="2.06412016264E11"/>
        <n v="2.06416107036E11"/>
        <n v="2.06424213601E11"/>
        <n v="2.0380523918E11"/>
        <n v="2.06419686024E11"/>
        <n v="2.06234370607E11"/>
        <n v="2.06430617432E11"/>
        <n v="1.73506990413E11"/>
        <n v="2.06439680643E11"/>
        <n v="1.69590635811E11"/>
        <n v="2.06434116462E11"/>
        <n v="2.06448389795E11"/>
        <n v="1.56162734466E11"/>
        <n v="2.06454736305E11"/>
        <n v="1.96584834171E11"/>
        <n v="2.06457450845E11"/>
        <n v="2.06458487659E11"/>
        <n v="1.91281773108E11"/>
        <n v="2.06463278205E11"/>
        <n v="2.0645756582E11"/>
        <n v="2.06469050538E11"/>
        <n v="2.06468368691E11"/>
        <n v="2.06504239901E11"/>
        <n v="2.06489158829E11"/>
        <n v="2.06529481271E11"/>
        <n v="2.06514961667E11"/>
        <n v="2.06516740747E11"/>
        <n v="2.06535766172E11"/>
        <n v="2.06550121737E11"/>
        <n v="2.06574908745E11"/>
        <n v="1.54616016494E11"/>
        <n v="2.06577074783E11"/>
        <n v="2.06577742875E11"/>
        <n v="2.06558851955E11"/>
        <n v="2.06559544068E11"/>
        <n v="2.06581806482E11"/>
        <n v="2.06560896516E11"/>
        <n v="1.79827648777E11"/>
        <n v="2.06577620995E11"/>
        <n v="2.06563368863E11"/>
        <n v="2.03872682662E11"/>
        <n v="2.03958280527E11"/>
        <n v="2.06566657669E11"/>
        <n v="2.06565299106E11"/>
        <n v="2.06567488146E11"/>
        <n v="2.06593217925E11"/>
        <n v="2.06593015329E11"/>
        <n v="2.06593632071E11"/>
        <n v="2.05970090836E11"/>
        <n v="2.06595159056E11"/>
        <n v="2.06527045539E11"/>
        <n v="2.06621538722E11"/>
        <n v="2.06619799111E11"/>
        <n v="2.0660108545E11"/>
        <n v="2.06601376947E11"/>
        <n v="2.06600687277E11"/>
        <n v="2.06621483673E11"/>
        <n v="2.06620605568E11"/>
        <n v="2.06623373089E11"/>
        <n v="2.06603793249E11"/>
        <n v="2.06625658522E11"/>
        <n v="2.06625730928E11"/>
        <n v="2.06605593211E11"/>
        <n v="2.06626123424E11"/>
        <n v="2.0660555599E11"/>
        <n v="2.06627165714E11"/>
        <n v="2.06627443722E11"/>
        <n v="2.06623735137E11"/>
        <n v="2.06624553545E11"/>
        <n v="2.06608763932E11"/>
        <n v="1.99823496202E11"/>
        <n v="2.06609548363E11"/>
        <n v="2.06609142601E11"/>
        <n v="2.0661030715E11"/>
        <n v="2.06610762337E11"/>
        <n v="2.06632543086E11"/>
        <n v="2.06612427898E11"/>
        <n v="2.0663357786E11"/>
        <n v="2.06632990028E11"/>
        <n v="2.06613949994E11"/>
        <n v="2.06614166179E11"/>
        <n v="2.06660576396E11"/>
        <n v="2.06634677248E11"/>
        <n v="2.06639470475E11"/>
        <n v="2.06641975555E11"/>
        <n v="2.0664520329E11"/>
        <n v="2.0664473106E11"/>
        <n v="1.88385601822E11"/>
        <n v="1.44234813825E11"/>
        <n v="2.0664962928E11"/>
        <n v="2.06673673595E11"/>
        <n v="2.06673106345E11"/>
        <n v="2.0664844447E11"/>
        <n v="1.34932240433E11"/>
        <n v="1.88596784946E11"/>
        <n v="2.06683792966E11"/>
        <n v="2.06682124956E11"/>
        <n v="2.06682824841E11"/>
        <n v="2.06684593304E11"/>
        <n v="2.06686500672E11"/>
        <n v="2.06689322353E11"/>
        <n v="2.06693276054E11"/>
        <n v="2.06690894391E11"/>
        <n v="2.06690338174E11"/>
        <n v="2.06691113824E11"/>
        <n v="2.06693825951E11"/>
        <n v="2.06698912513E11"/>
        <n v="2.06702120592E11"/>
        <n v="2.06698832215E11"/>
        <n v="1.6432425987E11"/>
        <n v="2.06709832482E11"/>
        <n v="2.06766020519E11"/>
        <n v="2.06716459378E11"/>
        <n v="2.06744408115E11"/>
        <n v="2.06769469742E11"/>
        <n v="2.06769874462E11"/>
        <n v="2.06748722604E11"/>
        <n v="2.06749913458E11"/>
        <n v="2.06769249866E11"/>
        <n v="2.06750021377E11"/>
        <n v="2.06751720248E11"/>
        <n v="2.06610706447E11"/>
        <n v="2.06796356359E11"/>
        <n v="2.06795189577E11"/>
        <n v="1.88151378803E11"/>
        <n v="2.06823764281E11"/>
        <n v="2.06802154594E11"/>
        <n v="2.06803223693E11"/>
        <n v="2.06829063213E11"/>
        <n v="2.06806627928E11"/>
        <n v="2.06832299823E11"/>
        <n v="2.06833940817E11"/>
        <n v="2.06855566748E11"/>
        <n v="2.06856138774E11"/>
        <n v="2.06856175772E11"/>
        <n v="2.06855435816E11"/>
        <n v="2.06853333811E11"/>
        <n v="1.866664784E11"/>
        <n v="2.06859581853E11"/>
        <n v="2.06834628122E11"/>
        <n v="2.06835272775E11"/>
        <n v="2.06855725145E11"/>
        <n v="2.0686219103E11"/>
        <n v="2.06857806183E11"/>
        <n v="2.06842944528E11"/>
        <n v="2.06842600201E11"/>
        <n v="2.06844220732E11"/>
        <n v="2.06843887173E11"/>
        <n v="2.06866766618E11"/>
        <n v="1.45163262602E11"/>
        <n v="2.06868467544E11"/>
        <n v="2.06870190695E11"/>
        <n v="2.06850762889E11"/>
        <n v="2.06851363122E11"/>
        <n v="1.9809923723E11"/>
        <n v="2.06852857729E11"/>
        <n v="2.06882415198E11"/>
        <n v="1.43695399206E11"/>
        <n v="1.42188761262E11"/>
        <n v="1.63642349363E11"/>
        <n v="2.0687840955E11"/>
        <n v="2.06870647656E11"/>
        <n v="2.06880817161E11"/>
        <n v="2.06885883174E11"/>
        <n v="2.06623393655E11"/>
        <n v="2.06887895073E11"/>
        <n v="2.06887955716E11"/>
        <n v="2.06904358176E11"/>
        <n v="2.03735216559E11"/>
        <n v="2.06888749112E11"/>
        <n v="2.06903549093E11"/>
        <n v="2.06890576811E11"/>
        <n v="1.54944473122E11"/>
        <n v="2.06904540065E11"/>
        <n v="2.06894633366E11"/>
        <n v="2.04786981664E11"/>
        <n v="2.06891887019E11"/>
        <n v="2.06896788816E11"/>
        <n v="2.06898930565E11"/>
        <n v="2.06927483689E11"/>
        <n v="2.06931947159E11"/>
        <n v="2.0692958728E11"/>
        <n v="2.06932635421E11"/>
        <n v="2.06926545749E11"/>
        <n v="2.06201097811E11"/>
        <n v="2.06965788851E11"/>
        <n v="2.06966132327E11"/>
        <n v="2.06970081123E11"/>
        <n v="2.06970692912E11"/>
        <n v="2.06970959201E11"/>
        <n v="2.06969872822E11"/>
        <n v="2.06970081808E11"/>
        <n v="2.06971861783E11"/>
        <n v="2.06970745902E11"/>
        <n v="2.06978338634E11"/>
        <n v="2.06978132342E11"/>
        <n v="2.06975603113E11"/>
        <n v="2.06975836487E11"/>
        <n v="2.0697989611E11"/>
        <n v="2.06985807521E11"/>
        <n v="2.06989358763E11"/>
        <n v="1.91357761122E11"/>
        <n v="2.06985874565E11"/>
        <n v="2.06987935382E11"/>
        <n v="2.0700114947E11"/>
        <n v="2.07007218516E11"/>
        <n v="2.07006733186E11"/>
        <n v="2.07009985706E11"/>
        <n v="2.07010942502E11"/>
        <n v="2.07007437185E11"/>
        <n v="1.37636973962E11"/>
        <n v="2.07020938406E11"/>
        <n v="2.07021828972E11"/>
        <n v="2.07019168571E11"/>
        <n v="2.07027778306E11"/>
        <n v="2.07018758424E11"/>
        <n v="2.07028401261E11"/>
        <n v="2.07077221662E11"/>
        <n v="2.07044585108E11"/>
        <n v="2.07065134907E11"/>
        <n v="2.07068905501E11"/>
        <n v="2.07071464313E11"/>
        <n v="2.07070083608E11"/>
        <n v="2.07070595708E11"/>
        <n v="2.07088878636E11"/>
        <n v="2.07095858224E11"/>
        <n v="2.07099861279E11"/>
        <n v="2.07094275682E11"/>
        <n v="2.0710296842E11"/>
        <n v="2.07102953124E11"/>
        <n v="1.64356684313E11"/>
        <n v="2.07108709295E11"/>
        <n v="2.0710986656E11"/>
        <n v="2.07108026134E11"/>
        <n v="2.0711136697E11"/>
        <n v="2.04187686796E11"/>
        <n v="2.07121300255E11"/>
        <n v="2.07111896892E11"/>
        <n v="1.80342946428E11"/>
        <n v="2.07132017257E11"/>
        <n v="1.89281010051E11"/>
        <n v="2.07131709266E11"/>
        <n v="2.07139373363E11"/>
        <n v="2.07130497717E11"/>
        <n v="2.07143791136E11"/>
        <n v="2.07135009701E11"/>
        <n v="2.07143922102E11"/>
        <n v="2.07142523161E11"/>
        <n v="2.07135102246E11"/>
        <n v="2.0715468351E11"/>
        <n v="2.0714355124E11"/>
        <n v="2.07145146805E11"/>
        <n v="1.67587399288E11"/>
        <n v="2.07156434218E11"/>
        <n v="1.79672864868E11"/>
        <n v="2.07155668118E11"/>
        <n v="2.07147852928E11"/>
        <n v="2.07145049221E11"/>
        <n v="2.07158391388E11"/>
        <n v="2.07147866942E11"/>
        <n v="2.07148277653E11"/>
        <n v="2.0714983767E11"/>
        <n v="2.07147445276E11"/>
        <n v="2.07159667272E11"/>
        <n v="2.0716224885E11"/>
        <n v="1.70928650903E11"/>
        <n v="2.07154333292E11"/>
        <n v="2.07176791132E11"/>
        <n v="2.0718172535E11"/>
        <n v="2.07195168354E11"/>
        <n v="1.34353411735E11"/>
        <n v="2.07199505244E11"/>
        <n v="2.07189989295E11"/>
        <n v="2.07191114638E11"/>
        <n v="2.07201567247E11"/>
        <n v="2.0719861076E11"/>
        <n v="2.072016196E11"/>
        <n v="2.07212416297E11"/>
        <n v="2.07203375626E11"/>
        <n v="2.07204296976E11"/>
        <n v="2.07209117254E11"/>
        <n v="2.0721710529E11"/>
        <n v="2.07211154265E11"/>
        <n v="2.07212346776E11"/>
        <n v="2.0720970549E11"/>
        <n v="2.07218004127E11"/>
        <n v="1.60752826742E11"/>
        <n v="2.07219685751E11"/>
        <n v="2.07225663373E11"/>
        <n v="2.072347762E11"/>
        <n v="2.07232955469E11"/>
        <n v="2.07260168275E11"/>
        <n v="2.07267541807E11"/>
        <n v="2.07282382345E11"/>
        <n v="2.07286715779E11"/>
        <n v="2.07296783764E11"/>
        <n v="2.07297105947E11"/>
        <n v="2.07136103768E11"/>
        <n v="2.07298183441E11"/>
        <n v="2.06741039667E11"/>
        <n v="2.05403044642E11"/>
        <n v="2.07292053162E11"/>
        <n v="2.0730300729E11"/>
        <n v="2.07301064209E11"/>
        <n v="2.07309084522E11"/>
        <n v="2.07309177723E11"/>
        <n v="2.07320325704E11"/>
        <n v="2.07322197598E11"/>
        <n v="2.07329147539E11"/>
        <n v="2.07347090854E11"/>
        <n v="2.07349117343E11"/>
        <n v="2.07349969301E11"/>
        <n v="2.07361475965E11"/>
        <n v="2.07367639104E11"/>
        <n v="2.07365525026E11"/>
        <n v="2.0736553128E11"/>
        <n v="2.07356521082E11"/>
        <n v="2.0737023806E11"/>
        <n v="2.07358079373E11"/>
        <n v="2.07367927874E11"/>
        <n v="2.07379934523E11"/>
        <n v="2.07376267793E11"/>
        <n v="2.0737747928E11"/>
        <n v="2.07375729438E11"/>
        <n v="2.07378365845E11"/>
        <n v="2.0738330651E11"/>
        <n v="2.07378785126E11"/>
        <n v="2.07400034928E11"/>
        <n v="2.07398601333E11"/>
        <n v="2.07383691819E11"/>
        <n v="2.07399047324E11"/>
        <n v="2.07399646329E11"/>
        <n v="2.07396563122E11"/>
        <n v="2.07382623098E11"/>
        <n v="2.07386375253E11"/>
        <n v="2.07386005887E11"/>
        <n v="2.07386979706E11"/>
        <n v="2.04474840373E11"/>
        <n v="2.07388744864E11"/>
        <n v="2.07389864787E11"/>
        <n v="2.04924429739E11"/>
        <n v="2.07414016371E11"/>
        <n v="2.07418012205E11"/>
        <n v="2.07432199241E11"/>
        <n v="2.07432447328E11"/>
        <n v="2.07441753881E11"/>
        <n v="2.07441654364E11"/>
        <n v="2.07440769626E11"/>
        <n v="2.07444674111E11"/>
        <n v="2.07195988338E11"/>
        <n v="2.07449004104E11"/>
        <n v="2.07447484343E11"/>
        <n v="2.07453236273E11"/>
        <n v="2.07452800264E11"/>
        <n v="2.06299142559E11"/>
        <n v="2.0745701279E11"/>
        <n v="2.07459616387E11"/>
        <n v="2.07466615459E11"/>
        <n v="2.07487870738E11"/>
        <n v="2.07488758181E11"/>
        <n v="2.07481394047E11"/>
        <n v="2.05796211289E11"/>
        <n v="2.07517742906E11"/>
        <n v="2.07524939844E11"/>
        <n v="2.07590735882E11"/>
        <n v="2.07596952995E11"/>
        <n v="2.07596953771E11"/>
        <n v="2.07596743987E11"/>
        <n v="2.07597111089E11"/>
        <n v="2.07609619351E11"/>
        <n v="2.07603093619E11"/>
        <n v="2.07602659399E11"/>
        <n v="2.07601991865E11"/>
        <n v="2.07614644552E11"/>
        <n v="2.07615355308E11"/>
        <n v="1.21827105878E11"/>
        <n v="2.07615708199E11"/>
        <n v="2.07616499074E11"/>
        <n v="2.07606433976E11"/>
        <n v="1.46071412254E11"/>
        <n v="2.07621621411E11"/>
        <n v="2.07641728053E11"/>
        <n v="2.07641927527E11"/>
        <n v="2.07625185196E11"/>
        <n v="2.07624288687E11"/>
        <n v="2.07644042856E11"/>
        <n v="2.07637055252E11"/>
        <n v="2.0764109992E11"/>
        <n v="2.07647024478E11"/>
        <n v="2.06992157222E11"/>
        <n v="2.07628041533E11"/>
        <n v="2.0763017552E11"/>
        <n v="2.07630365827E11"/>
        <n v="2.07650279318E11"/>
        <n v="2.0763314768E11"/>
        <n v="2.07632060445E11"/>
        <n v="2.07647320986E11"/>
        <n v="2.07634110378E11"/>
        <n v="2.0765318034E11"/>
        <n v="2.07635542528E11"/>
        <n v="2.07654158209E11"/>
        <n v="5.6774379104E10"/>
        <n v="2.07654035473E11"/>
        <n v="2.07662549944E11"/>
        <n v="2.07656159375E11"/>
        <n v="2.07656013144E11"/>
        <n v="2.07657275543E11"/>
        <n v="2.07658464816E11"/>
        <n v="2.0713995582E11"/>
        <n v="2.07674383666E11"/>
        <n v="2.0767658538E11"/>
        <n v="2.07679586459E11"/>
        <n v="2.07680849683E11"/>
        <n v="2.07697767455E11"/>
        <n v="2.07681932312E11"/>
        <n v="2.07698322024E11"/>
        <n v="2.07698406726E11"/>
        <n v="2.0769874872E11"/>
        <n v="2.0769947317E11"/>
        <n v="2.0769982926E11"/>
        <n v="2.07700910425E11"/>
        <n v="2.07706748505E11"/>
        <n v="2.07701553047E11"/>
        <n v="2.07706321169E11"/>
        <n v="2.07706909791E11"/>
        <n v="2.07701465144E11"/>
        <n v="2.07701694807E11"/>
        <n v="2.07702330989E11"/>
        <n v="2.07702334494E11"/>
        <n v="2.07707915614E11"/>
        <n v="2.07706207388E11"/>
        <n v="2.07704600602E11"/>
        <n v="2.07706918418E11"/>
        <n v="2.07708918878E11"/>
        <n v="2.07710375235E11"/>
        <n v="2.07712430169E11"/>
        <n v="2.077125518E11"/>
        <n v="2.07716757248E11"/>
        <n v="2.0772185656E11"/>
        <n v="2.07724609203E11"/>
        <n v="2.07724497459E11"/>
        <n v="2.07723661324E11"/>
        <n v="2.07724019462E11"/>
        <n v="2.07720274546E11"/>
        <n v="2.07729792846E11"/>
        <n v="2.07727139454E11"/>
        <n v="2.07734106171E11"/>
        <n v="2.0774032393E11"/>
        <n v="2.04352196653E11"/>
        <n v="1.70985158322E11"/>
        <n v="1.95967475891E11"/>
        <n v="2.07744701313E11"/>
        <n v="2.07749953897E11"/>
        <n v="2.07753807719E11"/>
        <n v="2.07758135947E11"/>
        <n v="2.0775396672E11"/>
        <n v="2.07759172267E11"/>
        <n v="2.07758512989E11"/>
        <n v="2.07764603194E11"/>
        <n v="2.07741558877E11"/>
        <n v="2.07762405765E11"/>
        <n v="1.86490339759E11"/>
        <n v="2.07762448794E11"/>
        <n v="2.07766396002E11"/>
        <n v="2.07766441565E11"/>
        <n v="2.07768739339E11"/>
        <n v="2.07770698154E11"/>
        <n v="2.07774757761E11"/>
        <n v="2.07771111958E11"/>
        <n v="2.06197427879E11"/>
        <n v="2.07775480087E11"/>
        <n v="2.07783475022E11"/>
        <n v="2.06845258675E11"/>
        <n v="2.07777846792E11"/>
        <n v="2.07780503697E11"/>
        <n v="2.07787332192E11"/>
        <n v="2.07787788452E11"/>
        <n v="2.07787258696E11"/>
        <n v="2.07790184204E11"/>
        <n v="2.07794235523E11"/>
        <n v="2.07792913189E11"/>
        <n v="2.07794001451E11"/>
        <n v="2.07559017002E11"/>
        <n v="2.07792113743E11"/>
        <n v="2.07794887805E11"/>
        <n v="2.07796866127E11"/>
        <n v="2.07798589504E11"/>
        <n v="2.07802707037E11"/>
        <n v="2.07804336293E11"/>
        <n v="1.94835554929E11"/>
        <n v="2.07796928158E11"/>
        <n v="2.07797087811E11"/>
        <n v="2.07799858261E11"/>
        <n v="2.06622781999E11"/>
        <n v="2.07805109682E11"/>
        <n v="2.078001763E11"/>
        <n v="2.07811063105E11"/>
        <n v="2.07808190306E11"/>
        <n v="2.07809094559E11"/>
        <n v="2.07807027599E11"/>
        <n v="2.07147399751E11"/>
        <n v="2.07814733115E11"/>
        <n v="2.07821736804E11"/>
        <n v="2.07818613086E11"/>
        <n v="2.07825292104E11"/>
        <n v="2.07841814808E11"/>
        <n v="2.04369292871E11"/>
        <n v="2.078442773E11"/>
        <n v="2.07844867428E11"/>
        <n v="2.0784511877E11"/>
        <n v="2.07850883678E11"/>
        <n v="2.07851208027E11"/>
        <n v="2.07855121585E11"/>
        <n v="2.07849856902E11"/>
        <n v="2.07855751572E11"/>
        <n v="2.07857168664E11"/>
        <n v="2.07856780288E11"/>
        <n v="2.07866183329E11"/>
        <n v="2.07861587765E11"/>
        <n v="2.07867070267E11"/>
        <n v="2.07867325806E11"/>
        <n v="2.07862312523E11"/>
        <n v="2.07867644439E11"/>
        <n v="2.0786298077E11"/>
        <n v="2.07872941726E11"/>
        <n v="2.07872569114E11"/>
        <n v="2.0787353351E11"/>
        <n v="2.0787007644E11"/>
        <n v="1.54667965331E11"/>
        <n v="2.07873343499E11"/>
        <n v="2.07870686117E11"/>
        <n v="2.07870121583E11"/>
        <n v="1.56189466706E11"/>
        <n v="2.07862262564E11"/>
        <n v="2.07874790449E11"/>
        <n v="2.07876050278E11"/>
        <n v="2.07877617037E11"/>
        <n v="2.07876653211E11"/>
        <n v="2.07883488352E11"/>
        <n v="2.07878747573E11"/>
        <n v="2.07880077331E11"/>
        <n v="2.07884279905E11"/>
        <n v="2.07890895505E11"/>
        <n v="2.07891032385E11"/>
        <n v="2.07885838689E11"/>
        <n v="2.078855006E11"/>
        <n v="2.07886860331E11"/>
        <n v="2.07887641887E11"/>
        <n v="2.07901048662E11"/>
        <n v="2.07901095744E11"/>
        <n v="2.00363175532E11"/>
        <n v="2.07901524349E11"/>
        <n v="2.07903495266E11"/>
        <n v="2.0789767299E11"/>
        <n v="2.07903220081E11"/>
        <n v="1.45205310125E11"/>
        <n v="2.07908064865E11"/>
        <n v="2.07911286027E11"/>
        <n v="2.0791590827E11"/>
        <n v="2.07916182423E11"/>
        <n v="2.07923062551E11"/>
        <n v="2.0791881045E11"/>
        <n v="2.07923994551E11"/>
        <n v="2.07924201345E11"/>
        <n v="1.35009800059E11"/>
        <n v="2.07926587445E11"/>
        <n v="2.07924624284E11"/>
        <n v="2.07933335989E11"/>
        <n v="2.07933998669E11"/>
        <n v="2.0793402709E11"/>
        <n v="2.07936616004E11"/>
        <n v="2.07938588216E11"/>
        <n v="2.07937593387E11"/>
        <n v="1.99823565447E11"/>
        <n v="2.07946293292E11"/>
        <n v="2.07943728569E11"/>
        <n v="2.07945162012E11"/>
        <n v="1.84713577777E11"/>
        <n v="2.07944545456E11"/>
        <n v="2.0795269723E11"/>
        <n v="2.07953641574E11"/>
        <n v="2.07953952022E11"/>
        <n v="2.0794681147E11"/>
        <n v="2.07861614772E11"/>
        <n v="2.07946812479E11"/>
        <n v="2.04396041772E11"/>
        <n v="2.079497918E11"/>
        <n v="2.0795422447E11"/>
        <n v="2.07938532354E11"/>
        <n v="2.07949869368E11"/>
        <n v="2.07961787923E11"/>
        <n v="2.07955794049E11"/>
        <n v="2.07963788652E11"/>
        <n v="1.90078807629E11"/>
        <n v="2.07958828169E11"/>
        <n v="2.07963055704E11"/>
        <n v="2.07958848145E11"/>
        <n v="2.07964865094E11"/>
        <n v="2.07793369933E11"/>
        <n v="2.07973773316E11"/>
        <n v="2.07966382429E11"/>
        <n v="2.07970416179E11"/>
        <n v="2.07982590095E11"/>
        <n v="2.07994074245E11"/>
        <n v="2.07988469376E11"/>
        <n v="2.07993067587E11"/>
        <n v="2.0800319959E11"/>
        <n v="2.07803736229E11"/>
        <n v="1.89815165958E11"/>
        <n v="2.08025209467E11"/>
        <n v="2.08030480896E11"/>
        <n v="2.07725161647E11"/>
        <n v="2.08033076082E11"/>
        <n v="2.08034677391E11"/>
        <n v="2.08039114587E11"/>
        <n v="2.0804472638E11"/>
        <n v="2.08042837301E11"/>
        <n v="2.08046931207E11"/>
        <n v="2.05303812621E11"/>
        <n v="2.08048559171E11"/>
        <n v="2.08044213092E11"/>
        <n v="2.08045747272E11"/>
        <n v="2.0805034267E11"/>
        <n v="2.08049126053E11"/>
        <n v="2.08049418315E11"/>
        <n v="2.08049814559E11"/>
        <n v="2.08052622762E11"/>
        <n v="2.08059593292E11"/>
        <n v="2.08056669738E11"/>
        <n v="2.08065767288E11"/>
        <n v="2.08060690574E11"/>
        <n v="2.07942406723E11"/>
        <n v="2.08065542761E11"/>
        <n v="2.08071426872E11"/>
        <n v="2.08066804509E11"/>
        <n v="2.0806861188E11"/>
        <n v="2.08080870463E11"/>
        <n v="2.06469668375E11"/>
        <n v="2.0809043177E11"/>
        <n v="2.08086083864E11"/>
        <n v="2.08103751477E11"/>
        <n v="2.08105013324E11"/>
        <n v="2.07926779796E11"/>
        <n v="2.08106346093E11"/>
        <n v="2.0809886806E11"/>
        <n v="1.98266393426E11"/>
        <n v="2.08116866339E11"/>
        <n v="2.08112458394E11"/>
        <n v="1.54843493513E11"/>
        <n v="2.08117423679E11"/>
        <n v="2.08136870788E11"/>
        <n v="2.08136066465E11"/>
        <n v="2.07875738446E11"/>
        <n v="2.08147600178E11"/>
        <n v="2.08141665063E11"/>
        <n v="2.08148382635E11"/>
        <n v="1.72631359562E11"/>
        <n v="2.08163871148E11"/>
        <n v="2.08154064761E11"/>
        <n v="2.08157268115E11"/>
        <n v="1.85537973309E11"/>
        <n v="2.08155335039E11"/>
        <n v="2.08156241479E11"/>
        <n v="2.08163588421E11"/>
        <n v="2.08170454189E11"/>
        <n v="2.08171093426E11"/>
        <n v="2.08170134658E11"/>
        <n v="2.04185528863E11"/>
        <n v="8.22756858E10"/>
        <n v="2.07917155654E11"/>
        <n v="2.0816996521E11"/>
        <n v="2.08173415492E11"/>
        <n v="2.08178809784E11"/>
        <n v="2.08176638858E11"/>
        <n v="2.08196124241E11"/>
        <n v="1.57458582358E11"/>
        <n v="2.08199554422E11"/>
        <n v="2.08199482669E11"/>
        <n v="2.08201394979E11"/>
        <n v="2.08186744759E11"/>
        <n v="2.08190227078E11"/>
        <n v="2.08201421094E11"/>
        <n v="2.08192337301E11"/>
        <n v="2.08192125968E11"/>
        <n v="2.08205001638E11"/>
        <n v="2.08204730952E11"/>
        <n v="2.08193351473E11"/>
        <n v="2.08203208465E11"/>
        <n v="2.08211424275E11"/>
        <n v="2.08211744534E11"/>
        <n v="2.08211740307E11"/>
        <n v="2.08207114351E11"/>
        <n v="1.50707858054E11"/>
        <n v="2.08213313627E11"/>
        <n v="2.08227395447E11"/>
        <n v="2.08214036148E11"/>
        <n v="2.08214309982E11"/>
        <n v="2.08216706924E11"/>
        <n v="2.08228461127E11"/>
        <n v="2.08228874394E11"/>
        <n v="2.08219094403E11"/>
        <n v="2.08218856045E11"/>
        <n v="2.08220240554E11"/>
        <n v="1.44004667533E11"/>
        <n v="2.08238018663E11"/>
        <n v="2.08274510991E11"/>
        <n v="2.08273955687E11"/>
        <n v="2.05989217177E11"/>
        <n v="2.08281122306E11"/>
        <n v="2.08289045892E11"/>
        <n v="2.08280127109E11"/>
        <n v="1.74515896732E11"/>
        <n v="2.08282359559E11"/>
        <n v="2.08281786235E11"/>
        <n v="2.08282467152E11"/>
        <n v="9.0043900188E10"/>
        <n v="2.08288333163E11"/>
        <n v="2.082920142E11"/>
        <n v="2.08284494942E11"/>
        <n v="2.08283369642E11"/>
        <n v="2.0829159656E11"/>
        <n v="2.0829446235E11"/>
        <n v="2.08295099734E11"/>
        <n v="2.08299579676E11"/>
        <n v="2.08308074808E11"/>
        <n v="1.88034555546E11"/>
        <n v="2.08301866038E11"/>
        <n v="2.08307085057E11"/>
        <n v="2.08318370898E11"/>
        <n v="2.08323000578E11"/>
        <n v="2.08345271688E11"/>
        <n v="2.08358063245E11"/>
        <n v="2.08358134152E11"/>
        <n v="2.08347162743E11"/>
        <n v="1.41298524509E11"/>
        <n v="2.08349172233E11"/>
        <n v="2.08350194538E11"/>
        <n v="2.08362164073E11"/>
        <n v="2.08352567357E11"/>
        <n v="2.08369337989E11"/>
        <n v="2.08354123825E11"/>
        <n v="2.08352896413E11"/>
        <n v="2.08369992774E11"/>
        <n v="2.08374826625E11"/>
        <n v="2.08371319089E11"/>
        <n v="2.08405548444E11"/>
        <n v="2.08387609189E11"/>
        <n v="2.08406755182E11"/>
        <n v="2.08407294263E11"/>
        <n v="2.08389521335E11"/>
        <n v="2.0839133958E11"/>
        <n v="2.07972369957E11"/>
        <n v="2.08389873585E11"/>
        <n v="2.07636103502E11"/>
        <n v="2.08412756404E11"/>
        <n v="1.87434519042E11"/>
        <n v="2.08414731831E11"/>
        <n v="2.08414003035E11"/>
        <n v="2.0841638131E11"/>
        <n v="2.08414695179E11"/>
        <n v="2.08439896148E11"/>
        <n v="2.08422200863E11"/>
        <n v="2.08422149388E11"/>
        <n v="2.08424293675E11"/>
        <n v="2.08442705554E11"/>
        <n v="2.08354751085E11"/>
        <n v="2.08426995868E11"/>
        <n v="2.08428888649E11"/>
        <n v="2.07860455597E11"/>
        <n v="2.08447902604E11"/>
        <n v="2.08452627204E11"/>
        <n v="2.08453120401E11"/>
        <n v="2.08453515956E11"/>
        <n v="1.84722026352E11"/>
        <n v="2.08434999214E11"/>
        <n v="2.08436576786E11"/>
        <n v="2.08434889255E11"/>
        <n v="2.08454059646E11"/>
        <n v="2.08457991501E11"/>
        <n v="2.08457820582E11"/>
        <n v="2.08452197667E11"/>
        <n v="2.08459282337E11"/>
        <n v="2.0845993223E11"/>
        <n v="2.08460356132E11"/>
        <n v="2.08462108929E11"/>
        <n v="2.08461731647E11"/>
        <n v="2.08462123396E11"/>
        <n v="2.08460373123E11"/>
        <n v="2.08457257267E11"/>
        <n v="2.08466004255E11"/>
        <n v="2.08483907766E11"/>
        <n v="1.85653458309E11"/>
        <n v="2.08465820586E11"/>
        <n v="2.08486158103E11"/>
        <n v="2.08469552262E11"/>
        <n v="2.08483130123E11"/>
        <n v="2.08468645665E11"/>
        <n v="2.08472548506E11"/>
        <n v="2.08490127476E11"/>
        <n v="2.08474356557E11"/>
        <n v="2.08495671374E11"/>
        <n v="2.0851447503E11"/>
        <n v="2.08515434059E11"/>
        <n v="2.08515713834E11"/>
        <n v="2.08536065092E11"/>
        <n v="2.08530062256E11"/>
        <n v="2.08534460711E11"/>
        <n v="2.08535627878E11"/>
        <n v="2.08536325391E11"/>
        <n v="2.08539066512E11"/>
        <n v="2.08545930409E11"/>
        <m/>
      </sharedItems>
    </cacheField>
    <cacheField name="Email" numFmtId="0">
      <sharedItems containsBlank="1">
        <s v="hideikolopezmiranda098@gmail.com"/>
        <s v="dani.arauco.dlaa@gmail.com"/>
        <s v="silviamazab2016@gmail.com"/>
        <s v="valweb@valweb.com.br"/>
        <s v="drigofirmino@gmail.com"/>
        <s v="jp_life359@hotmail.com"/>
        <s v="lcasiahome@gmail.com"/>
        <s v="valfrancisnetwork@gmail.com"/>
        <s v="javiermontoyaloyo@live.com"/>
        <s v="falecom@lemavos.com.br"/>
        <s v="samyllasilva667@gmail.com"/>
        <s v="creyes@rootnutritionsac.com"/>
        <s v="maricelincastellano@gmail.com"/>
        <s v="michel@mantaro.pe"/>
        <s v="moralesquintanillajennifer@gmail.com"/>
        <s v="gabrielantonio1919@hotmail.com"/>
        <s v="eavs35@gmail.com"/>
        <s v="elcorreodebernales@hotmail.com"/>
        <s v="pballont@pucp.edu.pe"/>
        <s v="ggh36316@gmail.com"/>
        <s v="fuxchoy@gmail.com"/>
        <s v="welimarpereiraw@gmail.com"/>
        <s v="javiercardenasvaldivia@gmail.com"/>
        <s v="ladisargon@hotmail.com"/>
        <s v="victorfenizola.rj@gmail.com"/>
        <s v="hagisystem@gmail.com"/>
        <s v="jimenezarantxa44@gmail.com"/>
        <s v="intermdoe@gmail.com"/>
        <s v="hfreyrec@hotmail.com"/>
        <s v="dinastiacvida@gmail.com"/>
        <s v="austenarbildochota@gmail.com"/>
        <s v="araujogleiciane6@gmail.com"/>
        <s v="yramos@relux.pe"/>
        <s v="carlos.herrerazagazeta@gmail.com"/>
        <s v="manolovalero@live.com.mx"/>
        <s v="euroclub507@gmail.com"/>
        <s v="libreriasemmanuel@gmail.com"/>
        <s v="lbbycolaboradores@gmail.com"/>
        <s v="caceresvenegasdenisemmanuel@gmail.com"/>
        <s v="dvazquez_09@yahoo.com.mx"/>
        <s v="jeykheryendes@gmail.com"/>
        <s v="ventasdoscolas@gmail.com"/>
        <s v="adrianaerv74@gmail.com"/>
        <s v="vmartel500@gmail.com"/>
        <s v="dilialoaiza2110@gmail.com"/>
        <s v="fquevedo68@hotmail.com"/>
        <s v="rodmibrasil@gmail.com"/>
        <s v="gilbertotaio@hotmail.com"/>
        <s v="xavi.rich.1000@gmail.com"/>
        <s v="marinaolga@gmail.com"/>
        <s v="charoalc@gmail.com"/>
        <s v="marketingperumundo@gmail.com"/>
        <s v="rickg@yavendio.com"/>
        <s v="jfentanes.morgan@gmail.com"/>
        <s v="dopegearstreet@gmail.com"/>
        <s v="joari.020185@gmail.com"/>
        <s v="pitherzambrano10@gmail.com"/>
        <s v="leuroleo.19@gmail.com"/>
        <s v="pumarodriguezaqp@gmail.com"/>
        <s v="nadia_venegas@hotmail.com"/>
        <s v="deborapatricia14@gmail.com"/>
        <s v="gmm.importacionessac@gmail.com"/>
        <s v="rolandoazanasamag@gmail.com"/>
        <s v="clavarinopiero544@gmail.com"/>
        <s v="afi.32@gmail.com"/>
        <s v="erika_pantoja10@hotmail.com"/>
        <s v="douglassilvaoficia88@gmail.com"/>
        <s v="****der@gmail.com"/>
        <s v="jfc_07@hotmail.com"/>
        <s v="sunamitakyb@yahoo.com.br"/>
        <s v="paoloapa95@gmail.com"/>
        <s v="juventud09@hotmail.com"/>
        <s v="sagrindmx@gmail.com"/>
        <s v="mvcampos@camposherramientas.com"/>
        <s v="tecnico@serviciotecnicoadomicilio.pe"/>
        <s v="chalreme@gmail.com"/>
        <s v="jhamilsmithgarciasantos@gmail.com"/>
        <s v="oslave.vende@gmail.com"/>
        <s v="skevinrodriguezpaz@gmail.com"/>
        <s v="fernandoalanpalmatorres@hotmail.com"/>
        <s v="arp55302933@gmail.com"/>
        <s v="everton.araujo0905@gmail.com"/>
        <s v="adroaldorezende37@gmail.com"/>
        <s v="lucoavera72@gmail.com"/>
        <s v="wfloresusnayo@gmail.com"/>
        <s v="edwinmanuel82@hotmail.com"/>
        <s v="laschicasdelaboutique@gmail.com"/>
        <s v="cayci07@hotmail.com"/>
        <s v="eberthaelvira@gmail.com"/>
        <s v="yfloresgonzales7@gmail.com"/>
        <s v="angelapajares.com@gmail.com"/>
        <s v="calle8alitasym4s@gmail.com"/>
        <s v="melihagroup@gmail.com"/>
        <s v="graciamendizabal@hotmail.com"/>
        <s v="camilavasquezcollazos92@gmail.com"/>
        <s v="javiermartinezcotero4@gmail.com"/>
        <s v="claudiaportapeacara5604@gmail.com"/>
        <s v="hgastelumc1234@gmail.com"/>
        <s v="callcenterdidos@gmail.com"/>
        <s v="alangolds29@gmail.com"/>
        <s v="pmhb1989@gmail.com"/>
        <s v="ernestodelgado81@gmail.com"/>
        <s v="iqzurita@yahoo.com"/>
        <s v="abel@revoredo.pe"/>
        <s v="kevinortizalor1998@gmail.com"/>
        <s v="a20161375@pucp.edu.pe"/>
        <s v="cinthiasr30@gmail.com"/>
        <s v="abrahan_silvera_13@hotmail.com"/>
        <s v="gfernandez088@gmail.com"/>
        <s v="lula1705s@gmail.com"/>
        <s v="marcieneduarte2@gmail.com"/>
        <s v="renfort52@gmail.com"/>
        <s v="pieromatias1@gmail.com"/>
        <s v="lorenzitho36@gmail.com"/>
        <s v="mvillafane@villamuzio.com"/>
        <s v="claudiae.rengifo@gmail.com"/>
        <s v="casadocarro1@gmail.com"/>
        <s v="teito64@gmail.com"/>
        <s v="limagallima94@gmail.com"/>
        <s v="vectorseg8@gmail.com"/>
        <s v="luisalbertosanchezs@hotmail.com"/>
        <s v="karycolin0205@gmail.com"/>
        <s v="alex.bigode15iy@gmail.com"/>
        <s v="contacto@lolibushop.com"/>
        <s v="cerratomario6@gmail.com"/>
        <s v="todomodalatienda@gmail.com"/>
        <s v="hernan91sr@gmail.com"/>
        <s v="alan@quina.mx"/>
        <s v="katydenisse2008@gmail.com"/>
        <s v="ga-oscar-79@hotmail.com"/>
        <s v="roberusuriagalazaro@gmail.com"/>
        <s v="angelmigueldelgado1984@gmail.com"/>
        <s v="global.unicorn.pe@gmail.com"/>
        <s v="mvz.oramas@gmail.com"/>
        <s v="nestorm@yavendio.com"/>
        <s v="enriquecastanon0582@gmail.com"/>
        <s v="wilserdie24@gmail.com"/>
        <s v="miguelaranis@gmail.com"/>
        <s v="maskara5550@gmail.com"/>
        <s v="emersoncandidoleme@outlook.com"/>
        <s v="aquigamma@gmail.com"/>
        <s v="cuentongodeluchongo@gmail.com"/>
        <s v="patriciasmonteiro78@gmail.com"/>
        <s v="yagoromano99@gmail.com"/>
        <s v="myco.valley.peru@gmail.com"/>
        <s v="eroez_20@hotmail.com"/>
        <s v="katiacristinasales075@gmail.com"/>
        <s v="luis_leo7ag@hotmail.com"/>
        <s v="c45353648@gmail.com"/>
        <s v="lojapsychowear@gmail.com"/>
        <s v="guillermosilv98@gmail.com"/>
        <s v="feramani582@gmail.com"/>
        <s v="riveratordoya.kathya@gmail.com"/>
        <s v="camigfg@gmail.com"/>
        <s v="luisferde19@gmail.com"/>
        <s v="jairoportocarrerol@gmail.com"/>
        <s v="josue04torres23@gmail.com"/>
        <s v="gabybecerril00@gmail.com"/>
        <s v="rooeslly1985@gmail.com"/>
        <s v="pierredx2010@gmail.com"/>
        <s v="mescudero@disruptivee.com"/>
        <s v="ccrichi@gmail.com"/>
        <s v="carmelo.pena.0310@gmail.com"/>
        <s v="delicadezamodaintimafashion@gmail.com"/>
        <s v="mario.olivera@upsjb.edu.pe"/>
        <s v="akarlosm@hotmail.com"/>
        <s v="darx1994@gmail.com"/>
        <s v="vanelizingridalex@outlook.com"/>
        <s v="zoelylazo@gmail.com"/>
        <s v="genesisjadames@gmail.com"/>
        <s v="nataliagontijo23@icloud.com"/>
        <s v="gontijostore@icloud.com"/>
        <s v="esai.huaman@gmail.com"/>
        <s v="fdezvaldai@gmail.com"/>
        <s v="salvador6navarro@hotmail.com"/>
        <s v="altoconstructoramx@gmail.com"/>
        <s v="pedrosolanozepeda@gmail.com"/>
        <s v="cariciaaromatica@gmail.com"/>
        <s v="luisjulca753@gmail.com"/>
        <s v="ivetteinmobiliaria@gmail.com"/>
        <s v="bpdponce@hotmail.com"/>
        <s v="cmartinezv1983@gmail.com"/>
        <s v="luaazul1145@gmail.com"/>
        <s v="cristinaa.hnavarro@gmail.com"/>
        <s v="gabrieldistribuidor2022@gmail.com"/>
        <s v="wiliancabanillasv@gmail.com"/>
        <s v="paolags0705@gmail.com"/>
        <s v="ezuardoramirezrocha@gmail.com"/>
        <s v="tsigaperu@gmail.com"/>
        <s v="ronaldismino@gmail.com"/>
        <s v="soportecaminovivo@gmail.com"/>
        <s v="patriciotappan@gmail.com"/>
        <s v="ztkorim@gmail.com"/>
        <s v="mochicanetworks@gmail.com"/>
        <s v="asmeth@1pit.mx"/>
        <s v="claudecicosta76@gmail.com"/>
        <s v="boccarlo84@gmail.com"/>
        <s v="cristofer@bolanos.pe"/>
        <s v="wikistoreone@gmail.com"/>
        <s v="yair_jam@hotmail.com"/>
        <s v="fran110255@gmail.com"/>
        <s v="jaime.gaveland@gmail.com"/>
        <s v="anderson20ql@gmail.com"/>
        <s v="luxo.de.unhas@hotmail.com"/>
        <s v="shamaraldave@hotmail.com"/>
        <s v="info@kallpashop.com.pe"/>
        <s v="app.queiroz@protonmail.com"/>
        <s v="comercialuzzamari@gmail.com"/>
        <s v="adriazolaceci@gmail.com"/>
        <s v="marcosjosegv2025@gmail.com"/>
        <s v="nicolasgonzalesmilla@gmail.com"/>
        <s v="mosaniart01@gmail.com"/>
        <s v="lukayres80@gmail.com"/>
        <s v="rosa.isela.alvarez2012@gmail.com"/>
        <s v="corporacionroca@hotmail.com"/>
        <s v="jpazosch@gmail.com"/>
        <s v="9delmarsmithenriquelauther@gmail.com"/>
        <s v="patitbense@gmail.com"/>
        <s v="adelaabril2019@gmail.com"/>
        <s v="wakcha.peru@gmail.com"/>
        <s v="platakuper@gmail.com"/>
        <s v="contacto@ariasenterprises.pe"/>
        <s v="ypersonal764@gmail.com"/>
        <s v="adriandelpozo.gedk@gmail.com"/>
        <s v="andresarroyo2802@gmail.com"/>
        <s v="alba.nuevaitalia.reservas@gmail.com"/>
        <s v="vlsanchez9723@hotmail.com"/>
        <s v="belsubu66692@gmail.com"/>
        <s v="vivi.j.s@hotmail.com"/>
        <s v="bgejtransportes@gmail.com"/>
        <s v="florzitastore@hotmail.com"/>
        <s v="isaac07music@gmail.com"/>
        <s v="drbastiansepulveda@gmail.com"/>
        <s v="rosa.uv@gmail.com"/>
        <s v="comercial@fibrasyhebras.com"/>
        <s v="gilmar9531@gmail.com"/>
        <s v="andre.ormeno23@gmail.com"/>
        <s v="vicitaciong085@gmail.com"/>
        <s v="giulianazarpan@gmail.com"/>
        <s v="guillermo.santisteban@zizehost.com"/>
        <s v="mimo.cioccolato@gmail.com"/>
        <s v="dolorestavaresmiranda@gmail.com"/>
        <s v="jim.santisteban@gmail.com"/>
        <s v="suporte@brunaarguello.com.br"/>
        <s v="cspinturascivil@gmail.com"/>
        <s v="mnonato@smarthrlatam.com"/>
        <s v="cachuchasyrecuerdomx@gmail.com"/>
        <s v="copegracesrl.ventas@gmail.com"/>
        <s v="sergio_ser@live.com"/>
        <s v="rvillalobos78777@gmail.com"/>
        <s v="valeriaespinoza1993@gmail.com"/>
        <s v="mokalin@icloud.com"/>
        <s v="verdecora.pe@gmail.com"/>
        <s v="lupiz14ed@gmail.com"/>
        <s v="importacionesvalient@gmail.com"/>
        <s v="marial@yavendio.com"/>
        <s v="inmueblek25@gmail.com"/>
        <s v="lizzypretty@hoymail.com"/>
        <s v="orlando233@hotmail.com"/>
        <s v="anasueng.123@gmail.com"/>
        <s v="amaral.consultoria21@gmail.com"/>
        <s v="garagem.415.estetica.automotiva@gmail.com"/>
        <s v="reyesfallacarlosalberto@gmail.com"/>
        <s v="gpeuzinho43@gmail.com"/>
        <s v="alejrodsal@gmail.com"/>
        <s v="renataribeiroferreira@gmail.com"/>
        <s v="laurataparabecket@gmail.com"/>
        <s v="cruzstoreofficial53@gmail.com"/>
        <s v="geocristo69@gmail.com"/>
        <s v="riosg0901@gmail.com"/>
        <s v="tunuevoreto@gmail.com"/>
        <s v="robertocornejos38@gmail.com"/>
        <s v="alissanro011@gmail.com"/>
        <s v="bossgus@me.com"/>
        <s v="juan.rojas@mail.com"/>
        <s v="carlitazarate@hotmail.com"/>
        <s v="donmekia@gmail.com"/>
        <s v="neymarjraquino@gmail.com"/>
        <s v="piero.lavado.30@gmail.com"/>
        <s v="gedem.peru@gmail.com"/>
        <s v="brancopj1234@gmail.com"/>
        <s v="jpeventsperu@gmail.com"/>
        <s v="juarezelvis9@gmail.com"/>
        <s v="valdiviafiorella662@gmail.com"/>
        <s v="uchivalencia@hotmail.com"/>
        <s v="ecomae2022@gmail.com"/>
        <s v="javierpinto.mail@gmail.com"/>
        <s v="malenachd@hotmail.com"/>
        <s v="katiafortunatti@gmail.com"/>
        <s v="danieljgf123@gmail.com"/>
        <s v="juparuamazon3063@gmail.com"/>
        <s v="jaycobcalebpu@gmail.com"/>
        <s v="coralantuane@gmail.com"/>
        <s v="angely@cliclatam.com"/>
        <s v="reinamonasterio1@hotmail.com"/>
        <s v="abogadoarmando.bernal@gmail.com"/>
        <s v="lopessouza2909@gmail.com"/>
        <s v="giovannihp26@gmail.com"/>
        <s v="tavicon@hotmail.com"/>
        <s v="luisausejom@gmail.com"/>
        <s v="casa_omar@yahoo.es"/>
        <s v="jorgeluisvasquez1996@gmail.com"/>
        <s v="braddtorres@gmail.com"/>
        <s v="renato.ismael@hotmail.com"/>
        <s v="andresaldana177@gmail.com"/>
        <s v="casv1927@gmail.com"/>
        <s v="acn@ecosus.mx"/>
        <s v="eufranciscomiranda@gmail.com"/>
        <s v="elencantodelrioutcubamba@gmail.com"/>
        <s v="yeam2277@gmail.com"/>
        <s v="alex198343@gmail.com"/>
        <s v="brianleon1004@gmail.com"/>
        <s v="davidvelfaus@gmail.com"/>
        <s v="jorgeflores2810@gmail.com"/>
        <s v="teuscaetano@gmail.com"/>
        <s v="elyduenaslicona@gmail.com"/>
        <s v="jimmydavidr@gmail.com"/>
        <s v="edaramiz@gmail.com"/>
        <s v="miriamrospigliosi@hotmail.com"/>
        <s v="rhodaanioke19@gmail.com"/>
        <s v="jerzontp1@gmail.com"/>
        <s v="isaiasmega3@gmail.com"/>
        <s v="votormatheusnazario@gmail.com"/>
        <s v="adanig.oficial@gmail.com"/>
        <s v="solutecme1.ags@gmail.com"/>
        <s v="contacto.zavala7@gmail.com"/>
        <s v="rony2000hebert@gmail.com"/>
        <s v="28999137954y@gmail.com"/>
        <s v="edivaniafranca32@gmail.com"/>
        <s v="renataribeiro1984r@gmail.com"/>
        <s v="aleymirdz@gmail.com"/>
        <s v="rcalvao25@gmail.com"/>
        <s v="viraup@gmail.com"/>
        <s v="quebarbaridadtortasymas@gmail.com"/>
        <s v="pedritochouci@gmail.com"/>
        <s v="vendas@rastrekserragaucha.com.br"/>
        <s v="jorgealvarezflores55@gmail.com"/>
        <s v="francyplay.tv@gmail.com"/>
        <s v="aaliagag@outlook.es"/>
        <s v="jonas@agromixagricola.com.br"/>
        <s v="g7studiomusic@gmail.com"/>
        <s v="mobileshoptabasco@gmail.com"/>
        <s v="cdaiana26@gmail.com"/>
        <s v="josekarloscuenca@gmail.com"/>
        <s v="saveramendidelgado@gmail.com"/>
        <s v="glimport.pe@gmail.com"/>
        <s v="whengintecgeos@gmail.com"/>
        <s v="videomagicperu@gmail.com"/>
        <s v="japsmax800@gmail.com"/>
        <s v="lupita10@hotmail.com"/>
        <s v="avdiel13denov@outlook.es"/>
        <s v="papelariaunicornio@gmail.com"/>
        <s v="lilyher07@gmail.com"/>
        <s v="jlkisic@chaccu.pe"/>
        <s v="sergioarturohuaco@gmail.com"/>
        <s v="danielloyalty21@hotmail.com"/>
        <s v="katherinecelestinoparra@gmail.com"/>
        <s v="multi.commerce.peru@gmail.com"/>
        <s v="torrescanales0103@gmail.com"/>
        <s v="allison.mar28@gmail.com"/>
        <s v="mueblumperu@gmail.com"/>
        <s v="susanacarojas@gmail.com"/>
        <s v="daniel.guerra.cam@gmail.com"/>
        <s v="lupercaq@gmail.com"/>
        <s v="jhordansuyonsanchez10@gmail.com"/>
        <s v="jhonnyfv15@gmail.com"/>
        <s v="alejodealencar@hotmail.com"/>
        <s v="lcachay@gruposaymat.com"/>
        <s v="omar.quintanaguzman@gmail.com"/>
        <s v="marie_cartf@outlook.com"/>
        <s v="karinachitetafur@gmail.com"/>
        <s v="giulianaegp@gmail.com"/>
        <s v="aprendizajeanzan@gmail.com"/>
        <s v="regysblack@gmail.com"/>
        <s v="carlosfelipe.ag@gmail.com"/>
        <s v="diasporciuncula@gmail.com"/>
        <s v="john.c.zevallos@gmail.com"/>
        <s v="gerardo.c.n60@gmail.com"/>
        <s v="guillermo.benites@pucp.edu.pe"/>
        <s v="sistemas.esppi@gmail.com"/>
        <s v="villegasarcecarlos@gmail.com"/>
        <s v="creyq@proton.me"/>
        <s v="flordemapese67@gmail.com"/>
        <s v="nanai.anya.8@gmail.com"/>
        <s v="mario.zapcol@gmail.com"/>
        <s v="rjimports44@gmail.com"/>
        <s v="amomes2@outlook.com"/>
        <s v="evyka.vb@gmail.com"/>
        <s v="romanss.2502@gmail.com"/>
        <s v="tonyalvario@gmail.com"/>
        <s v="crislany081@gmail.com"/>
        <s v="daniel.manchego@gmail.com"/>
        <s v="lobo17052@gmail.com"/>
        <s v="kelvinlopezmunoz@gmail.com"/>
        <s v="bocanegragarciaw@gmail.com"/>
        <s v="martin.bravo@isysperu.com"/>
        <s v="l.castaneda1079@gmail.com"/>
        <s v="jaqdch@gmail.com"/>
        <s v="moisesoliveira.morais@gmail.com"/>
        <s v="fabiolamkt0201@gmail.com"/>
        <s v="maiquelhoch@hotmail.com"/>
        <s v="venusmiaeirl@outlook.com"/>
        <s v="fofuchos1984@gmail.com"/>
        <s v="bbaumann@brillare.com.pe"/>
        <s v="veceff.chatgpt1@gmail.com"/>
        <s v="hehabe@gmail.com"/>
        <s v="queirosmoises15@gmail.com"/>
        <s v="contrerasm.franco@gmail.com"/>
        <s v="cristhianz.bosch@gmail.com"/>
        <s v="dzapata@outlook.com.pe"/>
        <s v="amayajjc1@gmail.com"/>
        <s v="milerccotacuadros0@gmail.com"/>
        <s v="delperuexport@hotmail.com"/>
        <s v="mayromar.hernandez@margapacas.com"/>
        <s v="cerezaytulipan@gmail.com"/>
        <s v="diegohidalgor20@gmail.com"/>
        <s v="norkalindauno@gmail.com"/>
        <s v="adrianaramon214@gmail.com"/>
        <s v="fernandez121102@gmail.com"/>
        <s v="robersonquinte@gmail.com"/>
        <s v="borsho@hotmail.com"/>
        <s v="rubianaaparecidavieira541@gmail.com"/>
        <s v="argelboys@gmail.com"/>
        <s v="maquinarias.jchc@outlook.com"/>
        <s v="scortooc64@gmail.com"/>
        <s v="admin@ayrsystems.com"/>
        <s v="ivanloyola@outlook.com"/>
        <s v="andruzo2402@hotmail.com"/>
        <s v="dianavalenciavillar1@gmail.com"/>
        <s v="pachamamatour@live.com"/>
        <s v="yimiyc22@gmail.com"/>
        <s v="nanabenavides231@gmail.com"/>
        <s v="vvillavicenciorios@gmail.com"/>
        <s v="lifewatersolucionintegral@gmail.com"/>
        <s v="reyesismael1204@gmail.com"/>
        <s v="yovanigonza20@gmail.com"/>
        <s v="grsydev@gmail.om"/>
        <s v="cesar.geminiia@gmail.com"/>
        <s v="sisaishoes@gmail.com"/>
        <s v="jowifenu@gmail.com"/>
        <s v="rubenyian09@gmail.com"/>
        <s v="joserodolfosequera942@gmail.com"/>
        <s v="emilio.ruben.66@hotmail.com"/>
        <s v="blancodayanaamparo@gmail.com"/>
        <s v="jairfloresjuarez@gmail.com"/>
        <s v="logisticamontenegro4@gmail.com"/>
        <s v="gelnaturalia@gmail.com"/>
        <s v="maluweber2011@hotmail.com"/>
        <s v="ytlafitteremax@gmail.com"/>
        <s v="jeancarlo.guzman.arana@gmail.com"/>
        <s v="soporteonline.tamuperu@gmail.com"/>
        <s v="mayrarompin2025@gmail.com"/>
        <s v="magalysorianoingaroca@gmail.com"/>
        <s v="jorgecotrinaa@gmail.com"/>
        <s v="sotoorjose@gmail.com"/>
        <s v="christianchangh@gmail.com"/>
        <s v="reyserjoselito7@gmail.com"/>
        <s v="libradomartinez08@gmail.com"/>
        <s v="joseceb37@gmail.com"/>
        <s v="jfsolucionesonline@gmail.com"/>
        <s v="almeidawelliton6@gmail.com"/>
        <s v="araujobernardesw@gmail.com"/>
        <s v="msla0415@gmail.com"/>
        <s v="qrofinan@gmail.com"/>
        <s v="jlucho501@gmail.com"/>
        <s v="masaros@hotmail.com"/>
        <s v="moni.osorioa@gmail.com"/>
        <s v="altamiranocabanillasfabian@gmail.com"/>
        <s v="contact@dlrealstate.com"/>
        <s v="abduskanxxx@gmail.com"/>
        <s v="mundosobreruedas12@gmail.com"/>
        <s v="contato@donnaamorapapelaria.com.br"/>
        <s v="dicorp.fama@gmail.com"/>
        <s v="juniorsilva1408@hotmail.com"/>
        <s v="mija991@hotmail.com"/>
        <s v="sornettag@gmail.com"/>
        <s v="pq_parloth@hotmail.com"/>
        <s v="renehonores@gmail.com"/>
        <s v="aservatv@gmail.com"/>
        <s v="syamstreetwearclouth@gmail.com"/>
        <s v="guarnicolas@gmail.com"/>
        <s v="melissa.tang.06@outlook.com"/>
        <s v="ebortoni@hotmail.com"/>
        <s v="luighieandre01@gmail.com"/>
        <s v="lecarr08@gmail.com"/>
        <s v="cesarestefanonolascosotelo@gmail.com"/>
        <s v="jhop.aqp@gmail.com"/>
        <s v="df_carol2@hotmail.com"/>
        <s v="ademirapazalazo24@gmail.com"/>
        <s v="fabriciobryanlucca@gmail.com"/>
        <s v="info@erisproductora.com"/>
        <s v="sancrisrestobar@gmail.com"/>
        <s v="diedisondias97@gmail.com"/>
        <s v="fredyyhonyquispeyucra@gmail.com"/>
        <s v="paulohenriqueabreu1995@gmail.com"/>
        <s v="crst4cris@gmail.com"/>
        <s v="aaronvizcardovasquez@gmail.com"/>
        <s v="reyesdario@yahoo.com.mx"/>
        <s v="cjfiguerola@gmail.com"/>
        <s v="rjab0815@gmail.com"/>
        <s v="danilorosati988@gmail.com"/>
        <s v="deleon57cesar@gmail.com"/>
        <s v="majlufgabriel@gmail.com"/>
        <s v="paulohenriky2019@gmail.com"/>
        <s v="cintian296@gmail.com"/>
        <s v="evolucion_sol@hotmail.com"/>
        <s v="kevinbazang@gmail.com"/>
        <s v="saidap178@gmail.com"/>
        <s v="juhfilippini@gmail.com"/>
        <s v="susanavgpenagos@live.com"/>
        <s v="contato@ameparteplanejados.com.br"/>
        <s v="eralinks77@gmail.com"/>
        <s v="santi3185_8@hotmail.com"/>
        <s v="jovemforti@gmail.com"/>
        <s v="alfredo.rossano@gmail.com"/>
        <s v="saricordovatello@gmail.com"/>
        <s v="jose_lu7s@icloud.com"/>
        <s v="patriciaguerraprudencio1234@gmail.com"/>
        <s v="rolandorokas@gmail.com"/>
        <s v="info@moalilab.com"/>
        <s v="salimvat@gmail.com"/>
        <s v="josuedilas@gmail.com"/>
        <s v="dorantes.lara.carlos@gmail.com"/>
        <s v="cardozafloresnestor@gmail.com"/>
        <s v="joaoalarconm@gmail.com"/>
        <s v="juansalcy@gmail.com"/>
        <s v="alix_11pg@hotmail.com"/>
        <s v="alejandromonzon12k@gmail.com"/>
        <s v="harrisonleoncastro@gmail.com"/>
        <s v="esaucg.wings@gmail.com"/>
        <s v="miangel_1221@hotmail.com"/>
        <s v="luisevistpe@gmail.com"/>
        <s v="sistema.cafeeet@gmail.com"/>
        <s v="teresajserrano@gmail.com"/>
        <s v="xanka0424@gmail.com"/>
        <s v="elpatron24113@gmail.com"/>
        <s v="alcirmorais@hotmail.com"/>
        <s v="gregorioescalona@gmail.com"/>
        <s v="marialuciaotoyafort@icloud.com"/>
        <s v="pomar047@gmail.com"/>
        <s v="oscartespejo@gmail.com"/>
        <s v="homecineba@gmail.com"/>
        <s v="mrojasy20@gmail.com"/>
        <s v="drgindustriesco@gmail.com"/>
        <s v="suzandezo15@gmail.com"/>
        <s v="joaoebergamo@gmail.com"/>
        <s v="monzonlisbeth0@gmail.com"/>
        <s v="raimundosilva160895@gmail.com"/>
        <s v="rmacossay@gmail.com"/>
        <s v="edvaldoconrado1971@outlook.com"/>
        <s v="daiana.moorena@gmail.com"/>
        <s v="banv1991@gmail.com"/>
        <s v="rosanasousa2904@gmail.com"/>
        <s v="josmarleyj14@gmail.com"/>
        <s v="diegoguiop3579@gmail.com"/>
        <s v="unfoldingnewera@gmail.com"/>
        <s v="sanmelmar@gmail.com"/>
        <s v="donfma7@gmail.com"/>
        <s v="patty36_2001@hotmail.com"/>
        <s v="jlms.pepe.26@gmail.com"/>
        <s v="anderson.villarm@gmail.com"/>
        <s v="leslymeregildo4@gmail.com"/>
        <s v="marcioromao125@gmail.com"/>
        <s v="uelitonluciano321@gmail.com"/>
        <s v="rosivaldomiiranda@gmail.com"/>
        <s v="fotostudiovisionoficial@gmail.com"/>
        <s v="walterfcf1987@gmail.com"/>
        <s v="kignbu@gmail.com"/>
        <s v="a.villalta.m@gmail.com"/>
        <s v="elgrueso0408@hotmail.com"/>
        <s v="wainereis7@gmail.com"/>
        <s v="slacruzg@gmail.com"/>
        <s v="javierestrada67@hotmail.com"/>
        <s v="asesconta_eirl@hotmail.com"/>
        <s v="mferran1974@gmail.com"/>
        <s v="romerosamanezi@gmail.com"/>
        <s v="refrimasf_buzo@yahoo.es"/>
        <s v="layout1@gmail.com"/>
        <s v="mariachimexicotrovador@gmail.com"/>
        <s v="rivasnoriegajavier@hotmail.com"/>
        <s v="namiegerbi47@gmail.com"/>
        <s v="henry.gomez@centralcallperu.com"/>
        <s v="cexicalderon7526@gmail.com"/>
        <s v="vesgadelvina@gmail.com"/>
        <s v="yeison03517@gmail.com"/>
        <s v="miguelarmandomagallanesramos@gmail.com"/>
        <s v="aesita@hotmail.com"/>
        <s v="danielsfc55@gmail.com"/>
        <s v="moises.mix888@gmail.com"/>
        <s v="rosangelaaragao2018@gmail.com"/>
        <s v="lifepapelaria@hotmail.com"/>
        <s v="bandaramon03@gmail.com"/>
        <s v="abrahamnum369@yahoo.com"/>
        <s v="mariadelaluzmatacruz@gmail.com"/>
        <s v="lourisvaldo.elias@bol.com.br"/>
        <s v="jlopezp07@gmail.com"/>
        <s v="johandrl415@gmail.com"/>
        <s v="vibepapelaria@gmail.com"/>
        <s v="lobanaart@gmail.com"/>
        <s v="gfernandes1408@gmail.com"/>
        <s v="biancajeruzanicolaujeruza@gmail.com"/>
        <s v="modainfantilgirafafa@gmail.com"/>
        <s v="eduardo.victor.dourado@gmail.com"/>
        <s v="herman_1997_21@hotmail.com"/>
        <s v="gtcom.constructor@gmail.com"/>
        <s v="tcoronelguerrero@gmail.com"/>
        <s v="kristellangelina.040220@gmail.com"/>
        <s v="aldair67432@gmail.com"/>
        <s v="franciscoplumeda069@gmail.com"/>
        <s v="genejamesestrella@gmail.com"/>
        <s v="c.molinah1980@gmail.com"/>
        <s v="alexiscmfl@gmail.com"/>
        <s v="diegojordan2222@gmail.com"/>
        <s v="cocilab10@hotmail.com"/>
        <s v="kleysonvasquezolano@gmail.com"/>
        <s v="davidmilla2803@gmail.com"/>
        <s v="jorge.luna201058@gmail.com"/>
        <s v="paolahuertazegarra@gmail.com"/>
        <s v="alanagustintl@gmail.com"/>
        <s v="jabela@hotmail.com"/>
        <s v="jhonborjacarhuaz@gmail.com"/>
        <s v="albertomendez198000@gmail.com"/>
        <s v="lizartea@hotmail.com"/>
        <s v="carnesecaleondeldesierto@hotmail.com"/>
        <s v="rebecaparedes20@gmail.com"/>
        <s v="magallas@gmail.com"/>
        <s v="rivb1983@gmail.com"/>
        <s v="glnpubliservicios@gmail.com"/>
        <s v="publizam@yahoo.com.pe"/>
        <s v="lucaspavelprado@gmail.com"/>
        <s v="scj1123villalba@gmail.com"/>
        <s v="internetencasamx@gmail.com"/>
        <s v="miguelangelferminibeltran@gmail.com"/>
        <s v="nacyrmz@gmail.com"/>
        <s v="erickpizarro@outlook.com"/>
        <s v="jorgebusgib@gmail.com"/>
        <s v="secretariadoymarchaurel@gmail.com"/>
        <s v="sheryguerra99@gmail.com"/>
        <s v="marcelokarras@gmail.com"/>
        <s v="corpreylezsac@gmail.com"/>
        <s v="coronelrodriguezl82@gmail.com"/>
        <s v="eunice.maytan@gmail.com"/>
        <s v="gerrypizarro@outlook.com"/>
        <s v="varchi1982@gmail.com"/>
        <s v="raianeluciana167@gmail.com"/>
        <s v="wilcar2000@gmail.com"/>
        <s v="deivid30777@gmail.com"/>
        <s v="coronelmolero@outlook.es"/>
        <s v="evabienesraices70@gmail.com"/>
        <s v="massrijirge319@gmail.com"/>
        <s v="creatingjh@gmail.com"/>
        <s v="alexcq.seo@gmail.com"/>
        <s v="fritzhr58@gmail.com"/>
        <s v="importexportrodrenco@gmail.com"/>
        <s v="arturo.ramirez.m35@gmail.com"/>
        <s v="flores.mauriciof40@gmail.com"/>
        <s v="lsilvag@pj.gob.pe"/>
        <s v="industriasalimentarias2012@gmail.com"/>
        <s v="gabrielbarrales@yahoo.com.mx"/>
        <s v="cayoavilac1802@gmail.com"/>
        <s v="tomsaa8520@gmail.com"/>
        <s v="storecolombia29@gmail.com"/>
        <s v="luiseduardo2328@msn.com"/>
        <s v="diogenessfilho2014@gmail.com"/>
        <s v="ccasainmobiliariacm@gmail.com"/>
        <s v="epachas00@gmail.com"/>
        <s v="99992025679elzivanbarbosacorreia3@gmail.com"/>
        <s v="eduardokevin_321@hotmail.com"/>
        <s v="oscar.silva@holaamigo.ai"/>
        <s v="ramirezsintya6@gemail.com"/>
        <s v="mauriciorogelioc270@gmail.com"/>
        <s v="tricia.almeida.produtora03@gmail.com"/>
        <s v="valdo.corretordeimoveis@gmail.com"/>
        <s v="marrerosvallesj@gmail.com"/>
        <s v="spardo3007@gmail.com"/>
        <s v="joel.rodriguez@domedicperugroup.com"/>
        <s v="fabianc@yaveendio.com"/>
        <s v="adrianaesther.eams@gmail.com"/>
        <s v="canchiswalter4@gmail.com"/>
        <s v="calcadosmontez@gmail.com"/>
        <s v="maryvieiradias10@gmail.com"/>
        <s v="mannygonzalez8388@gmail.com"/>
        <s v="joseandreslimaymantahernandez@gmail.com"/>
        <s v="robertoradioitaipu@hotmail.com"/>
        <s v="msalinas@imacosa.com"/>
        <s v="yashacpalacios@yavendio.com"/>
        <s v="flashesememorias@gmail.com"/>
        <s v="fabracostasc@gmail.com"/>
        <s v="luismatta19778@gmail.com"/>
        <s v="p2stravelsandoval19@gmail.com"/>
        <s v="patrickzucan@hotmail.com"/>
        <s v="jcgolguin@gmail.com"/>
        <s v="tequilacastadereyes@gmail.com"/>
        <s v="padillaalvarez777@gmail.com"/>
        <s v="pradopaviasmariadejesus@gmail.com"/>
        <s v="oa988342@gmail.com"/>
        <s v="verodiaznoel2021@gmail.com"/>
        <s v="govida1823@gmail.com"/>
        <s v="rafacastro1505@gmail.com"/>
        <s v="yhosnoa30@gmail.com"/>
        <s v="tatysolrasta@gmail.com"/>
        <s v="maestri601@gmail.com"/>
        <s v="mpomr1111@gmail.com"/>
        <s v="d.jtaipeq@gmail.com"/>
        <s v="jairoazaelrodri@gmail.com"/>
        <s v="tortasgianjorge@gmail.com"/>
        <s v="flypantergold@gmail.com"/>
        <s v="emigdiozambrano11@gmail.com"/>
        <s v="neurivaldorsouza@gmail.com"/>
        <s v="lucio.yen@yavendio.com"/>
        <s v="mrosadio@spi.com.pe"/>
        <s v="elviotintaya@gmail.com"/>
        <s v="robertfire110@gmail.com"/>
        <s v="renesoto640312@gmail.com"/>
        <s v="apgm2050@gmail.com"/>
        <s v="pilarcastromendivil@gmail.com"/>
        <s v="cocopizarro@gmail.com"/>
        <s v="argeliahernandezdiaz2@gmail.com"/>
        <s v="danilodavilapezo@gmail.com"/>
        <s v="almalaura1269@gmail.com"/>
        <s v="thalitacastro162@gmail.com"/>
        <s v="igrimaldo35@gmail.com"/>
        <s v="elardponce1975@gmail.com"/>
        <s v="joserobertorengifodiaz@hotmail.com"/>
        <s v="genesis_star_10@hotmail.com"/>
        <s v="rr00eell2017@gmail.com"/>
        <s v="impulsor.100@gmail.com"/>
        <s v="segovia24adriano@gmail.com"/>
        <s v="ivan.camcruz@gmail.com"/>
        <s v="taurojvz6@gmail.com"/>
        <s v="jeferssonadri2012@gmail.com"/>
        <s v="dinar_taypep@hotmail.com"/>
        <s v="amaralespinoza25@gmail.com"/>
        <s v="lugofema2025@gmail.com"/>
        <s v="yolis.terapia7@gmail.com"/>
        <s v="jcarlos220565@gmail.com"/>
        <s v="cyberplay.com.mx@gmail.com"/>
        <s v="jhelwer@gmail.com"/>
        <s v="carrilloangie845@gmail.com"/>
        <s v="miguelquispegonzales@gmail.com"/>
        <s v="lucicleiasilvasouza59@gmail.com"/>
        <s v="jjpedrazab@gmail.com"/>
        <s v="lazaroponce.asesor@gmail.com"/>
        <s v="milange5977@gmail.com"/>
        <s v="mpinedag@prodigy.net.mx"/>
        <s v="juanantoniomartinezbarros@gmail.com"/>
        <s v="darkstudiocreationsx@gmail.com"/>
        <s v="ingridrch0@gmail.com"/>
        <s v="veronicacooking72@gmail.com"/>
        <s v="angelo.311298@gmail.com"/>
        <s v="toni_8669@hotmail.com"/>
        <s v="valdeirrocha@gmail.com"/>
        <s v="lopezrjorge1@yahoo.com.mx"/>
        <s v="megaeasydrop2026@gmail.com"/>
        <s v="dsadelita@gmail.com"/>
        <s v="orionyaurora@gmail.com"/>
        <s v="albertogaraundo@gmail.com"/>
        <s v="carlosrevillaab@gmail.com"/>
        <s v="red.davidsotelo@hotmail.com"/>
        <s v="donovandavid057@gmail.com"/>
        <s v="juancachay839@gmail.com"/>
        <s v="tukasa.ver@gmail.com"/>
        <s v="galexparra.apv@gmail.com"/>
        <s v="janetbarnet0729@gmail.com"/>
        <s v="conscienciasistemicabrilla@gmail.com"/>
        <s v="luisfernandomaldonadofranco6@gmail.com"/>
        <s v="maysilva5787you@gmail.com"/>
        <s v="chelorsdrop@gmail.com"/>
        <s v="control.calidad@consultorahasv.com"/>
        <s v="limaozinhodoce123@gmail.com"/>
        <s v="emmanuel.zavaleta.arenas@gmail.com"/>
        <s v="milverpaitan@gmail.com"/>
        <s v="lonuevostoreperu@gmail.com"/>
        <s v="miguelangelperezcampos31@gmail.com"/>
        <s v="darnielcaceres13@gmail.com"/>
        <s v="xxspartanxx58@gmail.com"/>
        <s v="fernandobattistini18@gmail.com"/>
        <s v="carlota.tecvendas74@gmail.com"/>
        <s v="fsestari93@gmail.com"/>
        <s v="dipetaloco@gmail.com"/>
        <s v="mbaez.export@gmail.com"/>
        <s v="danyfiorellaz@gmail.com"/>
        <s v="pjmcpe1@gmail.com"/>
        <s v="yazini.flores@mercargosac.com"/>
        <s v="jeanrosamistica5831@gmail.com"/>
        <s v="ds7886559@gmail.com"/>
        <s v="adamapma1@gmail.com"/>
        <s v="margorie.alvites@gmail.com"/>
        <s v="policas2165@gmail.com"/>
        <s v="oswaldo1976e@gmail.com"/>
        <s v="lavacayoghee@gmail.com"/>
        <s v="newealenochoa1@outlook.com"/>
        <s v="jpg_grey100@hotmail.com"/>
        <s v="karlavieira705@gmail.com"/>
        <s v="jv1632995@gmail.com"/>
        <s v="travelssunmoon@hotmail.com"/>
        <s v="jmaldoradin27@gmail.com"/>
        <s v="lizpamelasp@gmail.com"/>
        <s v="martin.leon.medina799@gmail.com"/>
        <s v="alexadriano14df@gmail.com"/>
        <s v="pabs.ventas25@gmail.com"/>
        <s v="oinderortiz@gmail.com"/>
        <s v="julietap7@yahoo.es"/>
        <s v="chavarriarichard76@gmail.com"/>
        <s v="arturomercadotecnia20@gmail.com"/>
        <s v="chapopuccecristhiab@gmail.com"/>
        <s v="josueuscatalima456@gmail.com"/>
        <s v="marinolokito100@gmail.com"/>
        <s v="sergioempreedimento@gmail.com"/>
        <s v="perlitamishelrios@gmail.com"/>
        <s v="cardosomonica109@gmail.com"/>
        <s v="jdada9592@gmail.com"/>
        <s v="kevimozombite@gmail.com"/>
        <s v="edgarestevez.7@gmail.com"/>
        <s v="garrafutbolchih@hotmail.com"/>
        <s v="sevarchi2027@gmail.com"/>
        <s v="paisajismo290@gmail.com"/>
        <s v="salazarsilva5@gmail.com"/>
        <s v="gabrielakrolinam1501@gmail.com"/>
        <s v="perezvelezdevillajeanpaul@gmail.com"/>
        <s v="moy277777@gmail.com"/>
        <s v="edgarguillen1@gmail.com"/>
        <s v="alcederbarrerarivera767@gmail.com"/>
        <s v="michaelmh365@gmail.com"/>
        <s v="penguinstorelatam@gmail.com"/>
        <s v="omarengifotuesta@gmail.com"/>
        <s v="shicbes@gmail.com"/>
        <s v="yajairacardenas83@gmail.com"/>
        <s v="alexandrasainez@gmail.com"/>
        <s v="diegosepjimz@gmail.com"/>
        <s v="juansixtoclavijoalvines199@gmail.com"/>
        <s v="nathalyrequenag@gmail.com"/>
        <s v="domingocl77@gmail.com"/>
        <s v="rosa@rymtextiles.net"/>
        <s v="soportealexis5@gmail.com"/>
        <s v="icla12@hotmail.com"/>
        <s v="nayusouza2@gmail.com"/>
        <s v="wendy.rueda@outlook.com"/>
        <s v="cesarjar7568@gmail.com"/>
        <s v="paco_nava11@hotmail.com"/>
        <s v="cleomarmendes49@gmail.com"/>
        <s v="alang@yavendio.com"/>
        <s v="marii_mdc10@hotmail.com"/>
        <s v="jhonatanbauer21@gmail.com"/>
        <s v="maateus321@gmail.com"/>
        <s v="elsitamg294@gmail.com"/>
        <s v="victordna4@gmail.com"/>
        <s v="cubasportalj@gmail.com"/>
        <s v="pepo05623@gmail.com"/>
        <s v="lissettegomeroq@gmail.com"/>
        <s v="yefer111184@gmail.com"/>
        <s v="rubeomgcristian@gmail.com"/>
        <s v="cristianarriluceaalvarez@gmail.com"/>
        <s v="jb56sandin@gmail.com"/>
        <s v="vivianesantana88737@gmail.com.br"/>
        <s v="bety19822125@gmail.com"/>
        <s v="blanca06182527@gmail.com"/>
        <s v="angel.abreu.picon@gmail.com"/>
        <s v="lopeztenazoasamir@gmail.com"/>
        <s v="lg_gbyrne@hotmail.com"/>
        <s v="carmrlita216@gmail.com"/>
        <s v="martinkongm@gmail.com"/>
        <s v="farid2203xd@gmail.com"/>
        <s v="gianz.ancori@gmail.com"/>
        <s v="gfmancha@gmail.com"/>
        <s v="andres.castro957@gmail.com"/>
        <s v="083106zapata@gmail.com"/>
        <s v="admin@cliclatam.com"/>
        <s v="daniel@depecorp.com"/>
        <s v="wasicheqlla@gmail.com"/>
        <s v="ladionilso1@gmail.com"/>
        <s v="joaquinnavabenitez@gmail.com"/>
        <s v="hanssel.sanchez@gmail.com"/>
        <s v="newcorporationapc@gmail.com"/>
        <s v="yushirodelgado2010@gmail.com"/>
        <s v="9tolagenaro36@gmail.com"/>
        <s v="sebas2007saor@gmail.com"/>
        <s v="melgarr706@gmail.com"/>
        <s v="kennyvillcas@gmail.com"/>
        <s v="juanvidsan@gmail.com"/>
        <s v="alejandroalmaraz976@gmail.com"/>
        <s v="mueblesmuevan@gmail.com"/>
        <s v="parausop43@gmail.com"/>
        <s v="josechemacruz1@gmail.com"/>
        <s v="jhon.silva.10@unsch.edu.pe"/>
        <s v="hannanicol.09@gmail.com"/>
        <s v="afernandezchavez@gmail.com"/>
        <s v="m.lehandro79@gmail.com"/>
        <s v="victorportillo468@gmail.com"/>
        <s v="zullycn69@gmail.com"/>
        <s v="favian1snaider2@gmail.com"/>
        <s v="waltersantamaria808@gmail.com"/>
        <s v="gabo23mzo@gmail.com"/>
        <s v="finitareyes3636@gmail.com"/>
        <s v="palaciosjoss034@gmail.com"/>
        <s v="vanessaespinozapaucar@gmail.com"/>
        <s v="vsaavedrasuarez29@hotmail.com"/>
        <s v="leogameplayps3@gmail.com"/>
        <s v="maguilar020172@gmail.com"/>
        <s v="juanmiguelcrescencio2122@gmail.com"/>
        <s v="mickey666ce@hotmail.com"/>
        <s v="katrinasimports@gmail.com"/>
        <s v="victormorineau1956@yahoo.com.mx"/>
        <s v="elmerparionayauri7@gmail.com"/>
        <s v="sergio.arias28@gmail.com"/>
        <s v="kevincesar1000@hotmail.com"/>
        <s v="fpulido@zucarmex.com"/>
        <s v="emilianomerida61@yahoo.com"/>
        <s v="jorgelegal33@hotmail.com"/>
        <s v="zeulogis@gmail.com"/>
        <s v="mareniajewelry@gmail.com"/>
        <s v="josealbertovazquezgonzalez@gmail.com"/>
        <s v="vicent.garay@gmail.com"/>
        <s v="amasifuen.d.c.1@mail.com"/>
        <s v="jovarcor1@gmail.com"/>
        <s v="se.lugo@hotmail.com"/>
        <s v="jenyolinda@hotmail.com"/>
        <s v="carlachamorro162@gmail.com"/>
        <s v="ta393882@gmail.com"/>
        <s v="contacto.publiapp@gmail.com"/>
        <s v="rivelino.chavez.aguedo@gmail.com"/>
        <s v="amelia.martinez@tecmilenio.mx"/>
        <s v="zarazuagabriel518@gmail.com"/>
        <s v="legiondecain@gmail.com"/>
        <s v="davidbernals2211@gmail.com"/>
        <s v="martelvillarf@gmail.com"/>
        <s v="medina560708@yahoo.com.mx"/>
        <s v="floryamval@gmail.com"/>
        <s v="jhonalex140@gmail.com"/>
        <s v="jandernayipd@gmail.com"/>
        <s v="miguelangel@solube.com.mx"/>
        <s v="claveloviedo@gmail.com"/>
        <s v="jeferdelacruz@gmail.com"/>
        <s v="josericardojurado98@gmail.com"/>
        <s v="antoniiomtzam4@gmail.com"/>
        <s v="palo.quequieras04@gmail.com"/>
        <s v="alejandro.montoyac87@gmail.com"/>
        <s v="sevenwordsbusinessgroup@gmail.com"/>
        <s v="bcalderonjaramillo07@gmail.com"/>
        <s v="christian_pvaldez@hotmail.com"/>
        <s v="walter77.mendoza@gmail.com"/>
        <s v="seres93salas@gmail.com"/>
        <s v="llennovieira3@gmail.com"/>
        <s v="mcashuzumaeta@gmail.com"/>
        <s v="angelapacco8@gmail.com"/>
        <s v="dcasedcase2020@gmail.com"/>
        <s v="martinpiste135@gmail.com"/>
        <s v="chisito123pez@agmil.com"/>
        <s v="9842052179j@gmail.com"/>
        <s v="luytus93@gmail.com"/>
        <s v="barretodavi050@gmail.com"/>
        <s v="cibork192489@gmail.com"/>
        <s v="projetoseixosproducoes@gmail.com"/>
        <s v="verodrca@gmail.com"/>
        <s v="wendy.wpa65@gmail.com"/>
        <s v="cdu2721@gmail.com"/>
        <s v="peruanadepublicidad@yahoo.com"/>
        <s v="jp.fabiana1@gmail.com"/>
        <s v="19642212salva@gmail.com"/>
        <s v="rousfloresvilca29@gmail.com"/>
        <s v="creamuebles.peru@gmail.com"/>
        <s v="lovenayeli87@gmail.com"/>
        <s v="royersolari24@gmail.com"/>
        <s v="marielasotelo2000@hotmail.com"/>
        <s v="argicoal2016@gmail.com"/>
        <s v="dakota.joka@gmail.com"/>
        <s v="kenethpanduro@gmail.com"/>
        <s v="iesppdidascaliojesusmaestro@gmail.com"/>
        <s v="victorshaddai.edu.pe@gmail.com"/>
        <s v="juniordiazcabanillas03@gmail.com"/>
        <s v="coesocratesmorigrandez@gmail.com"/>
        <s v="adrianlipo2016@gmail.com"/>
        <s v="herediagoicocheayaqueline82@gmaill.com"/>
        <s v="vanespanic79@gmail.com"/>
        <s v="hectorlopez0024@gmail.com"/>
        <s v="yolandap848@yahoo.es"/>
        <s v="beatrizvilca22@gmail.com"/>
        <s v="jhon336luna@hotmail.com"/>
        <s v="claudioribeirok22@gmail.com"/>
        <s v="snupdrack1@outlook.com"/>
        <s v="antoniamaryaneso@gmail.com"/>
        <s v="uaiartspapelariapersonalizada@gmail.com"/>
        <s v="angelitooo2402@gmail.com"/>
        <s v="albuquerque.consultoria20@gmail.com"/>
        <s v="fishermoro987@gmail.com"/>
        <s v="fg1460847@gmail.com"/>
        <s v="deboracristinamancio@gmail.com"/>
        <s v="begrim.1260@gmail.com"/>
        <s v="sandovalarruejuanenrique@gmail.com"/>
        <s v="aruizaching@gmail.com"/>
        <s v="mnu1314.iepsl@gmail.com"/>
        <s v="chriscffitness@gmail.com"/>
        <s v="capazattito1979@gmail.com"/>
        <s v="grupozas@hotmail.com"/>
        <s v="ackuario228@gmail.com"/>
        <s v="leonardoepriscilla70@gmail.com"/>
        <s v="naturalcontactcenter@gmail.com"/>
        <s v="jtz4555@gmail.com"/>
        <s v="grossinmet@gmail.com"/>
        <s v="franzjyj2003@gmail.com"/>
        <s v="melinarodriguezpozo@gmail.com"/>
        <s v="s4muelcalderon@gmail.com"/>
        <s v="maribelruiz2010@gmail.com"/>
        <s v="saidmatukvalerie073015@gmail.com"/>
        <s v="genesiojesuslira24@gmail.com"/>
        <s v="kebervallejo2007@gmail.com"/>
        <s v="beckerore562@gmail.com"/>
        <s v="davidyuri2018.19@gmail.com"/>
        <s v="marpab55@gmail.com"/>
        <s v="cesarleonelbr@gmail.com"/>
        <s v="javiergcar2008@gmail.com"/>
        <s v="floresjosecarlos.777@gmail.com"/>
        <s v="sunvalles@hotmail.com"/>
        <s v="gomezmiguel5990@gmail.com"/>
        <s v="malomasgonzalez@gmail.com"/>
        <s v="guillermomontielc@gmail.com"/>
        <s v="solarenergi14@gmail.com"/>
        <s v="benja_goll@hotmail.com"/>
        <s v="zarategarciah@gmail.com"/>
        <s v="anamayded1108.amcb@gmail.com"/>
        <s v="melendezarevalokatyfabiola@gmail.com"/>
        <s v="joseluis8129@gmail.com"/>
        <s v="168raul@gmail.com"/>
        <s v="klmarmoreeporcelatos@gmail.com"/>
        <s v="justin.rh.1994@gmail.com"/>
        <s v="santillangonzalescarlosadriano@gmail.com"/>
        <s v="amixvicox@gmail.com"/>
        <s v="hosanabeautyarts@gmail.com"/>
        <s v="fhsdosul7@gmail.com"/>
        <s v="reynaldodavid2808@gmail.com"/>
        <s v="pablomonja61@gmail.com"/>
        <s v="oficialstudiocriativo@outlook.com"/>
        <s v="rey_3371@hotmail.com"/>
        <s v="juliancazca@gmail.com"/>
        <s v="svkzfuturo@gmail.com"/>
        <s v="carolinaporraspazos@gmail.com"/>
        <s v="aliisiaa170973@gmail.com"/>
        <s v="slooppetropolis@gmail.com"/>
        <s v="jorgelopezbenites0@gmail.com"/>
        <s v="sechavi27@gmail.com"/>
        <s v="e76984433@gmail.com"/>
        <s v="matosrob1@gmail.com"/>
        <s v="maizavv@yahoo.com.br"/>
        <s v="bonsnegociosoaqui@gmail.com"/>
        <s v="joschavez@gmail.com"/>
        <s v="juniorsanchez19901124007c@gmail.com"/>
        <s v="falconrodas@hotmail.com"/>
        <s v="marcelomarriel25@gmail.com"/>
        <s v="gleylsonmarketingdigital@gmail.com"/>
        <s v="romeropanebrac@gmail.com"/>
        <s v="brenda.trujillo.11.99@gmail.com"/>
        <s v="jcarlosolis216@xn--gmai-jqa.com"/>
        <s v="zalazarvianey@gmail.com"/>
        <s v="amvensupplements@gmail.com"/>
        <s v="velsa1549@gmail.com"/>
        <s v="sevillandelc58@gmail.com"/>
        <s v="darioalvitesramirez645@gmail.com"/>
        <s v="vidalinadiamante@gmail.com"/>
        <s v="estheresquinterodiaz@gmail.com"/>
        <s v="lhuaman513@gmail.com"/>
        <s v="medsusana@99.com"/>
        <s v="yairolea766@gmail.com"/>
        <s v="yasminbaylon08@gmail.com"/>
        <s v="mitchellquispechacon@gmail.com"/>
        <s v="aymara.lopez@gmail.com"/>
        <s v="doncell1976@gmail.com"/>
        <s v="tdfp_1963@hotmail.com"/>
        <s v="bronleypepe@gmail.com"/>
        <s v="alvaradojonathan344@gmail.com"/>
        <s v="miguelaquinorojas123@gmail.com"/>
        <s v="mabet.confecciones@gmail.com"/>
        <s v="royalania.perez@gmail.com"/>
        <s v="mayibonilla.1977@gmail.com"/>
        <s v="luchin840@hotmail.com"/>
        <s v="claudilarro@hotmail.com"/>
        <s v="joaquinjordanserrano@gmail.com"/>
        <s v="roni_ex@hotmail.com"/>
        <s v="elisayaurimuchajajlla229@gmail.com"/>
        <s v="jackelyfransheskat@gmail.com"/>
        <s v="limpiamaquinaria33@gmail.com"/>
        <s v="jiserpa@hotmail.com"/>
        <s v="clarijannromero99@gmail.com"/>
        <s v="almadascriacoes@gmail.com"/>
        <s v="edwindavidz216@gmail.com"/>
        <s v="alexcarvalho.online@gmail.com"/>
        <s v="betty.mundolunatico@gmail.com"/>
        <s v="elietcpd@gmail.com"/>
        <s v="jivanananda.dasa.33@gmail.com"/>
        <s v="thelmacombezapateria@gmail.com"/>
        <s v="fernandob@yavendio.com"/>
        <s v="americancutt50@gmail.com"/>
        <s v="clementepomar59@gmail.com"/>
        <s v="eric.rodriguez365@gmail.com"/>
        <s v="devisraul8.03@gmail.com"/>
        <s v="valverde.katty1990@gmail.com"/>
        <s v="comunicacionesgrupoaste@gmail.com"/>
        <s v="guillermobacon8@gmail.com"/>
        <s v="veronicagironrojas7@gmail.com"/>
        <s v="nmamanipantoja@gmail.com"/>
        <s v="coisasdecasamentom@gmail.com"/>
        <s v="macc1916@hotmail.com"/>
        <s v="sistemas@grupocoinp.com"/>
        <s v="johnny.renew84@gmail.com"/>
        <s v="cristiangutierrezg1980@gmail.com"/>
        <s v="solmioangel@gmail.com"/>
        <s v="eames@amesbroker.com.pe"/>
        <s v="eduardo.bedregal@gmail.com"/>
        <s v="plotcad29@gmail.com"/>
        <s v="bersonrap23@gmail.com"/>
        <s v="raquel.fereira1@hotmail.com"/>
        <s v="renifrio@gmail.com"/>
        <s v="erwinmarcossanchez3@gmail.com"/>
        <s v="juliocesarortiz160182@gmail.com"/>
        <s v="river12tg@gmail.com"/>
        <s v="joelsanchezaguilar59@gmail.com"/>
        <s v="ferchampi@yahoo.com"/>
        <s v="motivacoespravida25@gmail.com"/>
        <s v="dlubyperfumes51@gmail.com"/>
        <s v="xxnicogamerxd@gmail.com"/>
        <s v="carlossergiormenezes2@gmail.com"/>
        <s v="vivapetworld@gmail.com"/>
        <s v="gelsyng3r@gmail.com"/>
        <s v="josevilla8607@gmail.com"/>
        <s v="grubio.narvaez.27@gmail.com"/>
        <s v="josereisbiomedico@outlook.com"/>
        <s v="josealejandroteodocio9@gmail.com"/>
        <s v="davidescorce03@gmail.com"/>
        <s v="helder.ginez@gmail.com"/>
        <s v="tonyvnds@gmail.com"/>
        <s v="dircyagentessmart@gmail.com"/>
        <s v="dantefxy35@gmail.com"/>
        <s v="christopherprincipe24@gmail.com"/>
        <s v="dasilvamarquestaciel@gmail.com"/>
        <s v="silvanbezerra@gmail.com"/>
        <s v="katiarodriguesdasilva859@gmail.com"/>
        <s v="ameliaaparecida02@gmail.com"/>
        <s v="megainveste@live.com"/>
        <s v="alfredo.lplaza@gmail.com"/>
        <s v="moveisdevaranda@gmail.com"/>
        <s v="gs.jireh.sport.moda@gmail.com"/>
        <s v="rmaldonadov97@gmail.com"/>
        <s v="julianoangotto@gmail.com"/>
        <s v="oscarqrene@gmail.com"/>
        <s v="sebastiancarbonellmontoya@gmail.com"/>
        <s v="gagarin_26_6@hotmail.com"/>
        <s v="delacruzramirez2025@gmail.com"/>
        <s v="freddynanez8@gmail.com"/>
        <s v="elcox1981@gmail.com"/>
        <s v="naldor8@gmail.com"/>
        <s v="miguelhum663@gmail.com"/>
        <s v="pierolizanaaquino@gmail.com"/>
        <s v="olarteservicel@gmail.com"/>
        <s v="zezedicarvalho48@gmail.com"/>
        <s v="hakusenstore200198@gmail.com"/>
        <s v="tecnosol289@gmail.com"/>
        <s v="svmaribel10@gmail.com"/>
        <s v="remmec2@gmail.com"/>
        <s v="benesk32@gmail.com"/>
        <s v="jmdebi28@gmail.com"/>
        <s v="ytaloalvesdacosta@gmail.com"/>
        <s v="marloncurihuamanchavez72@gmail.com"/>
        <s v="psicopedagogavanessacruz@gmail.com"/>
        <s v="ema12241@gmail.com"/>
        <s v="sidneyemerson10@gmail.com"/>
        <s v="manumartz684@gmail.com"/>
        <s v="jesusaguilarsandoval474@gmail.com"/>
        <s v="velozimpressosedna@gmail.com"/>
        <s v="mhc021072@gmail.com"/>
        <s v="richievargas7@gmail.com"/>
        <s v="topenergiasolar08@gmail.com"/>
        <s v="rgastelumr@gmail.com"/>
        <s v="gmartinezrdz.65@gmail.com"/>
        <s v="franmontez2019@gmail.com"/>
        <s v="johanl@yavendio.com"/>
        <s v="r.galindo2502@gmail.com"/>
        <s v="mgd286@gmail.com"/>
        <s v="daddymesia93@gmail.com"/>
        <s v="luciano07gozalez11@gmail.com"/>
        <s v="info@parquepet.pe"/>
        <s v="lfmontagens61@gmail.com"/>
        <s v="alecardsandtoys@hotmail.com"/>
        <s v="davidepaula.comercial@gmail.com"/>
        <s v="ventas@maquiworkbambu.com"/>
        <s v="torresverajhonatan@gmail.com"/>
        <s v="adilsoncaldas176@gmail.com"/>
        <s v="vallejosroberth27@gmail.com"/>
        <s v="salazarpiero70@gmail.com"/>
        <s v="nathyandraderocha@gmail.com"/>
        <s v="quiroz.anchanteluis@gmail.com"/>
        <s v="aronesraulam@gmail.com"/>
        <s v="mamaniquispeeverardo@gmail.com"/>
        <s v="andreabc2210@gmail.com"/>
        <s v="robertorivadeneiraoficial@gmail.com"/>
        <s v="top_net85@hotmail.com"/>
        <s v="natanaelnlima@gmail.com"/>
        <s v="roselifranco1978@gmail.com"/>
        <s v="alegriaexpress3@gmail.com"/>
        <s v="cristhopercotrina188@gmail.com"/>
        <s v="mariajudithanicama22@gmail.com"/>
        <s v="leandrormiolla@gmail.com"/>
        <s v="elliothamiltonperu@gmail.com"/>
        <s v="multijuegosyefer@gmail.com"/>
        <s v="anitarodriguezsalinas@gmail.com"/>
        <s v="fabiants11@yahoo.es"/>
        <s v="joaoinaciosanderkessler@gmail.com"/>
        <s v="rapalestra@gmail.com"/>
        <s v="angel.alarcon1601@gmail.com"/>
        <s v="pidehoyperu@gmail.com"/>
        <s v="juanfernandeztip@gmail.com"/>
        <s v="looyousalalazar@gmail.com"/>
        <s v="joelfrponcey@gmail.com"/>
        <s v="maritza060567@gmail.com"/>
        <s v="niviadesouzaoliveira92@gmail.com"/>
        <s v="sherrera710@gmail.com"/>
        <s v="8125616892a@gmail.com"/>
        <s v="alejandramicaelacasafranca@gmail.com"/>
        <s v="reimondg22@gmail.com"/>
        <s v="ronaldpuiconlimo123@gmail.com"/>
        <s v="edsonsouzashineray@hmail.com"/>
        <s v="montalvodavilajacobitalucero@gmail.com"/>
        <s v="jdaniel20052005@gmail.com"/>
        <s v="nochilu@gmail.com"/>
        <s v="moisesperezneir1604@gmail.com"/>
        <s v="manueljimenezp63@gmail.co.com"/>
        <s v="eams44@gmail.com"/>
        <s v="oliverjavhe@gmail.com"/>
        <s v="horahombre@gmail.com"/>
        <s v="2016100068@untels.esu.pe"/>
        <s v="iacreativeagency5566@gmail.com"/>
        <s v="shuayllas97@gmail.com"/>
        <s v="brayancuelo38@gmail.com"/>
        <s v="leonardo017@icloud.com"/>
        <s v="crilinchampi@gmail.com"/>
        <s v="sekaiswkftakayukimikami@gmail.com"/>
        <s v="elyagosto599@gmail.com"/>
        <s v="flh_cavazos@hotmail.com"/>
        <s v="misionoficial2@gmail.com"/>
        <s v="techdigital.slz@gmail.com"/>
        <s v="edelvio19@gmail.com"/>
        <s v="diablasacerio@gmail.com"/>
        <s v="bonnyvalencia4@gmail.com"/>
        <s v="perney27@gmail.com"/>
        <s v="zegarraflorezricardo@gmail.com"/>
        <s v="mdavisempreendimento@gmail.com"/>
        <s v="darioponcecallan58@gmil.com"/>
        <s v="lamanodecristo21@gmail.com"/>
        <s v="claudioleonllerena@gmail.com"/>
        <s v="zedomingos173@gmail.com"/>
        <s v="jbeytia@sertecsa.net"/>
        <s v="gliza3524@gmail.com"/>
        <s v="eliudalamo1993@gmail.com"/>
        <s v="toledmario@gmail.com"/>
        <s v="carlosaycafernandez@gmail.com"/>
        <s v="anagximelop@gmail.com"/>
        <s v="estefanyklp@gmail.com"/>
        <s v="wilsonllereaid01@gmail.com"/>
        <s v="ivanimartinsdejesus224433@gmail.com"/>
        <s v="rodiacha12@gmail.com"/>
        <s v="saldopaypal6@gmail.com"/>
        <s v="jorgerojasescobar61@gmail.com"/>
        <s v="nocelosnataly@gmail.com"/>
        <s v="nm0987555@gmail.com"/>
        <s v="lizbethayme24@gmail.com"/>
        <s v="alixalexiaalbercaayon@gmail.com"/>
        <s v="p.y.cana1345@gmail.com"/>
        <s v="feabbastanzaa@gmail.com"/>
        <s v="am6283779@gmail.com"/>
        <s v="santiagoicahuate22@gmail.com"/>
        <s v="patriciacarolina4444@gmail.com"/>
        <s v="hernandezhugo668@gmail.com"/>
        <s v="geovanynarcizo03@gmail.com"/>
        <s v="lado1239@live.com"/>
        <s v="gonzaloalvarez19holdin@gmail.com"/>
        <s v="pecesnando121@gmail.com"/>
        <s v="dninasaumem@gmail.com"/>
        <s v="luisangelchew@gmail.com"/>
        <s v="javier.andrade.lizarzaburu@gmail.com"/>
        <s v="merlinburguillos8@gmail.com"/>
        <s v="joseleonardolujanluiscom@gmail.com"/>
        <s v="romulodj1982@gmail.com"/>
        <s v="agnaldofreitasfloor49@gmail.com"/>
        <s v="patrickpizango2006@gmail.com"/>
        <s v="ievelyn.2404.08@gmail.com"/>
        <s v="leandrogsia2014@gmail.com"/>
        <s v="chozoscristhian@gmail.com"/>
        <s v="tedyted359@gmail.com"/>
        <s v="ambarvital10@gmail.com"/>
        <s v="urbinafernandeza@gmail.com"/>
        <s v="sisneg25.gn@gmail.com"/>
        <s v="jorgeedelaguila8@gmail.com"/>
        <s v="juanedreidb@gmail.com"/>
        <s v="jhanhaysonsilva@gmail.com"/>
        <s v="silenevilmapovesmendoza@gmail.com"/>
        <s v="gerardodelacruzq@gmail.com"/>
        <s v="cieloimancortes@gmail.com"/>
        <s v="joseluisperalesnaupari@gmail.com"/>
        <s v="rocsanarubinajara@gmail.com"/>
        <s v="belmora.official@gmail.com"/>
        <s v="bautistafigueroaemiliodejesus@gmail.com"/>
        <s v="yovanyfuentes@gmail.com"/>
        <s v="lopmichel27@gmail.com"/>
        <s v="valerio_isac@hotmail.com"/>
        <s v="costawellington1910@gmail.com"/>
        <s v="aguiardavid15@gmail.com"/>
        <s v="jffwill9@gmail.com"/>
        <s v="svalerio2022@gmail.com"/>
        <s v="compucellarequipa@gmail.com"/>
        <s v="edivaldobellasco52@hotmail.com"/>
        <s v="capymrmj15177@gmail.com"/>
        <s v="gigueiroj@gmail.com"/>
        <s v="raulpalominoatelier211@gmail.com"/>
        <s v="reyfarias147@gmail.com"/>
        <s v="adm.pretapinkjeans@hotmail.com"/>
        <s v="emprendohotmar87@gmail.com"/>
        <s v="aliciacordova0622@gmail.com"/>
        <s v="edulesli23@gmail.com"/>
        <s v="lissyta1503@gmail.com"/>
        <s v="math_98_k@hotmail.com"/>
        <s v="wwenser2@gmail.com"/>
        <s v="ana.nunes@xinic.com.br"/>
        <s v="olgamelo@outlook.com"/>
        <s v="absdielguzman8103@gmail.com"/>
        <s v="franesan110@hotmail.com"/>
        <s v="sanchezhugo2590@gmail.com"/>
        <s v="representantemirra@gmail.com"/>
        <s v="erickhinostrozasolano@gmail.com"/>
        <s v="ellenmax21@gmail.com"/>
        <s v="laracarvalho480@gmail.com"/>
        <s v="aseven7multimarcas@gmail.com"/>
        <s v="lozanojohan321@gmail.com"/>
        <s v="vn42718@gmail.com"/>
        <s v="daymarkbrag@hotmail.com"/>
        <s v="eduddsf@gmail.com"/>
        <s v="jailsonscheimannbeer@gmail.com"/>
        <s v="anapaulastylebe@outoook.com"/>
        <s v="bragabragaari@gmail.com"/>
        <s v="daianrmagalhaes972@gmail.com"/>
        <s v="fabiulaflima@gmail.com"/>
        <s v="lnsemijoiasatendimento@gmail.com"/>
        <s v="productos.digit57@gmail.com"/>
        <s v="fabiantl.escobar@gmail.com"/>
        <s v="alicebsb1@hotmail.com"/>
        <s v="lujancreator@gmail.com"/>
        <s v="unahuellaenti@gmail.com"/>
        <s v="rafaelaa_pb@hotmail.com"/>
        <s v="essenciadoceporjuliavianna@gmail.com"/>
        <s v="andraandrade1995@gmail.com"/>
        <s v="americodavid@hotmail.com"/>
        <s v="delcsar7@gmail.com"/>
        <s v="ivoneteoliveira492@gmail.com"/>
        <s v="bhuayra41@gmail.com"/>
        <s v="moniquita_modas@hotmail.com"/>
        <s v="lorenzasantander6@gmail.com"/>
        <s v="silvatorreslarry@gmail.com"/>
        <s v="tito.koster@gmail.com"/>
        <s v="madforest77@gmail.com"/>
        <s v="kellylimagc2529@gmail.com"/>
        <s v="nutri.gesianesouza@gmail.com"/>
        <s v="mercedesdelpilarzapataleon@gmail.com"/>
        <s v="ludoteca.piagetines.2aldaz@gmail.com"/>
        <s v="gtbranco65@gmail.com"/>
        <s v="alberto19602807@gmail.com"/>
        <s v="kurthyilsonapolayaparra@gmail.com"/>
        <s v="mmixcoatlhernandez@gmail.com"/>
        <s v="rogerelizaamira17@gmail.com"/>
        <s v="alexander.requejo.torres@gmail.com"/>
        <s v="rominanunez2018@gmail.com"/>
        <s v="teresaflorespalomino810@gmail.com"/>
        <s v="elenamonteza2020@gmail.com"/>
        <s v="miguellozaac@gmail.com"/>
        <s v="humanability.piura@gmail.com"/>
        <s v="icihecsa@gmail.com.pe"/>
        <s v="pdesouzajessica@gmail.com"/>
        <s v="anthony-art-19@hotmail.com"/>
        <s v="globalrastreamento2020@gmail.com"/>
        <s v="odair2jg@gmail.com"/>
        <s v="ppzzaa11675@gmail.com"/>
        <s v="jose.romani@yahoo.es"/>
        <s v="cubas2313@gmail.com"/>
        <s v="alvaroarellanestpr@outlook.com"/>
        <s v="fajasdiosalatina@gmail.com"/>
        <s v="sandovalyatacog@gmail.com"/>
        <s v="saske_firth_123@hotmail.com"/>
        <s v="karinapvh2008@hotmail.com"/>
        <s v="ezeq.markting@gmail.com"/>
        <s v="ayvarhogarydecoracion@gmail.com"/>
        <s v="carolineassr@gmail.com"/>
        <s v="joriscotrina3@gmail.com"/>
        <s v="mariahcardoso23h@gmail.com"/>
        <s v="edsonswayze8523@gmail.com"/>
        <s v="jomara_h_tinha@hotmail.com"/>
        <s v="prfernandomoura345@gmail.com"/>
        <s v="salasfaby29@gmail.com"/>
        <s v="jg0706119@gmail.com"/>
        <s v="ketlenkesia92@gmail.com"/>
        <s v="dryelbrands@gmail.com"/>
        <s v="pio.rosellvi@gmail.com"/>
        <s v="anibalngg.01@gmail.com"/>
        <s v="stlivejacarei@gmail.com"/>
        <s v="ramoscangel40@gmail.com"/>
        <s v="sanelmilla@gmail.com"/>
        <s v="kathyannepaiva@gmail.com"/>
        <s v="guadalupebalvanedabuitimea@gmail.com"/>
        <s v="fradiaral.231173@gmail.com"/>
        <s v="mayemnicasas@gmail.com"/>
        <s v="eliseoarmasruiz@gmail.com"/>
        <s v="alcemirmartins2g@mail.com"/>
        <s v="cesarfranciscopatricioramos@gmail.com"/>
        <s v="greice.silva.souza@hotmail.com"/>
        <s v="escorpionicho@gmail.com"/>
        <s v="frankaugustor@gmail.com"/>
        <s v="coster4196@gmail.com"/>
        <s v="hqrosa14@gmail.com"/>
        <s v="tulitast78@gmail.com"/>
        <s v="hidromoc@gmail.com"/>
        <s v="contato.vitoriadigitalstore@gmail.com"/>
        <s v="carlos.quevedo.simarra@outlook.com"/>
        <s v="edwinglarotapuma@gmail.com"/>
        <s v="relisiama@gmail.com"/>
        <s v="ltocto13@gmail.com"/>
        <s v="cleberrodriguesrocha@gmail.com"/>
        <s v="wilderp.piscis01@gmail.com"/>
        <s v="isabeladantasparceriaofc@gmail.com"/>
        <s v="emersonslira1982@yahoo.com"/>
        <s v="gysventas@gmail.com"/>
        <s v="pumasgol17@gmail.com"/>
        <s v="carmensavelasquez@hotmail.com"/>
        <s v="esalvador.pe@gmail.com"/>
        <s v="siscommp@hotmail.com"/>
        <s v="juliocesarsurichaquitaipe@gmail.com"/>
        <s v="cds.drfrancklin@hotmail.com"/>
        <s v="a.hernandez@worldofmasks.com.mx"/>
        <s v="bancosluisp@gmail.com"/>
        <s v="aberumen@grupoberumenseguros.com"/>
        <s v="barato51@hotmail.com"/>
        <s v="futurexponential@gmail.com"/>
        <s v="distribuidorasalomonpacificosa@gmail.com"/>
        <s v="cna64@hotmail.com"/>
        <s v="salvadorysh@gmail.com"/>
        <s v="zeinoriginal2@gmail.com"/>
        <s v="jelc.bbr@gmail.com"/>
        <s v="jesdan.morper1974@gmail.com"/>
        <s v="erika_vize@hotmail.com"/>
        <s v="alfiend932@gmail.com"/>
        <s v="adriangoonie@gmail.com"/>
        <s v="hectorpalomares.14@gmail.com"/>
        <s v="kimi_950715@hotmail.com"/>
        <s v="josimarchinchayc@gmail.com"/>
        <s v="hola@case-factor.com"/>
        <s v="jessica02villegas@gmail.com"/>
        <s v="austin.zepeda1300@gmail.com"/>
        <s v="antonymv111200@gmail.com"/>
        <s v="faguero25@gmail.com"/>
        <s v="roquefleitas200830@gmail.com"/>
        <s v="antoniosaavas1@gmail.com"/>
        <s v="wiliamramirez15@gmail.com"/>
        <s v="n-aisla@hotmail.com"/>
        <s v="yungfreemolly@gmail.com"/>
        <s v="sivipaucaraltamiranov008@gmail.com"/>
        <s v="danielmorales.com@gmail.com"/>
        <s v="jldm_22@hotmail.com"/>
        <s v="leonciochavez17@gmail.com"/>
        <s v="mmayorga45@gmail.com"/>
        <s v="oportunidadenegociomx@gmail.com"/>
        <s v="karoldiazflores@gmail.com"/>
        <s v="ludyoe@gmail.com"/>
        <s v="saragp2707@gmail.com"/>
        <s v="r.davila@chanispasteleria.com"/>
        <s v="leslie091929@gmail.com"/>
        <s v="elelegidoinnovador@gmail.com"/>
        <s v="erikaromerp350@gmail.com"/>
        <s v="edgardeflon138@gmail.com"/>
        <s v="julio.flores@htw.com.pe"/>
        <s v="inversioneslionea@gmail.com"/>
        <s v="jrnizama@gmail.com"/>
        <s v="betto.rivera@gmail.com"/>
        <s v="fernandesdudaa05@gmail.com"/>
        <s v="sandragarciaruiz58@gmail.com"/>
        <s v="escandonjoel829@gmail.com"/>
        <s v="everpr031074@gmail.com"/>
        <s v="piso5peru.contacto@gmail.com"/>
        <s v="luzmalagos37@gmail.com"/>
        <s v="milenemariadasilva97@gmail.com"/>
        <s v="mercedescastropizarro@gmail.com"/>
        <s v="renatabufolo39472@gmail.com"/>
        <s v="pastorromerorey@gmail.com"/>
        <s v="rifu10391@gmail.com"/>
        <s v="plenitudeestetica@hotmail.com"/>
        <s v="jorge921carpio@gmail.com"/>
        <s v="fermin-arbitro@hotmail.com"/>
        <s v="ale.manuel0709@hotmail.com"/>
        <s v="anaisabelribeirots@gmail.com"/>
        <s v="brunagalvao8983@gmail.com"/>
        <s v="liciapaulamoraes@gmail.com"/>
        <s v="qzaidarocio935@gmail.com"/>
        <s v="mariana.atendemuriae@gmail.com"/>
        <s v="babykidsjanuaria@gmail.com"/>
        <s v="elizangelaa.ferreirasantos@gmail.com"/>
        <s v="luaanalucenaluana@gmail.com"/>
        <s v="ldiazor.2237@gmail.com"/>
        <s v="josysrc@hotmail.com"/>
        <s v="agcg84@hotmail.com"/>
        <s v="vivianevieira@gmail.com"/>
        <s v="arpaservicos@gmail.com"/>
        <s v="alxdubs1980@gmail.com"/>
        <s v="cleudos378@gmail.com"/>
        <s v="pilarnavarrocano50@gmail.com"/>
        <s v="nicoletacristafovici@gmail.com"/>
        <s v="casadaracaomundoanimal@gmail.com"/>
        <s v="l96459802@gmail.com"/>
        <s v="facilitygroup2025@gmail.com"/>
        <s v="reisthais480@gmail.com"/>
        <s v="cristiano.jg100g@gmail.com"/>
        <s v="contato@minhoquece.com.br"/>
        <s v="tatioliver051989@gmail.com"/>
        <s v="emilianogtz01@gmail.com"/>
        <s v="xbelomi@gmail.com"/>
        <s v="mtz900zab@gmail.com"/>
        <s v="andersantoswork@gmail.com"/>
        <s v="jehmaciel1234@gmail.com"/>
        <s v="brenno.casagrand@gmail.com"/>
        <s v="miguelalexisherreramorales7@gmail.com"/>
        <s v="carlos.larosa@biass.pe"/>
        <s v="lualbaldassari@gmail.com"/>
        <s v="admin@innovimport-store.com"/>
        <s v="luis.avalosgarfias@gmail.com"/>
        <s v="psuarezpalma@gmail.com"/>
        <s v="alevinicius_13@hotmail.com"/>
        <s v="sebastian.martinez@ucsp.edu.pe"/>
        <s v="josenildog64@gmail.com"/>
        <s v="janelevetadedeus12@gmail.com"/>
        <s v="zulusptc@gmail.com"/>
        <s v="delperuexport.tienda@gmail.com"/>
        <s v="v8tecserv@gmail.com"/>
        <s v="marcosmartinsba40@gmail.com"/>
        <s v="marcelacristinamiguel305@gmail.com"/>
        <s v="info@clic.com.pe"/>
        <s v="administracion@qcorpnegocios.com"/>
        <s v="andre.sousa@qvestido.com.br"/>
        <s v="mauriciojosedossanto70@gmail.com"/>
        <s v="fabianchavezoscardavid@gmail.com"/>
        <s v="jcpizarrod@gmail.com"/>
        <s v="jwalterincheu22@gmail.com"/>
        <s v="valdeniomiguel00@gmail.com"/>
        <s v="sorianoaguiluz2014@gmail.com"/>
        <s v="jadiadeusdara@hotmail.com"/>
        <s v="fwilsonfelicianodasilva448@gmail.com"/>
        <s v="chino7garay@gmail.com"/>
        <s v="waldirsolar@gmail.com"/>
        <s v="guilhermeggarcia97@gmail.com"/>
        <s v="sainzviktor93@gmail.com"/>
        <s v="sobrinosantos98@gmail.com"/>
        <s v="waltinha71@gmail.com"/>
        <s v="wmmwjt@gmail.com"/>
        <s v="jepacato100871@gmail.com"/>
        <s v="avalquig@yahoo.es"/>
        <s v="pilarmendotello@guimel.com"/>
        <s v="edjanes.araujo@gmail.com"/>
        <s v="reyiina_1968@hotmail.com"/>
        <s v="julianojd123@gmail.com"/>
        <s v="planetkidsfloripa@gmail.com"/>
        <s v="gamercelloficial@gmail.com"/>
        <s v="elizabethnicolastinoco28@gmail.com"/>
        <s v="danieladasilvagarciasantos@gmail.com"/>
        <s v="hpmotoparts1@gmail.com"/>
        <s v="jorge2a03j@gmail.com"/>
        <s v="hmorais@crecisp.org.br"/>
        <s v="gersonbustamante4@gmail.com"/>
        <s v="maurinanovais349@gmail.com"/>
        <s v="novaonlinedf@gmail.com"/>
        <s v="donpercycabinas@gmail.com"/>
        <s v="otto_1606@outlook.com"/>
        <s v="perezoropezajuancarlos331@gmail.com"/>
        <s v="jorgearmandovillegasmedina@gmail.com"/>
        <s v="nea040607@gmail.com"/>
        <s v="brunapersonalskin@gmail.com"/>
        <s v="hotdream725@gmail.com"/>
        <s v="ericleslopes904@gmail.com"/>
        <s v="james.segurach7@gmail.com"/>
        <s v="francisconeyra1008@gmail.com"/>
        <s v="balvinsalvatierral@gmail.com"/>
        <s v="serchi.1357@gmail.com"/>
        <s v="angelicasalvo1984@gmail.com"/>
        <s v="daniellycarlech9@gmail.com"/>
        <s v="jpajaresaliaga@gmail.com"/>
        <s v="jruz.maldonado2022@hotmail.com"/>
        <s v="marcosdione1017@gmail.com"/>
        <s v="alexandergarciasullca@gmail.com"/>
        <s v="lety67239@gmail.com"/>
        <s v="jomiamartinez91@gmail.com"/>
        <s v="kinhopaixaophotos@gmail.com"/>
        <s v="mario.calle.96@gmail.com"/>
        <s v="oly061580@gmail.com"/>
        <s v="diegoslu1112@gmail.com"/>
        <s v="brayanflores6734@gmail.com"/>
        <s v="agenciaideiamidia@gmail.com"/>
        <s v="n45571864@gmail.com"/>
        <s v="jorderique29@gmail.com"/>
        <s v="julesmibbsita@gmail.com"/>
        <s v="derickguzmancampos@gmail.com"/>
        <s v="pedropaulocunha@hotmail.com"/>
        <s v="martcar2003@hotmail.com"/>
        <s v="aaneto44@gmail.com"/>
        <s v="detect.int001@gmail.com"/>
        <s v="natbiomatya.oficial@gmail.com"/>
        <s v="lunitatorres@gmail.com"/>
        <s v="deiwan_007@hotmail.com"/>
        <s v="fernandoriscoabrego@gmail.com"/>
        <s v="mateozoto2018@gmail.com"/>
        <s v="hhtumbes@gmail.com"/>
        <s v="ramonpezo777@gmail.com"/>
        <s v="linaressaavedrajunior2@gmail.com"/>
        <s v="pabloenriquemore@gmail.com"/>
        <s v="moisesgomezisla64@gmail.com"/>
        <s v="denifariaslima@gmail.com"/>
        <s v="helengracianhernandez@gmail.com"/>
        <s v="rosmerybarzola25@gmail.com"/>
        <s v="santossouzamauricio10@gmail.com"/>
        <s v="anakarinaserenotorres@gmail.com"/>
        <s v="cahuanahuaringar@gmail.com"/>
        <s v="carlos.psicanalista7@gmail.com"/>
        <s v="comercialjpa@despachorapido.com.br"/>
        <s v="oliveirapedranoeli@gmail.com"/>
        <s v="dayhanareadi40@gmail.com"/>
        <s v="carlosjavierm@gmail.com"/>
        <s v="maricelabm1972@gmail.com"/>
        <s v="cochi11carkos@gmail.com"/>
        <s v="reobliga@hotmail.com"/>
        <s v="ottagustavo@hotmail.com"/>
        <s v="manzanillosolyarena56@gmail.com"/>
        <s v="vegitoexeloquendero@gmail.com"/>
        <s v="gerardac2602@gmail.com"/>
        <s v="fabiosb.batista@gmail.com"/>
        <s v="targinoreb@gmail.com"/>
        <s v="fwsaudefitness@gmail.com"/>
        <s v="p.aguiar508@gmail.com"/>
        <s v="adonay1724@hotmail.com"/>
        <s v="datapulta@gmail.com"/>
        <s v="basilio.trattoria@gmail.com"/>
        <s v="jllherbal@gmail.com"/>
        <s v="ingridsauceda53@gmail.com"/>
        <s v="essabetty@gmail.com"/>
        <s v="alexanderg@bytexbyte.pe"/>
        <s v="davi.jesus@associadoirineu.com.br"/>
        <s v="elenagro3006@gmail.com"/>
        <s v="mmarcal18@hotmail.com"/>
        <s v="noegarciagalan6@gmail.com"/>
        <s v="resguardosenrique@gmail.com"/>
        <s v="panchitogonzales939@gmail.com"/>
        <s v="m.siucho2001@gmail.com"/>
        <s v="juankferro@gmail.com"/>
        <s v="juanjasiu@gmail.com"/>
        <s v="zanardo.marcos@gmail.com"/>
        <s v="rafaelantoniosarmientoperez@gmail.com"/>
        <s v="mejiamallquineyda9@gmail.com"/>
        <s v="leuqar991008@gmail.com"/>
        <s v="joilsonc57@gmail.com"/>
        <s v="victormangiante01@gmail.com"/>
        <s v="racharhurtado@gmail.com"/>
        <s v="fredyluis1991@gmail.com"/>
        <s v="juanarondoncossi@gmail.com"/>
        <s v="elmayorista43@gmail.com"/>
        <s v="20221747@une.edu.pe"/>
        <s v="angelojvelar17@gmail.com"/>
        <s v="lilianagoicochea14@gmail.com"/>
        <s v="janusafigueiredo@gmail.com"/>
        <s v="zcruzadobringas@gmail.com"/>
        <s v="vicente.garcia83@gmail.com"/>
        <s v="dsafiox@gmail.com"/>
        <s v="acb_carlos_10@hotmail.com"/>
        <s v="andreshdzdelfin@gmail.com"/>
        <s v="victor8441laco@gmail.com"/>
        <s v="cirlenefzeferinocampos@gmail.com"/>
        <s v="am.interiores@outlook.com"/>
        <s v="renylima1982@hotmail.com"/>
        <s v="cleversonvas1@gmail.com"/>
        <s v="pc042608@gmail.com"/>
        <s v="pricilacoradini@gmail.com"/>
        <s v="dinhoalianca@gmail.com"/>
        <s v="nktatacado2020@gmail.com"/>
        <s v="rsgmramon@gmail.com"/>
        <s v="lucanonilver70@gmail.com"/>
        <s v="franciscoceliosoaressales@gmail.com"/>
        <s v="alejandrocristobalarenasvargas@gmail.com"/>
        <s v="hernandezmariscaljorgeantonio@gmail.com"/>
        <s v="cynthiaherrera.ponce@gmail.com"/>
        <s v="tito311070@gmail.com"/>
        <s v="grupovisaoforte@gmail.com"/>
        <s v="edgar.osores@gmail.com"/>
        <s v="clarazevallosortega17@gmail.com"/>
        <s v="growthonlinepro@gmail.com"/>
        <s v="jesussierra9099@gmail.com"/>
        <s v="amramnv@gmail.com"/>
        <s v="samukalocutorvoz@gmail.com"/>
        <s v="estancia.mob@gmail.com"/>
        <s v="camore70@yahoo.com.br"/>
        <s v="ubillus4@gmail.com"/>
        <s v="blankita_fbv@hotmail.com"/>
        <s v="felixedgar487@gmail.com"/>
        <s v="veritomar202008@gmail.com"/>
        <s v="victor.godoy1809@gmail.com"/>
        <s v="ivonneestherporqueespinoza@gmail.com"/>
        <s v="raza29sc@hotmail.com"/>
        <s v="hildarf60@hotmail.com"/>
        <s v="juarezlelis69@gmail.com"/>
        <s v="rf45194@gmail.com"/>
        <s v="linoserrucheve@gmail.com"/>
        <s v="impulso.sedeizaguirre@gmail.com"/>
        <s v="dillawy33@gmail.com"/>
        <s v="castillo.roberto5@gmail.com"/>
        <s v="elviscruzaleguipinillos@gmail.com"/>
        <s v="reifese@gmail.com"/>
        <s v="sfdhfmhj9@gmail.com"/>
        <s v="dbfg83@gmail.com"/>
        <s v="siemensblacks@gmail.com"/>
        <s v="elvia855@hotmail.com"/>
        <s v="siesquenpizarrokatherinabeatri@gmail.com"/>
        <s v="julietardesing@gmail.com"/>
        <s v="dianamacedo218@gmail.com"/>
        <s v="grupo.rpm2025@gmail.com"/>
        <s v="aapks723@gmail.com"/>
        <s v="agusmm68@gmail.com"/>
        <s v="nilzamariaadm01@gmail.com"/>
        <s v="vitro_velez@hotmail.com"/>
        <s v="jochevh1@gmail.com"/>
        <s v="almaelisa81@gmail.com"/>
        <s v="tumundoaldigital@gmail.com"/>
        <s v="charmetpe@gmail.com"/>
        <s v="ailtoncosta73@gmail.com"/>
        <s v="erg1967@outlook.com"/>
        <s v="elenilsejeronimo@gmail.com"/>
        <s v="gianvargasp@gmail.com"/>
        <s v="guzmanaraceli490@gmail.com"/>
        <s v="yakelineh40@gmail.com"/>
        <s v="clubsymaaimemartinez@gmail.com"/>
        <s v="gutierrezramonjuanantonio03@gmail.com"/>
        <s v="reymundoa812@gmail.com"/>
        <s v="jarrltda@hotmail.com"/>
        <s v="servbem@outlook.com.br"/>
        <s v="levanosaucedols@gmail.com"/>
        <s v="danielvmoranh@gmail.com"/>
        <s v="rcarrerachavez@gmail.com"/>
        <s v="ee5563384@gmail.com"/>
        <s v="solanojimenezabraham3@gmail.com"/>
        <s v="gabrielalima1234599@gmail.com"/>
        <s v="nell.ruth.c.a@gmail.com"/>
        <s v="renata.parizoto@gmail.com"/>
        <s v="brunialejandro648@gmail.com"/>
        <s v="danielanicolelugojuarez14@gmail.com"/>
        <s v="nelsonsanchezcruz11@gmail.com"/>
        <s v="celulardigitalredmia1@gmail.com"/>
        <s v="jivagris1989@gmail.com"/>
        <s v="anamariamenecescampos846@gmail.com"/>
        <s v="sunpositivesolarenergy@gmail.com"/>
        <s v="cleomar625@gmail.com"/>
        <s v="vivianaiurk@gmail.com"/>
        <s v="anthonycana1996@gmail.com"/>
        <s v="cuatemigue63@gmail.com"/>
        <s v="williandossantossilva12@gmail.com"/>
        <s v="cristiancortezperu@gmail.com"/>
        <s v="marcolombe6@gmail.com"/>
        <s v="vmelo8199@gmail.com"/>
        <s v="noepersornal@gmail.com"/>
        <s v="juansolier1106@gmail.com"/>
        <s v="rolandoegoavil33@gmail.com"/>
        <s v="refrigeracao42@gmail.com"/>
        <s v="davidbarbosaalmeida@gmail.com"/>
        <s v="outrabusca@gmail.com"/>
        <s v="dgironsosa@gmail.com"/>
        <s v="oliveiraborgesc@hotmail.com"/>
        <s v="contatoerikdiet@gmail.com"/>
        <s v="elkiness265@gmail.com"/>
        <s v="espbarra333@gmail.com"/>
        <s v="cidinhodecristo@gmail.com"/>
        <s v="kawsaylq@gmail.com"/>
        <s v="sebastian.ca010203@icloud.com"/>
        <s v="anasartori554@gmail.com"/>
        <s v="welytoncleyton.wc@gmail.com"/>
        <s v="sinvalrocha438@gmail.com"/>
        <s v="chcarloss12345@gmail.com"/>
        <s v="milady2001@hotmail.com"/>
        <s v="facturas.sazon.isabel@gmail.com"/>
        <s v="danielmatsdaconceicaodaniel@gmail.com"/>
        <s v="arturoquirino31@gmail.com"/>
        <s v="lama.rodriguez21@gmail.com"/>
        <s v="novalife189@gmail.com"/>
        <s v="lospatascj@gmail.com"/>
        <s v="levalinareswalter@gmail.com"/>
        <s v="gutierrezpnayeli@gmail.com"/>
        <s v="sgargurevich@gmail.com"/>
        <s v="pabliziocavalcante21@hotmail.com"/>
        <s v="fredyairebejarano@gmail.com"/>
        <s v="cpajuelolop@gmail.com"/>
        <s v="mariosanchez5787@gmail.com"/>
        <s v="porta2025mary@gmail.com"/>
        <s v="comserms6@gmail.com"/>
        <s v="aguilarestradadavid24@gmail.com"/>
        <s v="adrianohendrik@gmail.com"/>
        <s v="tonomendoza26439@gmail.com"/>
        <s v="karenrosalesfrancia@gmail.com"/>
        <s v="hyg3000@hotmail.com"/>
        <s v="yoxselina.mata@gmail.com"/>
        <s v="xiomibereche@gmail.com"/>
        <s v="oortizflorez@gmail.com"/>
        <s v="huaccachimarco@gmail.com"/>
        <s v="dcanchuricra@pucp.edu.pe"/>
        <s v="hectorabelgomez@gmail.com"/>
        <s v="jhenryrl78@gmail.com"/>
        <s v="lg121050@gmail.com"/>
        <s v="aerofacturaspim@gmail.com"/>
        <s v="casadociclistavr2020@gmail.com"/>
        <s v="josephv.vdl@gmail.com"/>
        <s v="luzrubiragodoy@gmail.com"/>
        <s v="gerenciageneralferreboom@gmail.com"/>
        <s v="sqrafael@yahoo.com.mx"/>
        <s v="ivanfrq-kuyasqay@hotmail.com"/>
        <s v="arojasc83@gmail.com"/>
        <s v="marcelarios909@yahoo.com"/>
        <s v="edenilsondasilvad@gmai.com"/>
        <s v="dcasma@artidororodriguez.com"/>
        <s v="pgodoi1306@gmail.com"/>
        <s v="felixhernan99@gmail.com"/>
        <s v="pergaru1@gmail.com"/>
        <s v="juniorcastropasache819@gmail.com"/>
        <s v="camionfap@hotmail.com"/>
        <s v="roger.rios.p@gmail.com"/>
        <s v="ventas@firmeasy.legal"/>
        <s v="anidemlupita@hotmail.com"/>
        <s v="manolojr007@hotmail.com"/>
        <s v="johnnyaular22@gmail.com"/>
        <s v="tadeouribe88270685@gmail.com"/>
        <s v="jhordandiazfalcon70225@gmail.com"/>
        <s v="elprofeacuna1977@gmail.com"/>
        <s v="liamneizan27@gmail.com"/>
        <s v="juanjc6@hotmail.com"/>
        <s v="dizquierdohuayaban@gmail.com"/>
        <s v="ricardo.moreno.a5263@gmail.com"/>
        <s v="uni.apuntefor@gmail.com"/>
        <s v="benayanitor@hotmail.com"/>
        <s v="johan03092015@gmail.com"/>
        <s v="rodor725@gmail.com"/>
        <s v="elgatod207@gmail.com"/>
        <s v="cdsproducciones@icloud.com"/>
        <s v="josegk647@gmail.com"/>
        <s v="vanuza_vi@hotmail.com"/>
        <s v="dianabreascarranza@gmail.com"/>
        <s v="centrodebendicion777@gmail.com"/>
        <s v="urbanstoremonteria@gmail.com"/>
        <s v="newsyesterday552@gmail.com"/>
        <s v="amiphonesac@gamil.com"/>
        <s v="globaltrendy27@gmail.com"/>
        <s v="anayuliirodriguez@gmail.com"/>
        <s v="su.mdr2911@gmail.com"/>
        <s v="jurandioliveira36@gmail.com"/>
        <s v="leydianefontenele0@gmail.com"/>
        <s v="mebarib@yahoo.com"/>
        <s v="antoninopierodc@gmail.com"/>
        <s v="rmvh033@gmail.com"/>
        <s v="josedaniellopezrojas03@gmail.com"/>
        <s v="ingoscarbenavides@gmail.com"/>
        <s v="valdemarjosemarques66836@gmail.com"/>
        <s v="tnaquelequemefortalece78@gmail.com"/>
        <s v="emer_lm5@hotmail.com"/>
        <s v="marcondisvitrem@gmail.com"/>
        <s v="huamantuanamajonathan@gmail.com"/>
        <s v="sergioca1973@hotmail.com"/>
        <s v="reateguimarlene0708@gmail.com"/>
        <s v="zc.isavi@gmail.com"/>
        <s v="charaparestobarperu2024@gmail.com"/>
        <s v="jyvjunior@gmail.com"/>
        <s v="williamandreshuamanoyarce5@gmail.com"/>
        <s v="lucas.moreno.olivos@gmail.com"/>
        <s v="antoniopsdjunior@gmail.com"/>
        <s v="domimontero12@gmail.com"/>
        <s v="arriagapachecojennifernicol@gmail.com"/>
        <s v="guinho31234@gmail.com"/>
        <s v="miruizeg@gmail.com"/>
        <s v="maelraycm@gmail.com"/>
        <s v="cintiagoncalvesmodas@gmail.com"/>
        <s v="josewilsonfarronansuclupe074@gmail.com"/>
        <s v="adrianofacundosantos@gmail.com"/>
        <s v="matsugol10@gmail.com"/>
        <s v="celimarpereira478@gmail.com"/>
        <s v="bellaluz200@hotmail.com"/>
        <s v="abelmorenopradoabel@gmail.com"/>
        <s v="jesusandree1205@gmail.com"/>
        <s v="maiaraguedes341@gmail.com"/>
        <s v="transportesjrdelperu@gmail.com"/>
        <s v="ventas@puntomoda.com.pe"/>
        <s v="joselinosilvaf98@gmail.com"/>
        <s v="segundosinarahua977@gmail.com"/>
        <s v="joseneide874@gmail.com"/>
        <s v="dander28.13@gmail.com"/>
        <s v="afiliados1973@gmail.com"/>
        <s v="braythe9@gmail.com"/>
        <s v="khollyvoohr@gmail.com"/>
        <s v="aguaoasistpp@gmail.com"/>
        <s v="angeljesus1997@hotmail.com"/>
        <s v="groberquintopd2@gmail.com"/>
        <s v="ej73075@gmail.com"/>
        <s v="krolreis15@hotmail.com"/>
        <s v="kathleengalvez89@gmail.com"/>
        <s v="michelinigc@gmail.com"/>
        <s v="darianllilis@gmail.com"/>
        <s v="mwfitnessweb@gmail.com"/>
        <s v="cushinovoa@gmail.com"/>
        <s v="eriosbarreto@hotmail.com"/>
        <s v="nilda.silva.maria10086@gmail.com"/>
        <s v="ignavenegas2009@gmail.com"/>
        <s v="dfernandez@tranqui.pe"/>
        <s v="monthary@hotmail.com"/>
        <s v="perezjoserafael1973@gmail.com"/>
        <s v="llashacmachacaadrian@gmail.com"/>
        <s v="juan@yaya.tech"/>
        <s v="pattyexpress22@gmail.com"/>
        <s v="esteticistamalugil@gmail.com"/>
        <s v="araucovillavicenciom@gmail.com"/>
        <s v="padeirorafaell@gmail.com"/>
        <s v="dirceu.limaac@gmail.com"/>
        <s v="guillermo.gsl94@gmail.com.pe"/>
        <s v="andyaguilarmacahuachi44@gmail.com"/>
        <s v="mascarenhasbrt@hotmail.com"/>
        <s v="frankastuvilca319@gmail.com"/>
        <s v="herbertgaliano@gmail.com"/>
        <s v="dbissom@gmail.com"/>
        <s v="gallinasdoradasnaranjal@gmail.com"/>
        <s v="ivonne.rios1012@gmail.com"/>
        <s v="isabellabra419@gmail.com"/>
        <s v="denzel131184@gmail.com"/>
        <s v="juanalmeida291@gmail.com"/>
        <s v="rmelo@anderson.edu"/>
        <s v="roosevelt-sales@hotmail.com"/>
        <s v="jgutierrezgonzales18@hmail.com"/>
        <s v="minerva.33.al@gmail.com"/>
        <s v="vicentecandelabro@gmail.com"/>
        <s v="perushoptime@gmail.com"/>
        <s v="rodolfoma784@gmail.com"/>
        <s v="cissi-25@hotmail.com"/>
        <s v="mariamoyanoc24@gmail.com"/>
        <s v="grupo.sytel.ti@gmail.com"/>
        <s v="ce29falcon@gmail.com"/>
        <s v="renzocordovamatias@gmail.com"/>
        <s v="edwinrjb@gmail.com"/>
        <s v="m65586602@gmail.com"/>
        <s v="gaby.ando.dav@gmail.com"/>
        <s v="maria2614ruiz@gmail.com"/>
        <s v="brian-92-12@hotmail.com"/>
        <s v="ronnymarvin.chavezsoria@gmail.com"/>
        <s v="prodriguez1702@gmail.com"/>
        <s v="cesarcosi777@gmail.com"/>
        <s v="jdanielmarin.2805@gmail.com"/>
        <s v="abregounavarro@gmail.com"/>
        <s v="radr.dominguez@gmail.com"/>
        <s v="vladmir.ramos0000@gmail.com"/>
        <s v="marcoreategui7519@gmail.com"/>
        <s v="nicole.silva.1424@gmail.com"/>
        <s v="josefinacar.sp@gmail.com"/>
        <s v="mhalex29@gmail.com"/>
        <s v="claudencir.messias@gmail.com"/>
        <s v="miguelpostigo12@gmail.com"/>
        <s v="prandreluiz19@gmail.com"/>
        <s v="rogerioresende489@gmail.com"/>
        <s v="renildapaulino45@gmail.com"/>
        <s v="arielkemper@camping44.com.py"/>
        <s v="joha.ev03@gmail.com"/>
        <s v="luchocorrea648@gmail.com"/>
        <s v="mariaaliciar78@gmail.com"/>
        <s v="pedrocuricollazos@gmail.com"/>
        <s v="anaferreira20092009@hotmail.com"/>
        <s v="turismo.caballos.chivay@gmail.com"/>
        <s v="magobato@gmail.com"/>
        <s v="oswaldo.ramirez1801@gmail.com"/>
        <s v="zafiro280693@gmail.com"/>
        <s v="zgatsbi@gmail.com"/>
        <s v="laurasuney@gimail.com"/>
        <s v="juanrivas43@msn.com"/>
        <s v="facundocolman@camping44.com.py"/>
        <s v="folivarit@gmail.com"/>
        <s v="negociosegurovm30@gmail.com"/>
        <s v="altamiranofernandezmariamargar@gmail.com"/>
        <s v="claudio.sintego1974@gmail.com"/>
        <s v="dzmarafernandes@gmail.com"/>
        <s v="jpaulbarrios@gmail.com"/>
        <s v="japon.usuario@gmail.com"/>
        <s v="cpaigel@hotmail.com"/>
        <s v="mvglobaltradesac@gmail.com"/>
        <s v="visneyyalila24@gmail.com"/>
        <s v="abnerpardini19@gmail.com"/>
        <s v="lfdelcampo91@gmail.com"/>
        <s v="macielmiranda9779@gmail.com"/>
        <s v="davidjosueperezmendoza@hotmail.com"/>
        <s v="kathylizarragaovalle@gmail.com"/>
        <s v="francisoaresfarias75@gmail.com"/>
        <s v="aline_rossipereira@hotmail.com"/>
        <s v="javierbrill12@gmail.com"/>
        <s v="thaemelima09@icloud.com"/>
        <s v="everaldolima010@gmail.com"/>
        <s v="jheyshopperu@gmail.com"/>
        <s v="cmoctezuma@moctezumatravels.com"/>
        <s v="contato@lastribus.com.br"/>
        <s v="directvventas3@gmail.com"/>
        <s v="yago@yavendio.com"/>
        <s v="silvon5643@gmail.com"/>
        <s v="gguerrero0029@gmail.com"/>
        <s v="denyrodrigues99@gmail.com"/>
        <s v="lebicaflo@gmail.com"/>
        <s v="ruizcarlos786@gmail.com"/>
        <s v="luissousagoes717@gmail.com"/>
        <s v="maperz999@gmail.com"/>
        <s v="georgeokey@hotmail.com"/>
        <s v="josedfdzssm@gmail.com"/>
        <s v="maitetc2013@gmail.com"/>
        <s v="vivicdr621@gmail.com"/>
        <s v="portallucia137@gmail.com"/>
        <s v="yvonnelarrieu@hotmail.com"/>
        <s v="giuzampas@gmail.com"/>
        <s v="shufran1607@gmail.com"/>
        <s v="fabianalexandrovelizlopez@gmail.com"/>
        <s v="segundoarriaga2@gmail.com"/>
        <s v="lizbethjhanderlyhanna@gmail.com"/>
        <s v="melquisedecc31@gmail.com"/>
        <s v="leozirdholiveira2013@gmail.com"/>
        <s v="jmsalcedob@gmail.com"/>
        <s v="madresquefacturanclub@gmail.com"/>
        <s v="victorrafaelramirezlopez843@gmail.com"/>
        <s v="joesalasr@yahoo.es"/>
        <s v="elienatorres@yahoo.com.br"/>
        <s v="jorgemacedogomez@gmail.com"/>
        <s v="aquispebel@ucvvirtual.edu.pe"/>
        <s v="pedrorobertocasimiroramos@gmail.com"/>
        <s v="thecremotafernando@gmail.com"/>
        <s v="jopesal5@hotmail.com"/>
        <s v="servistex2021@gmail.com"/>
        <s v="empreendedor6b@gmail.com"/>
        <s v="percymonky52@gmail.com"/>
        <s v="chocceandre@gmail.com"/>
        <s v="wendy64va@gmail.com"/>
        <s v="castrejoneslinda@gmail.com"/>
        <s v="intertourstravel121@gmail.com"/>
        <s v="uelintonrodrigues452@gmail.com"/>
        <s v="nenidolsan1974@gmail.com"/>
        <s v="yanetelidaflorestenorio@gmail.com"/>
        <s v="rosach181@gmail.com"/>
        <s v="jscp.shande25@hotmail.com"/>
        <s v="franciscocoronx235@gmail.com"/>
        <s v="henrrypower26@gmail.com"/>
        <s v="josemardelaguila071@gmail.com"/>
        <s v="darb.1711@gmail.com"/>
        <s v="gerardoeduclavijo@gmail.com"/>
        <s v="compuestomineralsa@gmail.com"/>
        <s v="rodrigosanchez200983@gmail.com"/>
        <s v="aguirrelopezrosayuli@gmail.com"/>
        <s v="raulzenozainl@gmail.com"/>
        <s v="analy_97_35@hotmail.com"/>
        <s v="gparedes@mcm.com.pe"/>
        <s v="esplanadabarporcoes@gmail.com"/>
        <s v="jadys1219@gmail.com"/>
        <s v="taterveravizcarra@yahoo.com"/>
        <s v="laprincesamoda@hotmail.com"/>
        <s v="lidapalomino@yahoo.com"/>
        <s v="pepemanchay1@gmail.com"/>
        <s v="maylin.ds123@gmail.com"/>
        <s v="josezq1196@gmail.com"/>
        <s v="janaleticia1@gmail.com"/>
        <s v="anaelisabethpalero@gmail.com"/>
        <s v="artilleroaries2020@hotmail.com"/>
        <s v="r_vera_1@hotmail.com"/>
        <s v="nicolassousa746@gmail.com"/>
        <s v="militargiovane@gmail.com"/>
        <s v="ezefores14@gmail.com"/>
        <s v="rondinellecastro09@gmail.com"/>
        <s v="madameisoldaboutique@gmail.com"/>
        <s v="atrativa.presentes2020@gmail.com"/>
        <s v="lanelucia9@gmail.com"/>
        <s v="daniela44936228@gmail.com"/>
        <s v="julianinha1952@hotmail.com"/>
        <s v="jhordanvilchessanchez@gmail.com"/>
        <s v="rozza945@gmail.com"/>
        <s v="jari_1318@hotmail.com"/>
        <s v="mejiabikershopeirl@gmail.com"/>
        <s v="yeysondelacruzmorocho@gmail.com"/>
        <s v="priisraell0@gmail.com"/>
        <s v="wilmerguradia34@gmail.com"/>
        <s v="demetrioheredia3@gmail.com"/>
        <s v="quizpequilion@gmail.com"/>
        <s v="amatista2126@gmail.com"/>
        <s v="mujer.estrategica@outlook.com"/>
        <s v="raulsabogal@gmail.com"/>
        <s v="mvsegurad68@gmail.com"/>
        <s v="eduroman9926@gmail.com"/>
        <s v="jorgejrboyerlarrea@gmail.com"/>
        <s v="davidhg6@hotmail.com"/>
        <s v="raidahuaman5@gmail.com"/>
        <s v="thalyamenezes15@gmail.com"/>
        <s v="arango.aida@gmail.com"/>
        <s v="shoku1234@gmail.com"/>
        <s v="gonzalesmoran.04@gmail.com"/>
        <s v="jennifer2406huanca@gmail.com"/>
        <s v="rgarridob1@gmail.com"/>
        <s v="keveenleon3@gmail.com"/>
        <s v="antonypicis21@gmail.com"/>
        <s v="yamilleivav@gmail.com"/>
        <s v="busaco_19@hotmail.com"/>
        <s v="kikeheros75@gmail.com"/>
        <s v="espinozaterronesluis@gmail.com"/>
        <s v="nahuijetli@gmail.com"/>
        <s v="jcarlosdp.18@gmail.com"/>
        <s v="jsptakizawa@gmail.com"/>
        <s v="ngmezzegarra@gmail.com"/>
        <s v="pilarverdei@gmail.com"/>
        <s v="dhonesnc171@gmail.com"/>
        <s v="marycar.ra08@gmail.com"/>
        <s v="nelmer254@gamail.com"/>
        <s v="bozajuniorsmith@gmail.com"/>
        <s v="goalkeepersport22@gmail.com"/>
        <s v="josebadagarcia@gmail.com"/>
        <s v="linacadillo@gmail.com"/>
        <s v="almogueze@gmail.com"/>
        <s v="cossiohm@gmail.com"/>
        <s v="mariellaolivari8@gmail.com"/>
        <s v="poolbatti@hotmail.com"/>
        <s v="nccopaay@gmail.com"/>
        <s v="andrecabrera796@gmail.com"/>
        <s v="elisandovalch38@gmail.com"/>
        <s v="alejandracorreamejia26@gmail.com"/>
        <s v="jrgoso413@gmail.com"/>
        <s v="oscarramos@hmail.com"/>
        <s v="lumhmendoza@gmail.com"/>
        <s v="tranki_erazo@hotmail.com"/>
        <s v="jose.apaza.bejar@gmail.com"/>
        <s v="elmorita020480@gmail.com"/>
        <s v="v_arzapalo@hotmail.com"/>
        <s v="alangeouts@gmail.com"/>
        <s v="marcelamunozmx@gmail.com"/>
        <s v="susuaa39@gmail.com"/>
        <s v="silvasernaquejosuearturo@gmail.com"/>
        <s v="mariaavila@gmail.com"/>
        <s v="gabrielestefano1978@gmail.com"/>
        <s v="adm.posvendasdiniz@gmail.com"/>
        <s v="giancarlocatering@gmail.com"/>
        <s v="ucastrog7@gmail.com"/>
        <s v="persc915@gmail.com"/>
        <s v="vanessacastillog35@gmail.com"/>
        <s v="ozinaldodantas@gmail.com"/>
        <s v="katalentsmart@gmail.com"/>
        <s v="sirilofloresyulino@gmail.com"/>
        <s v="ortopediaej@gmail.com"/>
        <s v="miansima11982@gmail.com"/>
        <s v="pratamiljoias@gmail.com"/>
        <s v="hansvalenzuelarosas@gmail.com"/>
        <s v="diegof@yavendio.com"/>
        <s v="ademirstreit@gmail.com"/>
        <s v="alan.techcom@gmail.com"/>
        <s v="aramisjesus1978@gmail.com"/>
        <s v="doritharuizcoach@gmail.com"/>
        <s v="agroserviciossalinas.sac@gmail.com"/>
        <s v="cuzcanoenrique15@gmail.com"/>
        <s v="kaizenperformance1@gmail.com"/>
        <s v="reynaysla56@gmail.com"/>
        <s v="valentinapanduromoran@gmail.com"/>
        <s v="beikingwu@gmail.com"/>
        <s v="fasabimozombitew@gmail.com"/>
        <s v="18cheve@gmail.com"/>
        <s v="cp2569329@gmail.com"/>
        <s v="jaimec@yavendio.com"/>
        <s v="abm.country@yahoo.com"/>
        <s v="consultorclaudio6@gmail.com"/>
        <s v="psicologaerikatello@gmail.com"/>
        <s v="naturaldiaz@hotmail.com"/>
        <s v="amyecruzfamilia@gmail.com"/>
        <s v="ivetefergutz03@gmail.com"/>
        <s v="araca687@gmail.com"/>
        <s v="maritzamarhi@hotmail.com"/>
        <s v="daromaz@hotmail.com"/>
        <s v="sgrandac1@gmail.com"/>
        <s v="luzelviralopez12@gmail.com"/>
        <s v="nicodemos986@gmail.com"/>
        <s v="designerborges@gmail.com"/>
        <s v="fabienefonsecasoaresf@gmail.com"/>
        <s v="andreza150araujo@gmail.com"/>
        <s v="sone.mike@outlook.com"/>
        <s v="juankarlosmonja@gmail.com"/>
        <s v="btiquillahuancacarpio@gmail.com"/>
        <s v="victormateo1971@gmail.com"/>
        <s v="zofarmultiservicios@gmail.com"/>
        <s v="marcelogkr3@gmail.com"/>
        <s v="obedcherres161@gmail.com"/>
        <s v="cabanillas.teran.heber1980@gmail.com"/>
        <s v="josecarlosmarceloquintana17@gmail.com"/>
        <s v="joelsonpereira1607@gmail.com"/>
        <s v="badela634@gmail.com"/>
        <s v="neoperu.ventas@gmail.com"/>
        <s v="robertswagner41@gmail.com"/>
        <s v="littleprincess.abbyas@gmail.com"/>
        <s v="jossikigae5404@gmail.com"/>
        <s v="mpamoisesperalta@gmail.com"/>
        <s v="achowinapiedwin@gmail.com"/>
        <s v="guiselaabad57@gmail.com"/>
        <s v="alexmarxt11@hotmail.com"/>
        <s v="marvick150@gmail.com"/>
        <s v="mistolsac2025@gmail.com"/>
        <s v="mariavaldiviacisneros123@gmail.com"/>
        <s v="marianelamag@gmail.com"/>
        <s v="garvidia@hotmail.com"/>
        <s v="luveiga33@gmail.com"/>
        <s v="huayllapumaescobedoluisalfredo@gmail.com"/>
        <s v="fmeg.1975@gmail.com"/>
        <s v="yomeva28@gmail.com"/>
        <s v="terronesivone@gmail.com"/>
        <s v="veronicanamuche28@gmail.com"/>
        <s v="lebasyairam@gmail.com"/>
        <s v="mate_1005@hotmail.com"/>
        <s v="keniacristina778@gmail.com"/>
        <s v="trofoastro@gmail.com"/>
        <s v="marco.gonzales@auna.org"/>
        <s v="marleni9a@gmail.com"/>
        <s v="montoyaramosjoseluis6@gmail.com"/>
        <s v="corporationsol@gmail.com"/>
        <s v="rosemeirejacinto.c@gmail.com"/>
        <s v="carf5405@gmail.com"/>
        <s v="misskarinadxn@gmail.com"/>
        <s v="rojazamado@gmail.com"/>
        <s v="billcisneros55@gmail.com"/>
        <s v="impresionesfullimprenta@gmail.com"/>
        <s v="jcastillo112@gmail.com"/>
        <s v="thaliasalced082@gmail.com"/>
        <s v="yeremibastidas@gmail.com"/>
        <s v="decoint72@gmail.com"/>
        <s v="robinjeanpiero@gmail.com"/>
        <s v="marcelofabio616@gmail.com"/>
        <s v="michaelormaecheazalde@gmail.com"/>
        <s v="kike_96@hotmail.com"/>
        <s v="alephgabrielalfaroramos@gmail.com"/>
        <s v="administracionyfinanzas@zeidem.com"/>
        <s v="printcolors.ig2017@gmail.com"/>
        <s v="leonardo_5670@hotmail.com"/>
        <s v="maurito1887@gmail.com"/>
        <s v="inicio049@gmail.com"/>
        <s v="mjohnsonata@gmail.com"/>
        <s v="adrianacarolm@gmail.com"/>
        <s v="chefviniciusmaia@gmail.com"/>
        <s v="61547597@rosario.edu.pe"/>
        <s v="santoswelington941@gmail.com"/>
        <s v="juanperaltapuemape@gmail.com"/>
        <s v="jvertizc.segurosgenerales@gmail.com"/>
        <s v="dondanielvalero21@gmail.com"/>
        <s v="cabrerahuamansandrita@gmail.com"/>
        <s v="alamoaq@gmail.com"/>
        <s v="paolo40ruiz2022@gmail.com"/>
        <s v="jrvo34@gmail.com"/>
        <s v="sanancinalopezpiorela@gmail.com"/>
        <s v="monzon487@hotmail.com"/>
        <s v="blascar1987@gmail.com"/>
        <s v="vanesaortiz23coronado@hotmail.com"/>
        <s v="teamready2000@gmail.com"/>
        <s v="belinha1989@yahoo.com.br"/>
        <s v="malvinas.smart@gmail.com"/>
        <s v="huarangahuayra@gmail.com"/>
        <s v="bncontato07@gmail.com"/>
        <s v="geraldcasis@gmail.com"/>
        <s v="ribask9@outlook.com"/>
        <s v="adaoeliane792@gmail.com"/>
        <s v="vharry168@gmail.com"/>
        <s v="isabelcandiatuero@gmail.com"/>
        <s v="eomarlp76@gmail.com"/>
        <s v="emocao_razao@hotmail.com"/>
        <s v="paolodavila26@gmail.com"/>
        <s v="bionunaperu@gmail.com"/>
        <s v="hola@pepescore.com"/>
        <s v="yoryelinduertoinojosa@gmail.com"/>
        <s v="ugarteniltonpachecorichard@gmail.com"/>
        <s v="ikenatoc1990@gmail.com"/>
        <s v="alvarosoporte@proton.me"/>
        <s v="humberto_hs74@hotmail.com"/>
        <s v="fabiopaes@gmail.com"/>
        <s v="gerailton.neves@hotmail.com"/>
        <s v="pedrohuarancca1890@gmail.com"/>
        <s v="rtueros9@gmail.com"/>
        <s v="villegasalbertho90@gmail.com"/>
        <s v="byvolle1@gmail.com"/>
        <s v="mayramabeltarazonaeusebio0412@gmail.com"/>
        <s v="rmgcomercialdiego@hotmail.com"/>
        <s v="giomar_aht@hotmail.com"/>
        <s v="crravina@hotmail.com"/>
        <s v="jarinogarcialopez02@gmail.com"/>
        <s v="mwatsonv@gmail.com"/>
        <s v="deuzacestenarii57@gmail.com"/>
        <s v="sidinei.francisco123@gmail.com"/>
        <s v="midentistacortes123@gmail.com"/>
        <s v="jesusclaudiovisionary@gmail.com"/>
        <s v="joaquinruizleon1974@gmail.com"/>
        <s v="clhonoresvasquez@gmail.com"/>
        <s v="ventas@todopescashop.com"/>
        <s v="hgutierrez1@goldwayperu.com"/>
        <s v="alejandrogarnier88@gmail.com"/>
        <s v="jemachs@hotmail.com"/>
        <s v="judix73@hotmail.com"/>
        <s v="m_gianfranco@hotmail.com"/>
        <s v="hayrolopez.2019@gmail.com"/>
        <s v="rrodriguezquincho4@gmail.com"/>
        <s v="abrahammendozapadilla@gmail.com"/>
        <s v="catacas0321@gmail.com"/>
        <s v="deiberhulik32@gmail.com"/>
        <s v="carolinacandela84@gmail.com"/>
        <s v="ercules.rsantos@gmail.com"/>
        <s v="campostrujillor@gmail.com"/>
        <s v="nicolascarhuachinperu@gmail.com"/>
        <s v="ebey2070@gmail.com"/>
        <s v="fredy.cabanillas@agrominlabonita.com"/>
        <s v="clinicaterapeuta.01@gmail.com"/>
        <s v="iamiles47@gmail.com"/>
        <s v="hinostrozacerronelvismiguel@gmail.com"/>
        <s v="cedeno.helman@gmail.com"/>
        <s v="marcia.cristinha@gmail.com"/>
        <s v="gianv2707@gmail.com"/>
        <s v="djhugo28@hotmail.es"/>
        <s v="santos122393@outlook.com"/>
        <s v="joel.sanchez.0705@gmail.com"/>
        <s v="soniakaua0207@gmail.com"/>
        <s v="rt.comercial03@outlook.com"/>
        <s v="sousajanete408@gmail.com"/>
        <s v="elvisvmjv@gmail.com"/>
        <s v="aeugenio687@gmail.com"/>
        <s v="jhulyastefani28@gmail.com"/>
        <s v="eleninhaegk@gmail.com"/>
        <s v="informesasl2@gmail.com"/>
        <s v="diariasdajosy@gmail.com"/>
        <s v="rodrigodomingos583@gmail.com"/>
        <s v="ypistener82@gmail.com"/>
        <s v="juliojuniorcachique@gmail.com"/>
        <s v="santiagojimenezangel194@gmail.com"/>
        <s v="sebastiancamposf2@gmail.com"/>
        <s v="gemasmondragon@gmail.com"/>
        <s v="carlospovis0270@gmail.com"/>
        <s v="aydemiacastaneda@gmail.com"/>
        <s v="juanadanielafarrocastillo@gmail.com"/>
        <s v="lucienesoaresdacunhasilva@gmail.com"/>
        <s v="lgbo1986@gmail.com"/>
        <s v="rzegarramanc@yahoo.es"/>
        <s v="jpck.iptv@gmail.com"/>
        <s v="dilcia_3@hotmail.com"/>
        <s v="joelsposito2025@gmail.com"/>
        <s v="dilanisidro@hotmail.com"/>
        <s v="heritage1804haiti@gmail.com"/>
        <s v="adja38401608@gmail.com"/>
        <s v="gustavodsilva785@gmail.com"/>
        <s v="renepacaya27@gmail.com"/>
        <s v="danielcbraz@gmail.com"/>
        <s v="rodrigomirandadasilvarms@gmail.com"/>
        <s v="francyslima@yahoo.com.br"/>
        <s v="rossi.mara@gmail.com"/>
        <s v="maricielo741@hotmail.com"/>
        <s v="lincoltonycerasrojas12@gmail.com"/>
        <s v="maxitoheigghen@gmail.com"/>
        <s v="soniaregina130177@gmail.com"/>
        <s v="jzjimihuanuiri@gmail.com"/>
        <s v="valeriaservejeira@gmail.com"/>
        <s v="dezadurandolenka573@gmail.com"/>
        <s v="sotoad1026@gmail.com"/>
        <s v="fisiocarelatam@gmail.com"/>
        <s v="sacafeg1@yahoo.es"/>
        <s v="pochitope24@gmail.com"/>
        <s v="davidgarcia9631@gmail.com"/>
        <s v="edmundoreis79@gmail.com"/>
        <s v="njosimar689@gmail.com"/>
        <s v="samuelito.ia.2024@gmail.com"/>
        <s v="neil.mathy@gmail.com"/>
        <s v="david-tores2014@hotmail.com"/>
        <s v="jesussilvae1983@gmail.com"/>
        <s v="jmartinluna@yahoo.com"/>
        <s v="ruso162556@gmail.com"/>
        <s v="francis637@hotmail.com"/>
        <s v="fdiosmoran@gmail.com"/>
        <s v="enriquegarcia25@hotmail.com"/>
        <s v="dalindaarroyotroncos83@gmail.com"/>
        <s v="ellimenito@gmail.com"/>
        <s v="jimmy.urtecho18@gmail.com"/>
        <s v="hernandezllanosjg2025@gmail.com"/>
        <s v="kcumpalumbre@gmail.com"/>
        <s v="rudineia.herrmann@gmail.com"/>
        <s v="williamwayna@gmail.com"/>
        <s v="jhdechevarria@gmail.com"/>
        <s v="juliomig24@hotmail.com"/>
        <s v="gabrieldesousa.h@gmail.com"/>
        <s v="dignaldo2020@outlook.com"/>
        <s v="juditperoza@gmail.com"/>
        <s v="anninhamodassac@gmail.com"/>
        <s v="ariane_423@hotmail.com"/>
        <s v="emrenteriari@ucvvirtual.edu.pe"/>
        <s v="paoloasme@gmail.com"/>
        <s v="mdiaz@centauroperu.com"/>
        <s v="marteldennis90@gmail.com"/>
        <s v="vlanda2@hotmail.com"/>
        <s v="valquiriasantos8895@hotmail.com"/>
        <s v="cantinhodoartesanatobaby@gmail.com"/>
        <s v="alexisrof@gmail.com"/>
        <s v="marlonc78@hotmaill.com"/>
        <s v="khuamanisullca.20@gmail.com"/>
        <s v="renantapia75@gmail.com"/>
        <s v="biosbyale@gmail.com"/>
        <s v="cindydelgadocarrasco@gmail.com"/>
        <s v="miguel.dlgd@gmail.com"/>
        <s v="yomiguelx@gmail.com"/>
        <s v="rrt.peru.2021@gmail.com"/>
        <s v="gp.castaneda88@gmail.com"/>
        <s v="virginiiamello9.p@gmail.com"/>
        <s v="trodriguezsuarez19@gmail.com"/>
        <s v="nayararozasemijoias@gmail.com"/>
        <s v="adrianar@yavendio.com"/>
        <s v="aguadogarcianoemicristina@gmail.com"/>
        <s v="sebasliam777@gmail.com"/>
        <s v="lizmargot214@gmail.com"/>
        <s v="vanicarvalho2009@yahoo.com"/>
        <s v="xiruma32@gmail.com"/>
        <s v="brendacj21@outlook.com"/>
        <s v="huizacontrerasz@gmail.com"/>
        <s v="conecta.celularesbd@gmail.com"/>
        <s v="soraiasantanacosta20@gmail.com"/>
        <s v="pelomeudepilacao@gmail.com"/>
        <s v="gyari2117@gmail.com"/>
        <s v="eversondiasdeoliveira45@gmail.com"/>
        <s v="h.erika.chavez@gmail.com"/>
        <s v="robson.mauriciu@gmail.com"/>
        <s v="birzoenrique0209@gmail.com"/>
        <s v="eduardoym710@gmail.com"/>
        <s v="morianomenezv@gmail.com"/>
        <s v="natalianicollas79@gmail.com"/>
        <s v="ummissionarionaestrada@gmail.com"/>
        <s v="betycampusano60@gmail.com"/>
        <s v="almircoricardo6@gmail.com"/>
        <s v="soyjhonyff@gmail.com"/>
        <s v="crc52crc@gmail.com"/>
        <s v="andres_exito@hotmail.com"/>
        <s v="negoisaia72@gmail.com"/>
        <s v="sergiolopezyt12234@gmail.com"/>
        <s v="knezvich1@gmail.com"/>
        <s v="alexmarllomartinez@gmail.com"/>
        <s v="georgia.silvam@gmail.com"/>
        <s v="clodo100aldo@hotmail.com"/>
        <s v="dennisurielfernandez@gmail.com"/>
        <s v="lindacir.thomaz72@gmail.com"/>
        <s v="gleycutipa@gmail.com"/>
        <s v="rluna1407@gmail.com"/>
        <s v="cslimportbr@gmail.com"/>
        <s v="dafsflakp@gmail.com"/>
        <s v="joaquinvbecerra2008@gmail.com"/>
        <s v="snovoaesquivel@gmail.com"/>
        <s v="aorecaceres@gmail.com"/>
        <s v="entrenadormendoza@gmail.com"/>
        <s v="rosa.fely06@gmail.com"/>
        <s v="eduardonegocio.com@gmail.com"/>
        <s v="auroramaganr@hotmail.com"/>
        <s v="davidsoriar1974@gmail.com"/>
        <s v="lgbeto24@gmail.com"/>
        <s v="appflix.streaming@gmail.com"/>
        <s v="isaiasosccovasquez@gmail.com"/>
        <s v="crysfashionshow@gmail.com"/>
        <s v="ana23rodrig1975@gmail.com"/>
        <s v="rlachapell2018@hotmail.com"/>
        <s v="cont_hum@hotmail.com"/>
        <s v="edilbertosuarezq@hotmail.com"/>
        <s v="katia89moale@gmail.com"/>
        <s v="nilo.abuhadba@gmail.com"/>
        <s v="valdomeroh@hotmail.com"/>
        <s v="enoc.analuna@gmail.com"/>
        <s v="arnald.felipe@gmail.com"/>
        <s v="ivaneterosadeoliveiralemes@gmail.com"/>
        <s v="quispetorresedwardandy@gmail.com"/>
        <s v="omarpaucar978armagedon@gmail.com"/>
        <s v="rebecasolano45@gmail.com"/>
        <s v="lcruzadorojas4@gmail.com"/>
        <s v="benjaminmendozacristobal3@gmail.com"/>
        <s v="alexandrahuertas06@gmail.com"/>
        <s v="mariamezacc@gmail.com"/>
        <s v="luzangelicaolazabal@hotmail.com"/>
        <s v="glamourstoree0@gmail.com"/>
        <s v="moiseslivaque.7@gmail.com"/>
        <s v="rsotomayor.ia@gmail.com"/>
        <s v="galeriadeartellompart@gmail.com"/>
        <s v="marketingambientalnativa@gmail.com"/>
        <s v="anavalentinaamaro@gmail.com"/>
        <s v="gatooo503@gmail.com"/>
        <s v="claudiacajap1@gmail.com"/>
        <s v="comercial.laviniaabreu@gmail.com"/>
        <s v="ramosmarciomenezes@gmail.com"/>
        <s v="ravick.94.97@gmail.com"/>
        <s v="reservasjulius@gmail.com"/>
        <s v="globalfitness.pe@gmail.com"/>
        <s v="silviasisabour@gmail.com"/>
        <s v="aldairmarin30@gmail.com"/>
        <s v="aaronleodan1502@gmail.com"/>
        <s v="jportaronoriega@gmail.com"/>
        <s v="marceloalmeidadigital@gmail.com"/>
        <s v="robertohenrysalasobregon@gmail.com"/>
        <s v="lbn.vale@gmail.com"/>
        <s v="asullca27@gmail.com"/>
        <s v="raulraul331331@gmail.com"/>
        <s v="stevencandiah07@gmail.com"/>
        <s v="lojajcinforcell@gmail.com"/>
        <s v="jottacleinerraaaraaa@gmail.com"/>
        <s v="gregorioostolaza@gmail.com"/>
        <s v="cessitar2009@hotmail.com"/>
        <s v="obrunoaceof@gmail.com"/>
        <s v="aureliosan12345@gmail.com"/>
        <s v="freddycon2@hotmail.com"/>
        <s v="rgina.queiroz@gmail.com"/>
        <s v="minhaempresa57fc@gmail.com"/>
        <s v="anapaula@panoramagospel.com"/>
        <s v="royquevedo64@gmail.com"/>
        <s v="rutiano235@gmail.com"/>
        <s v="lazoalvaradoelena@gmil.com"/>
        <s v="jlleonizoz3@gmail.com"/>
        <s v="ricardocvcontact@gmail.com"/>
        <s v="danieltrom2579@gmail.com"/>
        <s v="ramirofranklin1@gmail.com"/>
        <s v="charlysppir@gmail.com"/>
        <s v="manolo.arizaga@gmail.com"/>
        <s v="tiocaxasoutlet@gmail.com"/>
        <s v="ivanhairo@gmail.com"/>
        <s v="lizmayrasaenztinta.02@gmail.com"/>
        <s v="mmilujo18k@gmail.com"/>
        <s v="lizandreasantacruzmachado@gmail.com"/>
        <s v="aaronpercar27@gmail.com"/>
        <s v="perezcruzkevinjhoel944@gmail.com"/>
        <s v="comercial.usbsiteperu@gmail.com"/>
        <s v="lucianodecamargo275@gmail.com"/>
        <s v="gomezoscar65@gmail.com"/>
        <s v="mateoprieto481@gmail.com"/>
        <s v="patriciamacedosangama@gmail.com"/>
        <s v="ronaldosilva.andrade@hotmail.com"/>
        <s v="ricardocalderon867@gmail.com"/>
        <s v="arileideanner@gmail.com"/>
        <s v="sebastianruesta13@gmail.com"/>
        <s v="jesushuaringa749@gmail.com"/>
        <s v="meganingenieros@gmail.com"/>
        <s v="uperfectperu@gmail.com"/>
        <s v="jimmy1508@gmail.com"/>
        <s v="jmchp2020@gmail.com"/>
        <s v="sebastianalexanderchavezguerra@gmail.com"/>
        <s v="rodolfolara1952@gmail.com"/>
        <s v="yosicae@gmail.com"/>
        <s v="gessilenebarbosa2017@gmail.com"/>
        <s v="07100387@ue.edu.pe"/>
        <s v="caluroso-vivaracho9t@icloud.com"/>
        <s v="erika.ta.log@gmail.com"/>
        <s v="nilocerna21@gmail.com"/>
        <s v="portellasrefrigelar@gmail.com"/>
        <s v="rodrigocm.work@gmail.com"/>
        <s v="refrigeracaovitoria6988@gmail.com"/>
        <s v="taisvital4793@gmail.com"/>
        <s v="juliotenoriopareja46@gmail.com"/>
        <s v="aucordova.66@gmail.com"/>
        <s v="lpenalozagalindo@gmail.com"/>
        <s v="rcarlosvicente.01@gmail.com"/>
        <s v="bernaola92@gmail.com"/>
        <s v="sazilla28candida@gmail.com"/>
        <s v="dayauriculoterapeuta@yahoo.com"/>
        <s v="pameice@gmail.com"/>
        <s v="jperezmurillo25@gmail.com"/>
        <s v="emprendeproonline@gmail.com"/>
        <s v="arianayllari02@gmail.com"/>
        <s v="asamanamu@outlook.es"/>
        <s v="marcelotorresyalta@gmail.com"/>
        <s v="giselareyna991@gmail.com"/>
        <s v="rodllontopquiroz@gmail.com"/>
        <s v="zapatajuarezgloriagabriela@gmail.com"/>
        <s v="pachugranda@gmail.com"/>
        <s v="guti98765navarro123@gmail.com"/>
        <s v="ericknel04@gmail.com"/>
        <s v="verajuliet497@gmail.com"/>
        <s v="nenegarcia6612@gmail.com"/>
        <s v="dmncksedano@gmail.com"/>
        <s v="carlabalboa.01@gmail.com"/>
        <s v="vicuzsac443@gmail.com"/>
        <s v="vmsilvapsicanalista@gmail.com"/>
        <s v="manuriol300@gmail.com"/>
        <s v="ximenavillegas220@gmail.com"/>
        <s v="dam.fran182@gmail.com"/>
        <s v="janainalojista@gmail.com"/>
        <s v="annie-z7@hotmail.com"/>
        <s v="gardeniadasilvacoelho@gmail.com"/>
        <s v="romildemoraes79@gmail.com"/>
        <s v="oralmed22@gmail.com"/>
        <s v="ray.dasilvasousa4@gmail.com"/>
        <s v="valeria55souza@hotmail.com.br"/>
        <s v="crisostomofreddy26@gmail.com"/>
        <s v="fdelaquintanac@gmail.com"/>
        <s v="arteslucas1@gmail.com"/>
        <s v="mveramercedesmaribel81@gmail.com"/>
        <s v="bricenocarlos695@gmail.com"/>
        <s v="ramosserrutoalejandro@gmail.com"/>
        <s v="bruna@baroninet.com.br"/>
        <s v="rollylotefeliz9@gmail.com"/>
        <s v="clary.libra1988@gmail.com"/>
        <s v="floryesthermaynas@gmail.com"/>
        <s v="guillecam45@gmail.com"/>
        <s v="vadosi22@hotmail.com"/>
        <s v="fernando.caycho22@gmail.com"/>
        <s v="pantojadany988@gmail.com"/>
        <s v="oborgono@hotmail.com"/>
        <s v="rojas1959maria@gmail.com"/>
        <s v="brunoagr2008@gmail.com"/>
        <s v="katherinalama@outlook.com"/>
        <s v="hernannekyller@gmail.com"/>
        <s v="garostegui@uaromori.com"/>
        <s v="juniordamian88@gmail.com"/>
        <s v="dswarrior78@gmail.com"/>
        <s v="vyankavargas@gmail.com"/>
        <s v="brandyloza@gmail.com"/>
        <s v="rubencarmengarcia0@gmail.com"/>
        <s v="majumm27_1995@hotmail.es"/>
        <s v="josemauroconillasanchez@gmail.com"/>
        <s v="rflchristopher@gmail.com"/>
        <s v="ricardoalvaradoperu@gmail.com"/>
        <s v="valdeircosta113@gmail.com"/>
        <s v="empreededormartins@gmail.com"/>
        <s v="demdesouzaltda@gmail.com"/>
        <s v="espejohilariojonathan@gmail.com"/>
        <s v="cuzziramosy@gmail.com"/>
        <s v="huillcamasccoh286@gmail.com"/>
        <s v="mirehuacre@gmail.com"/>
        <s v="elisalvatierra2019@gmail.com"/>
        <s v="wmarcaquilca@gmail.com"/>
        <s v="rmunozpelaez@gmail.com"/>
        <s v="darwingamarra240115@gmail.com"/>
        <s v="mauarditto@gmail.com"/>
        <s v="joguchi1987@gmail.com"/>
        <s v="samuelrubi21@gmail.com"/>
        <s v="rodrigopg2026@gmail.com"/>
        <s v="stephanycm0704@gmail.com"/>
        <s v="edicaro94j@gmail.com"/>
        <s v="mosheunas2006@gmail.com"/>
        <s v="walter.ambrosio.castillo@gmail.com"/>
        <s v="jimyjadiern@gmail.com"/>
        <s v="azanedojacintozoevalentina@gmail.com"/>
        <s v="sharitkinberlyn@gmail.com"/>
        <s v="jorjedav15@gmail.com"/>
        <s v="geminis_1250@hotmail.com"/>
        <s v="fabrizioardiless22@gmail.com"/>
        <s v="amycornejo78@gmail.com"/>
        <s v="espacoafrohairpc@gmail.com"/>
        <s v="elvisaliaga2910@gmail.com"/>
        <s v="katherin.castro1001@gmail.com"/>
        <s v="jchuamanp@hotmail.com"/>
        <s v="elgatoblancoxd@gmail.com"/>
        <s v="yajairavc705@gmail.com"/>
        <s v="jgonzalescheff@gmail.com"/>
        <s v="maxdonaldlopezarirama@gmail.com"/>
        <s v="asdf.mko.mlk@gmail.com"/>
        <s v="huauyataiperonaldopablo@gmail.com"/>
        <s v="victorxitomamaniv@gmail.com"/>
        <s v="lucilenemend81@gmail.com"/>
        <s v="luisalbertotrujilloch@gmail.com"/>
        <s v="tattiananees79@gmail.com"/>
        <s v="marogarcia381@gmail.com"/>
        <s v="ramosvasquezeliasjesus9@gmail.com"/>
        <s v="muditaglamour@hotmail.com"/>
        <s v="paulfloresdelrosario24@gmail.com"/>
        <s v="felixmedar87@gmail.com"/>
        <s v="yccallahuacasi@gmail.com"/>
        <s v="alexbaitun15@gmail.com"/>
        <s v="anchantetipiani@hotmail.com"/>
        <s v="marcorevello24@gmail.com"/>
        <s v="florescardenasfabrizzio@gmail.com"/>
        <s v="aaronrojas1799@gmail.com"/>
        <s v="gilbergavilan9@gmail.com"/>
        <s v="holamuamore@gmail.com"/>
        <s v="rmostleitelucena@gmail.com"/>
        <s v="ronyapolayabelahonia1983@gmail.com"/>
        <s v="tarismarlenytacillachaupe@gmail.com"/>
        <s v="guillermocastellano223@gmail.com"/>
        <s v="mgarcia@indianorg.com"/>
        <s v="ignacioana91@gmail.com"/>
        <s v="12silviarove@gmail.com"/>
        <s v="yordanluislizanapadilla2@gmail.com"/>
        <s v="francineidemartinssoares152@gmail.com"/>
        <s v="navegador3322@gmail.com"/>
        <s v="pazyassir777@gmail.com"/>
        <s v="javiergomezsuarez15@gmail.com"/>
        <s v="estradasalazarjavier3@gmail.com"/>
        <s v="ricardobflores76@gmail.com"/>
        <s v="bchipayo@unsa.edu.pe"/>
        <s v="62253908cesar@gmail.com"/>
        <s v="juanavichuela@gmail.com"/>
        <s v="gnslsebaxtia@gmail.com"/>
        <s v="contato.egp.negocios@gmail.com"/>
        <s v="omarmurrieta69@gmail.com"/>
        <s v="andinaexp@gmail.com"/>
        <s v="plopz_85@hotmail.com"/>
        <s v="soporteswa@gmail.com"/>
        <s v="junior_2387@hotmail.com"/>
        <s v="teresatello1405@gmail.com"/>
        <s v="caval2018@gmail.com"/>
        <s v="bccinternationalservice@gmail.com"/>
        <s v="sonrident.chincha@gmail.com"/>
        <s v="manacecilia598@gmail.com"/>
        <s v="jefersonalexis27@gmail.com"/>
        <s v="nattymquispe12@gmail.com"/>
        <s v="deejayhaluk@gmail.com"/>
        <s v="rguzmanantezana@gmail.com"/>
        <s v="jesus@uscaleup.com"/>
        <s v="anagabrielduran1998@gmail.com"/>
        <s v="esneyderquirozromero40@gmail.com"/>
        <s v="libani.system7@gmail.com"/>
        <s v="yordicasafrancagur@gmail.com"/>
        <s v="yaniracossio5577@gmail.com"/>
        <s v="alexanderlok.7@gmail.com"/>
        <s v="reyescorreaartemio902@gmail.com"/>
        <s v="dimagsebas1809@gmail.com"/>
        <s v="jhojanyvillantoy@hotmail.com"/>
        <s v="joelma42genil@gmail.com"/>
        <s v="franciscomagali77@gmail.com"/>
        <s v="priscillacoutinho79t@gmail.com"/>
        <s v="danielarmaz07@gmail.com"/>
        <s v="huayunga987@gmail.com"/>
        <s v="yedaaraujo736@gmail.com"/>
        <s v="katiarejanebatista639@gmail.com"/>
        <s v="yrvingsmithcd@gmail.com"/>
        <s v="alfredoruiz95@gmail.com"/>
        <s v="carlossanchezdavila1989@outlook.com"/>
        <s v="alvarezbasurcon@gmail.com"/>
        <s v="ghmodas2004@gmail.com"/>
        <s v="josuelojacasca@gmail.com"/>
        <s v="stalinlenins@hotmail.com"/>
        <s v="johnnydeanbernaltalla1301@gmail.com"/>
        <s v="jennidiazsegovia97@gmail.com"/>
        <s v="pablo80454604@gmail.com"/>
        <s v="bnatcr@gmail.com"/>
        <s v="a_bel_2@hotmail.com"/>
        <s v="lanzamoralesedwindaniel5@gmail.com"/>
        <s v="quinonesrafo27@gmail.com"/>
        <s v="8gdrdistribuidora01@gmail.com"/>
        <s v="albermorenoquiroz7@gmail.com"/>
        <s v="josueeliasfc54@gmail.com"/>
        <s v="goldensmile.602@gmail.com"/>
        <s v="leonelaotazu2304@gmail.com"/>
        <s v="fbrionesgd0603@gmail.com"/>
        <s v="globalspirits23@gmail.com"/>
        <s v="khatterininonan@gmail.com"/>
        <s v="salasarirama97@gmail.com"/>
        <s v="maria2761980@gmail.com"/>
        <s v="andape.desarrollo@gmail.com"/>
        <s v="hecjohan15@gmail.com"/>
        <s v="elvishinostroza21@gmail.com"/>
        <s v="estevesgarciajhonmichel88@gmail.com"/>
        <s v="karito3119@gmail.com"/>
        <s v="mileixychacin78@gmail.com"/>
        <s v="rodolfoabrahamcartagena@hotmail.com"/>
        <s v="microtechpara@gmail.com"/>
        <s v="ariaslewis35@gmail.com"/>
        <s v="chelaarteaga@gmail.com"/>
        <s v="rsalazarc7@upao.edu.pe"/>
        <s v="rojas60080228@gmail.com"/>
        <s v="eclipsedelande@gmail.com"/>
        <s v="luis.talavera8828@outlook.com"/>
        <s v="estebanqc611@gmail.com"/>
        <s v="adangh030597@gmail.com"/>
        <s v="jimenabenites2005@gmail.com"/>
        <s v="luzdonayre21@gmail.com"/>
        <s v="boutiquesaso@gmail.com"/>
        <s v="chrishassriro@gmail.com"/>
        <s v="dadanisantos261@gmail.com"/>
        <s v="luluzitasstore@gmail.com"/>
        <s v="mimofreddypaucar@yahoo.es"/>
        <s v="cilene_sg@yahoo.com.br"/>
        <s v="gonzalescuevamiler9@gmail.com"/>
        <s v="karinatimboc@gmail.com"/>
        <s v="albertogamarraasis88@gmail.com"/>
        <s v="al3xloz4no28@gmail.com"/>
        <s v="iccesac@gmail.com"/>
        <s v="camilozabalap@gmail.com"/>
        <s v="elemaja2@hotmail.com"/>
        <s v="pvargasconduto@gmail.com"/>
        <s v="elmerguzmanpersonal@gmail.com"/>
        <s v="estefanytapiasolis10@gmail.com"/>
        <s v="walter.placencia@outlook.com"/>
        <s v="jl9671605@gmail.com"/>
        <s v="suporteinternacional.sac@gmail.com"/>
        <s v="laraelarissa2011@hotmail.com"/>
        <s v="itamarissp@gmail.com"/>
        <s v="tekoloco2000@gmail.com"/>
        <s v="nandaegabi@outlook.com"/>
        <s v="bruna.martoni19@gmail.com"/>
        <s v="carosreategui24@gmail.com"/>
        <s v="floresfigueroajosefina@gmail.com"/>
        <s v="sfpuskaric@gmail.com"/>
        <s v="soly0589@gmail.com"/>
        <s v="katiayuliana211283@gmail.com"/>
        <s v="mirnacolannlunes@gmail.com"/>
        <s v="guardiarussel36@gmail.com"/>
        <s v="miguelangelfloresparedes@gmail.com"/>
        <s v="rhyriumdaniel@gmail.com"/>
        <s v="avilaeliane905@gmail.com"/>
        <s v="dubosimao71@gmail.com"/>
        <s v="davidjup29@gmail.com"/>
        <s v="angezrx@gmail.com"/>
        <s v="flaviozavalalopez1226@gmail.com"/>
        <s v="josebv0809@gmail.com"/>
        <s v="guidoarteperu@gmail.com"/>
        <s v="antidoto.store87@gmail.com"/>
        <s v="isabel_ambiental@hotmail.com"/>
        <s v="dgarrafarayme@gmail.com"/>
        <s v="hegele02@gmail.com"/>
        <s v="zafra239118@gmail.com"/>
        <s v="sivik_smith.123@hotmail.com"/>
        <s v="adrianbonifacio2001@gmail.com"/>
        <s v="martintalledon83@gmail.com"/>
        <s v="raquelramosvazsilva@gmail.com"/>
        <s v="marcollaccta@gmail.com"/>
        <s v="jacksonpacayasilvano8@gmail.com"/>
        <s v="apuqui123@gmail.com"/>
        <s v="jazkamin242526@gmail.com"/>
        <s v="italosilvasullon@gmail.com"/>
        <s v="veragarciamarcoantonio10@gmail.com"/>
        <s v="clebernobre913@gmail.com"/>
        <s v="luisgeidervilchezrios@gmail.com"/>
        <s v="marlon_151020@hotmail.com"/>
        <s v="adolfofojo@gmail.com"/>
        <s v="rooniedsonperezmorales@gmail.com"/>
        <s v="newinvestor.02@gmail.com"/>
        <s v="geazon.22@gmail.com"/>
        <s v="karel-rv.18@hotmail.com"/>
        <s v="ratzielanguloarevalo@gmail.com"/>
        <s v="leodanlopezcordova@gmail.com"/>
        <s v="marisoltumbavilca01@gmail.com"/>
        <s v="jenikristelbardales12@gmail.com"/>
        <s v="dieggooo.09.23@gmail.com"/>
        <s v="depretell@gmail.com"/>
        <s v="cleversonmedina977@gmail.com"/>
        <s v="coanf302000@gmail.com"/>
        <s v="ccayanchirarenso@gmail.com"/>
        <s v="michelj228@gmail.com"/>
        <s v="adrianocostadossantos07@gmail.com"/>
        <s v="carmen947859037@hotmail.com"/>
        <s v="lopezfloresrofino867@gmail.com"/>
        <s v="felipenjp2000@yahoo.com"/>
        <s v="hasseaas@hotmail.com"/>
        <s v="aline_miua@hotmail.com"/>
        <s v="garoto30@yahoo.com"/>
        <s v="cardenastobi14@gmail.com"/>
        <s v="ventascoaritafood@gmail.com"/>
        <s v="tony123nnsk@gmail.com"/>
        <s v="carlos.srs99@outlook.com"/>
        <s v="arredondopantojamarcos@gmail.com"/>
        <s v="deliapattycachaylopez@gmail.com"/>
        <s v="devairrobertomoreira@outlook.com"/>
        <s v="aureliosolis0106@gmail.com"/>
        <s v="meilyncabrera1981@gmail.com"/>
        <s v="jcontreras19736@gmail.com"/>
        <s v="castrojalixto1@gmail.com"/>
        <s v="daymarquesleite@gmail.com"/>
        <s v="bertiotegeovana@gmail.com"/>
        <s v="alexronaldorojas465@gmail.com"/>
        <s v="franciscosilva.ia@gmail.com"/>
        <s v="cristiannunto2018a@gmail.com"/>
        <s v="llrafaelxp@gmail.com"/>
        <s v="silviaparedes16@gmail.com"/>
        <s v="0nasshir@gmail.com"/>
        <s v="matiassg2625@gmail.com"/>
        <s v="audairsouzapereira@gmail.com"/>
        <s v="braulioshm5@gmail.com"/>
        <s v="f.t.a.system@hotmail.com"/>
        <s v="shermaintp034@gmail.com"/>
        <s v="ivancete1988@hotmail.com"/>
        <s v="miguelone1357@gmail.com"/>
        <s v="ivanchitodc@gmail.com"/>
        <s v="magasiqueira31@gmail.com"/>
        <s v="escorpio_20_11_88@hotmail.com"/>
        <s v="vieiracristiano.costa@gmail.com"/>
        <s v="braparos@gmail.com"/>
        <s v="janetisamarp@gmail.com"/>
        <s v="tumi15012006@gmail.com"/>
        <s v="renatoaparecidocosta@hotmail.com"/>
        <s v="dias.fabianap@hotmail.com"/>
        <s v="wally231272@gmail.com"/>
        <s v="danielmirandaxd2019@gmail.com"/>
        <s v="jackelinevilcapoma84@gmail.com"/>
        <s v="serviciosrapidos2019@gmail.com"/>
        <s v="marcelosomgois@gmail.com"/>
        <s v="jucimadeke@hotmail.com"/>
        <s v="wendolynsosafernandez@gmail.com"/>
        <s v="tantajulian@gmail.com"/>
        <s v="ronalturpo363@gmil.com"/>
        <s v="hector.anapan1966@gmail.com"/>
        <s v="riki29382@hotmail.com"/>
        <s v="henryalexander87@gmail.com"/>
        <s v="bruno_ghr93@hotmail.com"/>
        <s v="alexandraallstar16@gmail.com"/>
        <s v="victorgil1950@gmail.com"/>
        <s v="deniacuario_92_9@hotmail.com"/>
        <s v="martatemistokes@gmail.co"/>
        <s v="gi.mingati@hotmail.com"/>
        <s v="marychura78@gmail.com"/>
        <s v="guilherme.alves6@icloud.com"/>
        <s v="raul.honorio.carrillo@gmail.com"/>
        <s v="arturazabal@gmail.com"/>
        <s v="rcadillod891@gmail.com"/>
        <s v="videira1003@gmail.com"/>
        <s v="cllanos26@gmail.com"/>
        <s v="yersonvillanuevaanticona@gmail.com"/>
        <s v="pitbarc@hotmail.com"/>
        <s v="cesarpalominonavarro62@gmail.com"/>
        <s v="mex2015@gmail.com"/>
        <s v="eslogatica24@gmail.com"/>
        <s v="camposchimoysegundomanuel@gmail.com"/>
        <s v="daniel.omar.p.u@gmail.com"/>
        <s v="maxmunozfire@gmail.com"/>
        <s v="malcoseralvarado7@gmail.com"/>
        <s v="kikelarosa@gmail.com"/>
        <s v="diegovp060425@gmail.com"/>
        <s v="zunigalandeoeveldyandres@gmail.com"/>
        <s v="javierbelisarioriosmori17@gmail.com"/>
        <s v="martini_018@hotmail.com"/>
        <s v="cicerofernandescf45@gmail.com"/>
        <s v="celestetorresmunoz@gmail.com"/>
        <s v="biozark2@gmail.com"/>
        <s v="javier.diaz.tenorio@gmail.com"/>
        <s v="jesusramos1801@hotmail.com"/>
        <s v="trade2winnow@gmail.com"/>
        <s v="giancachavillanueva310@gmail.com"/>
        <s v="felipe_go5@hotmail.com"/>
        <s v="ls7420058@gmail.com"/>
        <s v="jgoncalves4498@gmail.com"/>
        <s v="delcomsys@gmail.com"/>
        <s v="jblossiers@ssiblosac.com"/>
        <s v="marianohepp@gmail.com"/>
        <s v="rcasas2018@gmail.com"/>
        <s v="mihetyrf@gmail.com"/>
        <s v="daysuke789@gmail.com"/>
        <s v="anaclara.nane128@gmail.com"/>
        <s v="estikerswii@gmail.com"/>
        <s v="liathaisgomeztello@gmail.com"/>
        <s v="20140972@aloe.ulima.edu.pe"/>
        <s v="yorchsrocaespinal@gmail.com"/>
        <s v="gllacsa@gmail.com"/>
        <s v="yenlivicentecampoverde@gmail.com"/>
        <s v="edmilson12bernabe@gmail.com"/>
        <s v="carlosenriquemenach@gmail.com"/>
        <s v="hnrlrs04@gmail.com"/>
        <s v="stephaniepj73@gmail.com"/>
        <s v="castillochiroquesinai@gmail.com"/>
        <s v="csynthyc@hotmail.com"/>
        <s v="ravelykdrywall@gmail.com"/>
        <s v="gustavoandreacunhadossantos@gmail.com"/>
        <s v="floresluiz721@gmail.com"/>
        <s v="eliaporraslopez@gmail.com"/>
        <s v="asukutagawa@gmail.com"/>
        <s v="alezitoelunico83@gmail.com"/>
        <s v="gonzalezraf19@gmail.com"/>
        <s v="mcalcinaj14@gmail.com"/>
        <s v="romeropalaciosjhonnyjoseromero@gmail.com"/>
        <s v="pieroacevedoinga@gmail.com"/>
        <s v="joaquinsalas021@gmail.com"/>
        <s v="samanthacuadros29@gmail.com"/>
        <s v="lisandro.prado.lsd24@gmail.com"/>
        <s v="ojitosdecieza_02@gmail.com"/>
        <s v="milagroselizabeth733@gmail.com"/>
        <s v="bermudesmayra96@gmail.com"/>
        <s v="camibononi@yahoo.com.br"/>
        <s v="carmeambulay@gmairl.com"/>
        <s v="genertaricuarimavargas@gmail.com"/>
        <s v="severoas75@gmail.com"/>
        <s v="yadhirita123@gmail.com"/>
        <s v="judielquispevargas165@gmail.com"/>
        <s v="moiccof_@hotmail.com"/>
        <s v="aldorbn20@gmail.com"/>
        <s v="virgo_xx_liz@hotmail.com"/>
        <s v="mrweed650@gmail.com"/>
        <s v="gabrielcamasca22112007@gmail.com"/>
        <s v="jhonatantangoa69@gmail.com"/>
        <s v="mieguelromero605@gmail.com"/>
        <s v="daniadavilasilva84@gmail.com"/>
        <s v="fjvo87@gmail.com"/>
        <s v="arcaastudilloita0@gmail.com"/>
        <s v="lucerito9412@gmail.com"/>
        <s v="wily_huayllani@hotmail.com"/>
        <s v="isairr_25@hotmail.com"/>
        <s v="veroniramos628@gmail.com"/>
        <s v="yaquelintaya.30@gmail.com"/>
        <s v="augustoflor40@gmail.com"/>
        <s v="ydderf5@hotmail.com"/>
        <s v="huamanmaritza76@gmail.com"/>
        <s v="gabrielasantoscamargo@hotmail.com"/>
        <s v="naty.nfs@gmail.com"/>
        <s v="luisgarciagaribaldi1963@gmail.com"/>
        <s v="samiragoncalvesdemouragata@gmail.com"/>
        <s v="alexiitho2893@gmail.com"/>
        <s v="alexaguilarmori8@gmail.com"/>
        <s v="nachulli2017@gmail.com"/>
        <s v="kvaz.oliver@gmail.com"/>
        <s v="galileamaria17@gmail.com"/>
        <s v="mcdecorkids.edu@gmail.com"/>
        <s v="hugocharubengc@gmail.com"/>
        <s v="vertizrodriguezk@gmail.com"/>
        <s v="karinabueno043@gmail.com"/>
        <s v="halaeditores@gmail.com"/>
        <s v="borbagau2024@gmail.com"/>
        <s v="liramargot20@gmail.com"/>
        <s v="leandrocabeleireiro189@gmail.com"/>
        <s v="tonyriostuesta@gmail.com"/>
        <s v="jonalibra1@hotmail.com"/>
        <s v="cielo_ivana_diego@hotmail.com"/>
        <s v="alexandersaavedranolorve@gmail.com"/>
        <s v="jquispekayap@gmail.com"/>
        <s v="solob_2@hotmail.com"/>
        <s v="calcadoscanaz@gmail.com"/>
        <s v="migueldelacruzflores0@gmail.com"/>
        <s v="jaya.bim21@gmail.com"/>
        <s v="murayarituestafaber@gmail.com"/>
        <s v="yhojanvargasberrio@gmail.com"/>
        <s v="jbrenaa@gmail.com"/>
        <s v="jheremy.r.p.2008@gmail.com"/>
        <s v="****495@gmail.com"/>
        <s v="eclares.25@gmail.com"/>
        <s v="joel04786@gmail.com"/>
        <s v="julioventocillaugarte@gmail.com"/>
        <s v="mackstore2020@gmail.com"/>
        <s v="mendespresentes2@hotmail.com"/>
        <s v="leoramoss588@gmail.com"/>
        <s v="jhap3678@gmail.com"/>
        <s v="roderikt2001@gmail.com"/>
        <s v="perezsalazarmilagros9@gmail.com"/>
        <s v="****n61@gmail.com"/>
        <s v="sanez9220@gmail.com"/>
        <s v="jlapa0910@gmail.com"/>
        <s v="alfredocanalzamora95@gmail.com"/>
        <s v="vittaliciainversiones@gmail.com"/>
        <s v="optica.vision.estiloi@gmail.com"/>
        <s v="rubeninfantesromero@gmail.com"/>
        <s v="christianvargasgarcia1507@gmail.com"/>
        <s v="carolinaravines0@gmail.com"/>
        <s v="gricaldeztorres@gmail.com"/>
        <s v="sebasteo2411@gmail.com"/>
        <s v="betzabethquispevilca@gmail.com"/>
        <s v="hoic_isca_30@hitmail.com"/>
        <s v="huaman150895@gmail.com"/>
        <s v="petadventure.gerencia@gmail.com"/>
        <s v="helene.ventas@gmail.com"/>
        <s v="borghi84.jard@gmail.com"/>
        <s v="erikarrvargas@gmail.com"/>
        <s v="contatolinefins@gmail.com"/>
        <s v="dcusib@unjbg.edu.pe"/>
        <s v="serginhop2p@gmail.com"/>
        <s v="fliaprince@gmail.com"/>
        <s v="isacarantes0@gmail.com"/>
        <s v="carlospuga014@gmail.com"/>
        <s v="luceroropa8@gmail.com"/>
        <s v="angelmanriquefigueroa@gmail.com"/>
        <s v="daga.gonzales.ja@gmail.com"/>
        <s v="josue.marchan.ramirez@gmail.com"/>
        <s v="juandiegochavezzuniga@gmail.com"/>
        <s v="trigozojaboyojaniroxi@gmail.com"/>
        <s v="marcosrobertoavila2014@gmail.com"/>
        <s v="niltonalmeida211@gmail.com"/>
        <s v="incorpshop.pe@gmail.com"/>
        <s v="marquesdapazcristiano391@gmail.com"/>
        <s v="arletrk443@gmail.com"/>
        <s v="anderson159911@gmail.com"/>
        <s v="elielianaribeirodorosario@gmail.com"/>
        <s v="cavalcantejj2014@gmail.com"/>
        <s v="felipearturotiradocarrillo8@gmail.com"/>
        <s v="the_deaht@hotmail.com"/>
        <s v="deysydxn@gmail.com"/>
        <s v="mvillegas1204@gmail.com"/>
        <s v="llobito123l@gmail.com"/>
        <s v="ramoszaratezarai@gmail.com"/>
        <s v="yelzonitalofigueredocaldas@gmail.com"/>
        <s v="pypjulio@gmail.com"/>
        <s v="valeryvilcamarin@gmail.com"/>
        <s v="victoriaoliveravasquez@gmail.com"/>
        <s v="donayreteobaldo@gmail.com"/>
        <s v="edgarore474@gmail.com"/>
        <s v="henrhyccantoperez@gmail.com"/>
        <s v="rubenes720917@gmail.com"/>
        <s v="aljemise@live.com"/>
        <s v="mg7589955@gmail.com"/>
        <s v="jhbrjose@gmail.com"/>
        <s v="ezin.anle.dael@gmail.com"/>
        <s v="ricardorarroyo@gmail.com"/>
        <s v="cheto.chalco.19@gmail.com"/>
        <s v="alexanderzapta2004@gmail.com"/>
        <s v="joelfalcon1985@gmail.com"/>
        <s v="riccellybruno9@gmail.com"/>
        <s v="georgevalverd@gmail.com"/>
        <s v="andreacampos_santos@hotmail.com"/>
        <s v="vsilvah1996@gmail.com"/>
        <s v="calderonzavalajoseantonio@hotmail.com"/>
        <s v="jarin248438@gmail.com"/>
        <s v="reiner.narr@vemdo.cl"/>
        <s v="villanuevalalyzacura@gmail.com"/>
        <s v="anaisoj@hotmail.com"/>
        <s v="marcia.pariseventos@gmail.com"/>
        <s v="amesarinallerena@gmail.com"/>
        <s v="gmedali79@gmail.com"/>
        <s v="andyhenrry7@gmail.com"/>
        <s v="enryque001@gmail.com"/>
        <s v="carlosvargasduliam@gmail.com"/>
        <s v="jkimmodastore@gmail.com"/>
        <s v="yuttdemil@gmail.com"/>
        <s v="aelsonsantana241@gmail.com"/>
        <s v="naleon777@hotmail.com"/>
        <s v="canal99internacional@gmail.com"/>
        <s v="rocio_scs@hotmail.com"/>
        <s v="mariaraimundarocha27@gmail.com"/>
        <s v="rofer6@yahoo.com"/>
        <s v="n00165576@gmail.com"/>
        <s v="limberamaringoramirez@gmail.com"/>
        <s v="milton.melendez.c@gmail.com"/>
        <s v="vulcaolidao@gmail.com"/>
        <s v="ofertaslimaperu@gmail.com"/>
        <s v="teresarojitas20@gmail.com"/>
        <s v="amorcitoracosta@gmail.com"/>
        <s v="dianav03@hotmail.com"/>
        <s v="hectorantoniotokumotoguibu@gmail.com"/>
        <s v="sennasamuel362@gmail.com"/>
        <s v="contacto@satelitalsecurity.com"/>
        <s v="menajaramangrol@gmail.com"/>
        <s v="franemidio.designer@gmail.com"/>
        <s v="karina.leyva.perochena@gmail.com"/>
        <s v="azambranoguarniz@gmail.com"/>
        <s v="erasmotrade@gmail.com"/>
        <s v="max.velasco19@gmail.com"/>
        <s v="xena_08@hotmail.com"/>
        <s v="vendas@cymaz.com"/>
        <s v="ammyrugel12@gmail.com"/>
        <s v="smithastocondori@gmail.com"/>
        <s v="contacto@desayunaconmigo.com"/>
        <s v="percisito2012@gmail.com"/>
        <s v="renatocastro@outlook.com"/>
        <s v="melisa818938e@gmail.com"/>
        <s v="marciafm07@gmail.com"/>
        <s v="luzsantoschinchay040@gmail.com"/>
        <s v="yamile.luna.aguirre@gmail.com"/>
        <s v="sierrapaucardaniel@gmail.com"/>
        <s v="manuelzapata20@hotmail.com"/>
        <s v="aurora2014-2014@outlook.com"/>
        <s v="christianwilbermunoz@gmail.com"/>
        <s v="washington.wn77@gmail.com"/>
        <s v="asencioskary@gmail.com"/>
        <s v="chris.pretinha@hotmail.com"/>
        <s v="terronesdiazmarioantonio2027@gmail.com"/>
        <s v="perutecnogadget@gmail.com"/>
        <s v="davidmarianodios@gmail.com"/>
        <s v="roneihenrique158@gmail.com"/>
        <s v="oscarnetworkingpro@gmail.com"/>
        <s v="marineiamcampos@outlook.com"/>
        <s v="labanneyra38@gmail.com"/>
        <s v="haslylucialaramarquina@gmail.com"/>
        <s v="travieso_capricornio_16@hotmail.com"/>
        <s v="cintiacaetano2024@gmail.com"/>
        <s v="favinellamallmalopez@gmail.com"/>
        <s v="kuglerguilherme@gmail.com"/>
        <s v="idegobooks@gmail.com"/>
        <s v="rbarranzuelagutierrez@gmail.com"/>
        <s v="julianajlimpressoes25@gmail.com"/>
        <s v="imp.lyseani@hotmail.com"/>
        <s v="ofernandez80@gmail.com"/>
        <s v="pd935912@gmail.com"/>
        <s v="valboaalessandrojos@gmail.com"/>
        <s v="angelicarenaware@hotmail.com"/>
        <s v="pulachejeferivan@gmail.com"/>
        <s v="adlinebura@gmail.com"/>
        <s v="gnapuriortega@gmail.com"/>
        <s v="cervantesfarfanm@gmail.com"/>
        <s v="rennerivera058@gmail.com"/>
        <s v="saulpapiquiliche@gmail.com"/>
        <s v="andyserg97@gmail.com"/>
        <s v="nicollealexandravasquezvasquez@gmail.com"/>
        <s v="colinayanivet@gmail.com"/>
        <s v="poholelfren07@gmail.com"/>
        <s v="mecraul@hotmail.com"/>
        <s v="homeoffice.taisratier@gmail.com"/>
        <s v="electricistanilton@gmail.com"/>
        <s v="ervv.27.05@gmail.com"/>
        <s v="stalinlastra58@gmail.com"/>
        <s v="crauchavez@gmail.com"/>
        <s v="cabenatto44@gmail.com"/>
        <s v="m75070582@gmail.com"/>
        <s v="churamarjori325@gmail.com"/>
        <m/>
      </sharedItems>
    </cacheField>
    <cacheField name="Celular" numFmtId="0">
      <sharedItems containsString="0" containsBlank="1" containsNumber="1" containsInteger="1">
        <n v="5.1931386313E10"/>
        <n v="5.1922266495E10"/>
        <n v="5.1979224856E10"/>
        <n v="5.533998636823E12"/>
        <n v="5.527997799292E12"/>
        <n v="5.1967380067E10"/>
        <n v="5.1922126304E10"/>
        <n v="5.56699636999E12"/>
        <n v="5.1995432948E10"/>
        <n v="5.571999962332E12"/>
        <n v="5.599982760066E12"/>
        <n v="5.1991676367E10"/>
        <n v="5.1934918445E10"/>
        <n v="5.1997686525E10"/>
        <n v="5.1918484541E10"/>
        <n v="5.26624609444E11"/>
        <n v="5.1943670371E10"/>
        <n v="5.1983483154E10"/>
        <n v="5.1942001716E10"/>
        <n v="5.23315290263E11"/>
        <n v="5.1944917688E10"/>
        <n v="5.534992157506E12"/>
        <n v="5.194262766E10"/>
        <n v="5.2812073466E11"/>
        <n v="5.521982446714E12"/>
        <n v="5.1934002912E10"/>
        <n v="5.1964049675E10"/>
        <n v="5.22381513804E11"/>
        <n v="5.1987821794E10"/>
        <n v="5.23223719779E11"/>
        <n v="5.1900084373E10"/>
        <n v="5.562992753805E12"/>
        <n v="5.1930807106E10"/>
        <n v="5.541998193312E12"/>
        <n v="5.28713150068E11"/>
        <n v="5.519920032074E12"/>
        <n v="5.22461502675E11"/>
        <n v="5.25529206464E11"/>
        <n v="5.1959642441E10"/>
        <n v="5.25554925067E11"/>
        <n v="5.84128711325E11"/>
        <n v="5.1923401012E10"/>
        <n v="5.53197190405E12"/>
        <n v="5.1982496639E10"/>
        <n v="5.1941457934E10"/>
        <n v="5.1996531907E10"/>
        <n v="5.519974170754E12"/>
        <n v="5.531993566035E12"/>
        <n v="5.22414076573E11"/>
        <n v="5.1925683269E10"/>
        <n v="5.1993508117E10"/>
        <n v="5.1989421236E10"/>
        <n v="5.5119000009E12"/>
        <n v="5.22292031395E11"/>
        <n v="5.527999979109E12"/>
        <n v="5.1939026898E10"/>
        <n v="5.1935888337E10"/>
        <n v="5.1969836472E10"/>
        <n v="5.1959655112E10"/>
        <n v="5.1966397464E10"/>
        <n v="5.511977969274E12"/>
        <n v="5.1950765966E10"/>
        <n v="5.1990331364E10"/>
        <n v="5.1963250005E10"/>
        <n v="5.515998520133E12"/>
        <n v="5.1989232023E10"/>
        <n v="5.514991823412E12"/>
        <n v="5.190261603E10"/>
        <n v="5.1937602103E10"/>
        <n v="5.524988214586E12"/>
        <n v="5.1952948101E10"/>
        <n v="5.1981957863E10"/>
        <n v="5.28712427834E11"/>
        <n v="5.24448463991E11"/>
        <n v="5.1998284379E10"/>
        <n v="5.1982295587E10"/>
        <n v="5.1916433921E10"/>
        <n v="5.1941804537E10"/>
        <n v="5.1907700287E10"/>
        <n v="5.1994603576E10"/>
        <n v="5.24611173526E11"/>
        <n v="5.511914866196E12"/>
        <n v="5.579991248951E12"/>
        <n v="5.535991555608E12"/>
        <n v="5.1976367565E10"/>
        <n v="5.1959972358E10"/>
        <n v="5.1949220358E10"/>
        <n v="5.1941871878E10"/>
        <n v="5.1933265214E10"/>
        <n v="5.1984305406E10"/>
        <n v="5.1942261606E10"/>
        <n v="5.1935633678E10"/>
        <n v="5.1922175401E10"/>
        <n v="5.1979348044E10"/>
        <n v="5.1934025842E10"/>
        <n v="5.27221057454E11"/>
        <n v="5.25581858617E11"/>
        <n v="5.26671943704E11"/>
        <n v="5.1902473556E10"/>
        <n v="5.511994639575E12"/>
        <n v="5.1929708472E10"/>
        <n v="5.1993770978E10"/>
        <n v="5.1987705001E10"/>
        <n v="5.1998658925E10"/>
        <n v="5.1974399327E10"/>
        <n v="5.1941460964E10"/>
        <n v="5.1951992485E10"/>
        <n v="5.1951497881E10"/>
        <n v="5.25578034775E11"/>
        <n v="5.1993123317E10"/>
        <n v="5.53899974372E12"/>
        <n v="5.1931717639E10"/>
        <n v="5.1924993988E10"/>
        <n v="5.190693225E10"/>
        <n v="5.198916079E10"/>
        <n v="5.190557291E10"/>
        <n v="5.514981574555E12"/>
        <n v="5.193466183E10"/>
        <n v="5.582987222496E12"/>
        <n v="5.544991411461E12"/>
        <n v="5.1991263E10"/>
        <n v="5.24272777758E11"/>
        <n v="5.511914745664E12"/>
        <n v="5.1977146621E10"/>
        <n v="5.1934529807E10"/>
        <n v="5.41138776928E11"/>
        <n v="5.1975131051E10"/>
        <n v="5.25636223484E11"/>
        <n v="5.1923187916E10"/>
        <n v="5.1939077268E10"/>
        <n v="5.1918245644E10"/>
        <n v="5.1922328202E10"/>
        <n v="5.1941178835E10"/>
        <n v="5.29371253696E11"/>
        <n v="5.1989009435E10"/>
        <n v="5.1980655403E10"/>
        <n v="5.1949388202E10"/>
        <n v="5.1956883469E10"/>
        <n v="5.511964543887E12"/>
        <n v="5.51197314073E12"/>
        <n v="5.27737345889E11"/>
        <n v="5.1981465138E10"/>
        <n v="5.52299857542E12"/>
        <n v="5.551991953678E12"/>
        <n v="5.1981542565E10"/>
        <n v="5.190024975E10"/>
        <n v="5.522992375834E12"/>
        <n v="5.1951751274E10"/>
        <n v="5.1901751128E10"/>
        <n v="5.543999541209E12"/>
        <n v="5.1949629525E10"/>
        <n v="5.1994766711E10"/>
        <n v="5.1992280072E10"/>
        <n v="5.1984727264E10"/>
        <n v="5.1944241625E10"/>
        <n v="5.1914903918E10"/>
        <n v="5.26311473687E11"/>
        <n v="5.25616090661E11"/>
        <n v="5.1992992786E10"/>
        <n v="5.198775558E10"/>
        <n v="5.1949393051E10"/>
        <n v="5.1984264425E10"/>
        <n v="5.29931504532E11"/>
        <n v="5.562992519791E12"/>
        <n v="5.1919599057E10"/>
        <n v="5.24451001104E11"/>
        <n v="5.1941533084E10"/>
        <n v="5.28111821907E11"/>
        <n v="5.1987772998E10"/>
        <n v="1.8095671087E10"/>
        <n v="5.53198549484E12"/>
        <n v="5.531990855445E12"/>
        <n v="5.1933369991E10"/>
        <n v="5.1924704905E10"/>
        <n v="5.25510176928E11"/>
        <n v="5.23231102312E11"/>
        <n v="5.23328287387E11"/>
        <n v="5.1989777232E10"/>
        <n v="5.1924026101E10"/>
        <n v="5.296128785E11"/>
        <n v="5.25585329341E11"/>
        <n v="5.22294344689E11"/>
        <n v="5.585992456261E12"/>
        <n v="5.24775383395E11"/>
        <n v="5.586999835079E12"/>
        <n v="5.1961985568E10"/>
        <n v="5.1973524007E10"/>
        <n v="5.24773250812E11"/>
        <n v="5.198427192E10"/>
        <n v="5.1997317464E10"/>
        <n v="5.1936376861E10"/>
        <n v="5.255372959E11"/>
        <n v="5.1961593603E10"/>
        <n v="5.1945912581E10"/>
        <n v="5.23317037956E11"/>
        <n v="5.561993536497E12"/>
        <n v="5.1940713934E10"/>
        <n v="5.1959592122E10"/>
        <n v="5.1986117814E10"/>
        <n v="5.1920839649E10"/>
        <n v="5.1927048341E10"/>
        <n v="5.1999659312E10"/>
        <n v="5.1986849202E10"/>
        <n v="5.598981704383E12"/>
        <n v="5.1997421245E10"/>
        <n v="5.1994708237E10"/>
        <n v="5.583991243924E12"/>
        <n v="5.57598160477E12"/>
        <n v="5.1956268626E10"/>
        <n v="5.533988805229E12"/>
        <n v="5.1940554675E10"/>
        <n v="5.1981150838E10"/>
        <n v="5.516981819083E12"/>
        <n v="5.22212704216E11"/>
        <n v="5.1941104328E10"/>
        <n v="5.1948704928E10"/>
        <n v="5.1924237895E10"/>
        <n v="5.524981042135E12"/>
        <n v="5.198618159E10"/>
        <n v="5.1925057775E10"/>
        <n v="5.73208947259E11"/>
        <n v="5.1970851842E10"/>
        <n v="5.1989675632E10"/>
        <n v="5.1975445651E10"/>
        <n v="5.1991845454E10"/>
        <n v="5.95974111101E11"/>
        <n v="5.1933755187E10"/>
        <n v="5.2744571793E11"/>
        <n v="5.1986564646E10"/>
        <n v="5.56298482481E12"/>
        <n v="5.581999832887E12"/>
        <n v="5.29181152494E11"/>
        <n v="5.6949629684E10"/>
        <n v="5.1997122044E10"/>
        <n v="5.1992284529E10"/>
        <n v="5.541988520285E12"/>
        <n v="5.1923349929E10"/>
        <n v="5.0364322836E10"/>
        <n v="5.193380379E10"/>
        <n v="5.1970190845E10"/>
        <n v="5.511984026622E12"/>
        <n v="5.59898734897E12"/>
        <n v="5.1972028349E10"/>
        <n v="5.545991021613E12"/>
        <n v="5.562981273155E12"/>
        <n v="5.1920512703E10"/>
        <n v="5.24686871651E11"/>
        <n v="5.1990029755E10"/>
        <n v="5.27207674837E11"/>
        <n v="5.25564914194E11"/>
        <n v="5.1937282322E10"/>
        <n v="5.22711951939E11"/>
        <n v="5.1901200886E10"/>
        <n v="5.1965775288E10"/>
        <n v="5.1993781897E10"/>
        <n v="5.1998979576E10"/>
        <n v="5.24424682031E11"/>
        <n v="5.1932654112E10"/>
        <n v="5.199034277E10"/>
        <n v="5.1933686944E10"/>
        <n v="5.591992182073E12"/>
        <n v="5.521997775987E12"/>
        <n v="5.197960788E10"/>
        <n v="5.579988486604E12"/>
        <n v="5.23331461784E11"/>
        <n v="5.524981529462E12"/>
        <n v="5.1996280164E10"/>
        <n v="5.0372692714E10"/>
        <n v="5.28141191781E11"/>
        <n v="5.26564223909E11"/>
        <n v="5.26562172201E11"/>
        <n v="5.1980436626E10"/>
        <n v="5.0373350665E10"/>
        <n v="5.25591985187E11"/>
        <n v="5.195959364E10"/>
        <n v="5.1946567097E10"/>
        <n v="5.29512175164E11"/>
        <n v="5.22212256281E11"/>
        <n v="5.1992719895E10"/>
        <n v="5.1999534583E10"/>
        <n v="5.1943026361E10"/>
        <n v="5.1975016609E10"/>
        <n v="5.1902574284E10"/>
        <n v="5.1922457967E10"/>
        <n v="5.1991690035E10"/>
        <n v="5.511978351877E12"/>
        <n v="5.1961872165E10"/>
        <n v="5.1902884123E10"/>
        <n v="5.1960340026E10"/>
        <n v="5.198119238E10"/>
        <n v="5.19881416E10"/>
        <n v="5.1954396936E10"/>
        <n v="5.1946272287E10"/>
        <n v="5.1978717279E10"/>
        <n v="1.4075496076E10"/>
        <n v="5.26679530556E11"/>
        <n v="5.594999346005E12"/>
        <n v="5.1946363901E10"/>
        <n v="5.27717120481E11"/>
        <n v="5.1989561021E10"/>
        <n v="5.1908819021E10"/>
        <n v="5.1940393758E10"/>
        <n v="5.197261035E10"/>
        <n v="5.55198311939E12"/>
        <n v="5.1940417957E10"/>
        <n v="5.195326605E10"/>
        <n v="5.2562035405E11"/>
        <n v="5.584991910151E12"/>
        <n v="5.1989833228E10"/>
        <n v="5.26566578376E11"/>
        <n v="5.29931268394E11"/>
        <n v="5.1955736733E10"/>
        <n v="5.1988228822E10"/>
        <n v="5.1915951694E10"/>
        <n v="5.517982121868E12"/>
        <n v="5.1931969018E10"/>
        <n v="5.1931286144E10"/>
        <n v="5.1939536427E10"/>
        <n v="5.1934646256E10"/>
        <n v="2.348105883004E12"/>
        <n v="5.1986802494E10"/>
        <n v="5.598985958258E12"/>
        <n v="5.551995220473E12"/>
        <n v="5.521998310113E12"/>
        <n v="5.24494372566E11"/>
        <n v="5.28118584427E11"/>
        <n v="5.1934691871E10"/>
        <n v="5.528999944139E12"/>
        <n v="5.581991097841E12"/>
        <n v="5.524993209745E12"/>
        <n v="5.28111188104E11"/>
        <n v="5.564996034205E12"/>
        <n v="5.1959582168E10"/>
        <n v="5.2554152198E11"/>
        <n v="5.1979632034E10"/>
        <n v="5.55436984275E11"/>
        <n v="5.25510528646E11"/>
        <n v="5.542984021097E12"/>
        <n v="5.1947190765E10"/>
        <n v="5.516997712075E12"/>
        <n v="5.26143589253E11"/>
        <n v="5.25649946121E11"/>
        <n v="5.555992673131E12"/>
        <n v="5.1955212018E10"/>
        <n v="5.1978798943E10"/>
        <n v="5.1906490188E10"/>
        <n v="5.1992440315E10"/>
        <n v="5.1904177142E10"/>
        <n v="5.1973974597E10"/>
        <n v="5.28136408842E11"/>
        <n v="5.1920579138E10"/>
        <n v="5.527999416545E12"/>
        <n v="5.1970434091E10"/>
        <n v="5.1956157668E10"/>
        <n v="5.1956445063E10"/>
        <n v="5.1934780651E10"/>
        <n v="5.1942353111E10"/>
        <n v="5.1954708112E10"/>
        <n v="5.1927894193E10"/>
        <n v="5.1962324668E10"/>
        <n v="5.198063367E10"/>
        <n v="5.1904207771E10"/>
        <n v="5.198742946E10"/>
        <n v="5.1941626014E10"/>
        <n v="5.1904201202E10"/>
        <n v="5.1932051126E10"/>
        <n v="5.939980104E11"/>
        <n v="5.198408033E10"/>
        <n v="5.25543439044E11"/>
        <n v="5.93968923667E11"/>
        <n v="5.199912345E10"/>
        <n v="5.1945895349E10"/>
        <n v="5.7300455475E11"/>
        <n v="5.511970931622E12"/>
        <n v="5.1988065223E10"/>
        <n v="5.551983295353E12"/>
        <n v="5.1936956306E10"/>
        <n v="5.1996482065E10"/>
        <n v="5.1943709354E10"/>
        <n v="5.1907142457E10"/>
        <n v="5.1946038915E10"/>
        <n v="5.1910742831E10"/>
        <n v="5.1906957522E10"/>
        <n v="5.1938647193E10"/>
        <n v="5.198933449E10"/>
        <n v="5.555999275687E12"/>
        <n v="5.2476139135E11"/>
        <n v="5.1999222575E10"/>
        <n v="5.29933843428E11"/>
        <n v="5.1986962358E10"/>
        <n v="5.511912749534E12"/>
        <n v="5.1986732663E10"/>
        <n v="5.1907464313E10"/>
        <n v="5.1957860856E10"/>
        <n v="5.1936147402E10"/>
        <n v="5.1999964016E10"/>
        <n v="5.1906616981E10"/>
        <n v="5.1984431366E10"/>
        <n v="5.532988070397E12"/>
        <n v="5.1923045218E10"/>
        <n v="5.547997675858E12"/>
        <n v="5.1987112089E10"/>
        <n v="5.25630876372E11"/>
        <n v="5.1956261867E10"/>
        <n v="5.1921965254E10"/>
        <n v="5.1910940446E10"/>
        <n v="5.585992668579E12"/>
        <n v="5.1965430052E10"/>
        <n v="5.1910220239E10"/>
        <n v="5.1992762638E10"/>
        <n v="5.1960584382E10"/>
        <n v="5.1930917127E10"/>
        <n v="5.1992000182E10"/>
        <n v="5.1978238968E10"/>
        <n v="5.1982856704E10"/>
        <n v="5.1921871327E10"/>
        <n v="5.1968848593E10"/>
        <n v="5.54899685693E12"/>
        <n v="5.1982096929E10"/>
        <n v="5.1930981197E10"/>
        <n v="5.1941025658E10"/>
        <n v="5.512996001261E12"/>
        <n v="5.1945224109E10"/>
        <n v="5.1964538043E10"/>
        <n v="5.26871772906E11"/>
        <n v="5.1918104627E10"/>
        <n v="5.1922224281E10"/>
        <n v="5.24771595715E11"/>
        <n v="5.511989694091E12"/>
        <n v="5.1942607562E10"/>
        <n v="5.1973856239E10"/>
        <n v="5.1999116001E10"/>
        <n v="5.1941331638E10"/>
        <n v="5.19931551E10"/>
        <n v="5.193230318E10"/>
        <n v="5.1970960752E10"/>
        <n v="5.1973021342E10"/>
        <n v="5.1920022337E10"/>
        <n v="5.24778251645E11"/>
        <n v="5.1986759934E10"/>
        <n v="5.1912755181E10"/>
        <n v="5.1943319027E10"/>
        <n v="5.22221010531E11"/>
        <n v="5.1964197393E10"/>
        <n v="5.1984819911E10"/>
        <n v="5.1967116982E10"/>
        <n v="5.25519365756E11"/>
        <n v="5.551985881591E12"/>
        <n v="5.1941500171E10"/>
        <n v="5.1997774083E10"/>
        <n v="5.1934755552E10"/>
        <n v="5.1939320691E10"/>
        <n v="5.1930163396E10"/>
        <n v="5.1996376971E10"/>
        <n v="5.28442752849E11"/>
        <n v="5.1998909455E10"/>
        <n v="5.1910445556E10"/>
        <n v="5.23111429357E11"/>
        <n v="5.22451128852E11"/>
        <n v="5.1901170429E10"/>
        <n v="5.511965360758E12"/>
        <n v="5.562981829357E12"/>
        <n v="5.1924668842E10"/>
        <n v="5.24422692826E11"/>
        <n v="5.1930992145E10"/>
        <n v="5.1983721625E10"/>
        <n v="5.1975001315E10"/>
        <n v="5.1924956224E10"/>
        <n v="5.1987733977E10"/>
        <n v="5.2558804333E11"/>
        <n v="5.1994895245E10"/>
        <n v="5.547997206234E12"/>
        <n v="5.1984626175E10"/>
        <n v="5.577991092517E12"/>
        <n v="5.1936819878E10"/>
        <n v="5.1969848768E10"/>
        <n v="5.22216409527E11"/>
        <n v="5.1965376752E10"/>
        <n v="5.1972083138E10"/>
        <n v="5.52197072307E12"/>
        <n v="5.1981364447E10"/>
        <n v="5.1983994185E10"/>
        <n v="5.28183629847E11"/>
        <n v="5.1930415578E10"/>
        <n v="5.73127164506E11"/>
        <n v="5.1902893039E10"/>
        <n v="5.1951438987E10"/>
        <n v="5.1946236634E10"/>
        <n v="5.192324428E10"/>
        <n v="5.511980565008E12"/>
        <n v="5.1958136157E10"/>
        <n v="5.1907668005E10"/>
        <n v="5.569992369502E12"/>
        <n v="5.194615628E10"/>
        <n v="5.562993034828E12"/>
        <n v="5.1987528989E10"/>
        <n v="5.1991205731E10"/>
        <n v="5.28110731511E11"/>
        <n v="5.19472015E10"/>
        <n v="5.1977219427E10"/>
        <n v="5.511960697767E12"/>
        <n v="5.28287684445E11"/>
        <n v="5.29671340012E11"/>
        <n v="5.586999898295E12"/>
        <n v="5.551984191286E12"/>
        <n v="5.25534676774E11"/>
        <n v="5.1985361886E10"/>
        <n v="5.1949976766E10"/>
        <n v="5.545991241459E12"/>
        <n v="5.28443834702E11"/>
        <n v="5.521992539702E12"/>
        <n v="5.58499682021E12"/>
        <n v="5.1942818554E10"/>
        <n v="5.564981428653E12"/>
        <n v="5.26241578696E11"/>
        <n v="5.1949377031E10"/>
        <n v="5.24436166996E11"/>
        <n v="5.1946793424E10"/>
        <n v="5.1933755826E10"/>
        <n v="5.1952820007E10"/>
        <n v="5.1936329102E10"/>
        <n v="5.1957349915E10"/>
        <n v="5.2999175105E11"/>
        <n v="5.1925436268E10"/>
        <n v="5.1968168382E10"/>
        <n v="5.1980474501E10"/>
        <n v="5.1994132984E10"/>
        <n v="5.1905607076E10"/>
        <n v="5.1989975455E10"/>
        <n v="5.196029306E10"/>
        <n v="5.1926879946E10"/>
        <n v="5.1941853279E10"/>
        <n v="1.9095253842E10"/>
        <n v="5.23314510135E11"/>
        <n v="5.29617142476E11"/>
        <n v="5.25578835089E11"/>
        <n v="5.549984216316E12"/>
        <n v="5.84142528976E11"/>
        <n v="5.198741231E10"/>
        <n v="5.1935851172E10"/>
        <n v="5.1962534775E10"/>
        <n v="5.571993382767E12"/>
        <n v="5.1933539424E10"/>
        <n v="5.197165913E10"/>
        <n v="5.1931151684E10"/>
        <n v="5.535991628904E12"/>
        <n v="5.1934979973E10"/>
        <n v="5.585988694067E12"/>
        <n v="5.29992352787E11"/>
        <n v="5.53199448717E12"/>
        <n v="5.521969166613E12"/>
        <n v="5.1997450149E10"/>
        <n v="5.591993520194E12"/>
        <n v="5.1904148922E10"/>
        <n v="5.198283106E10"/>
        <n v="5.1986258771E10"/>
        <n v="5.22299332139E11"/>
        <n v="5.1954780771E10"/>
        <n v="5.199275983E10"/>
        <n v="5.25610900165E11"/>
        <n v="5.1950125477E10"/>
        <n v="5.29212236569E11"/>
        <n v="5.511978980553E12"/>
        <n v="5.511934935384E12"/>
        <n v="5.591993342426E12"/>
        <n v="5.1969556341E10"/>
        <n v="5.1906292709E10"/>
        <n v="5.1900798216E10"/>
        <n v="5.19990072E10"/>
        <n v="5.1993560041E10"/>
        <n v="5.518996380975E12"/>
        <n v="5.1904852896E10"/>
        <n v="5.1996799418E10"/>
        <n v="5.1984834106E10"/>
        <n v="3.4640091359E10"/>
        <n v="5.1943449116E10"/>
        <n v="5.1995250309E10"/>
        <n v="5.1922381963E10"/>
        <n v="5.25514273871E11"/>
        <n v="5.1993280506E10"/>
        <n v="5.1988116093E10"/>
        <n v="5.1916689084E10"/>
        <n v="5.1958954982E10"/>
        <n v="5.73189975933E11"/>
        <n v="5.191798805E10"/>
        <n v="5.1979150876E10"/>
        <n v="5.1945377729E10"/>
        <n v="5.1963402275E10"/>
        <n v="5.599981264369E12"/>
        <n v="5.585981941343E12"/>
        <n v="5.591989343885E12"/>
        <n v="5.26141512018E11"/>
        <n v="5.25619090298E11"/>
        <n v="5.25644163366E11"/>
        <n v="5.511942177673E12"/>
        <n v="5.73053348385E11"/>
        <n v="5.1973256287E10"/>
        <n v="5.562996495714E12"/>
        <n v="5.527997220648E12"/>
        <n v="5.583999713163E12"/>
        <n v="5.535999634765E12"/>
        <n v="5.53198672528E12"/>
        <n v="5.527998726927E12"/>
        <n v="5.1907858575E10"/>
        <n v="5.1993499943E10"/>
        <n v="5.1967332833E10"/>
        <n v="5.1906113988E10"/>
        <n v="5.1910954746E10"/>
        <n v="5.26622006867E11"/>
        <n v="5.1946658707E10"/>
        <n v="5.26866063511E11"/>
        <n v="5.1981440343E10"/>
        <n v="5.1959781385E10"/>
        <n v="5.23310680476E11"/>
        <n v="5.1923395615E10"/>
        <n v="5.1994617198E10"/>
        <n v="5.26441970846E11"/>
        <n v="5.1968796677E10"/>
        <n v="5.22271537766E11"/>
        <n v="5.27298269196E11"/>
        <n v="5.1994025829E10"/>
        <n v="5.22284049387E11"/>
        <n v="5.1948717275E10"/>
        <n v="5.23334170704E11"/>
        <n v="5.1980179348E10"/>
        <n v="5.26563131331E11"/>
        <n v="5.1966630358E10"/>
        <n v="5.29621357552E11"/>
        <n v="5.199870911E10"/>
        <n v="5.1938392779E10"/>
        <n v="5.198565116E10"/>
        <n v="5.24464044521E11"/>
        <n v="5.1931531131E10"/>
        <n v="5.29585877144E11"/>
        <n v="5.25623221685E11"/>
        <n v="5.1981360649E10"/>
        <n v="5.1952258128E10"/>
        <n v="5.1984265271E10"/>
        <n v="5.24776381606E11"/>
        <n v="5.1933281525E10"/>
        <n v="5.25618605949E11"/>
        <n v="5.1987053403E10"/>
        <n v="5.28683719217E11"/>
        <n v="5.1910549617E10"/>
        <n v="5.581996769615E12"/>
        <n v="5.1903052807E10"/>
        <n v="5.1970140954E10"/>
        <n v="5.1986701105E10"/>
        <n v="5.1922787621E10"/>
        <n v="5.1920132937E10"/>
        <n v="5.1935995948E10"/>
        <n v="5.1912574876E10"/>
        <n v="5.1949599339E10"/>
        <n v="5.1960228303E10"/>
        <n v="5.22223250895E11"/>
        <n v="5.1951781968E10"/>
        <n v="5.199870419E10"/>
        <n v="5.1968120185E10"/>
        <n v="5.22711266509E11"/>
        <n v="5.1902310168E10"/>
        <n v="5.28334275397E11"/>
        <n v="5.73103571775E11"/>
        <n v="5.28115299427E11"/>
        <n v="5.598920007778E12"/>
        <n v="5.1907358762E10"/>
        <n v="5.1946892167E10"/>
        <n v="5.599992025679E12"/>
        <n v="5.1962997106E10"/>
        <n v="5.7300558242E11"/>
        <n v="5.1991162418E10"/>
        <n v="5.24741291428E11"/>
        <n v="5.541987284305E12"/>
        <n v="5.511992307635E12"/>
        <n v="5.1965707331E10"/>
        <n v="5.1917807941E10"/>
        <n v="5.1961680332E10"/>
        <n v="5.198234067E10"/>
        <n v="5.1972669995E10"/>
        <n v="5.1974371553E10"/>
        <n v="5.562991142815E12"/>
        <n v="5.513996897302E12"/>
        <n v="5.27451007604E11"/>
        <n v="5.1977528368E10"/>
        <n v="5.514997793079E12"/>
        <n v="5.1987953095E10"/>
        <n v="5.1906285888E10"/>
        <n v="5.541992780595E12"/>
        <n v="5.547996325527E12"/>
        <n v="5.1935836716E10"/>
        <n v="5.1938464208E10"/>
        <n v="5.1922189571E10"/>
        <n v="5.25551079029E11"/>
        <n v="5.23315288207E11"/>
        <n v="5.1947480713E10"/>
        <n v="5.26313185812E11"/>
        <n v="5.1955267591E10"/>
        <n v="5.1997411275E10"/>
        <n v="5.29715206687E11"/>
        <n v="5.190258861E10"/>
        <n v="5.1925781977E10"/>
        <n v="5.581996544407E12"/>
        <n v="5.29858082313E11"/>
        <n v="1.3128105272E10"/>
        <n v="5.1961377834E10"/>
        <n v="5.23861066947E11"/>
        <n v="5.196955712E10"/>
        <n v="5.222939105E11"/>
        <n v="5.1907240689E10"/>
        <n v="5.591985900226E12"/>
        <n v="5.1997631809E10"/>
        <n v="5.1941100896E10"/>
        <n v="5.1931107335E10"/>
        <n v="5.1952652824E10"/>
        <n v="5.28711074916E11"/>
        <n v="5.1906252898E10"/>
        <n v="5.199599512E10"/>
        <n v="5.1963306791E10"/>
        <n v="5.22299785632E11"/>
        <n v="5.1910222353E10"/>
        <n v="5.22224385881E11"/>
        <n v="5.592992054008E12"/>
        <n v="5.25527740128E11"/>
        <n v="5.1962820299E10"/>
        <n v="5.1946086488E10"/>
        <n v="5.1932231877E10"/>
        <n v="5.1969348243E10"/>
        <n v="5.29932364167E11"/>
        <n v="5.1900796522E10"/>
        <n v="5.1941795091E10"/>
        <n v="5.1953109971E10"/>
        <n v="5.1939095173E10"/>
        <n v="5.1985574958E10"/>
        <n v="5.2331220479E11"/>
        <n v="5.1918885913E10"/>
        <n v="5.25545093546E11"/>
        <n v="5.28114891882E11"/>
        <n v="5.23311082581E11"/>
        <n v="5.1925687133E10"/>
        <n v="5.1960385983E10"/>
        <n v="5.192714039E10"/>
        <n v="5.573982279316E12"/>
        <n v="5.27221657643E11"/>
        <n v="5.22294596234E11"/>
        <n v="5.1910847855E10"/>
        <n v="5.23111234576E11"/>
        <n v="5.27203066455E11"/>
        <n v="5.25574670042E11"/>
        <n v="5.1971171166E10"/>
        <n v="5.26672244781E11"/>
        <n v="5.1941872895E10"/>
        <n v="5.24423648681E11"/>
        <n v="5.519984215191E12"/>
        <n v="5.24421388121E11"/>
        <n v="5.1933454764E10"/>
        <n v="5.25631260439E11"/>
        <n v="5.28999818149E11"/>
        <n v="5.1931020652E10"/>
        <n v="5.1922658991E10"/>
        <n v="5.2614273236E11"/>
        <n v="5.2565720847E11"/>
        <n v="5.191089713E10"/>
        <n v="5.2229465901E11"/>
        <n v="5.281172825E11"/>
        <n v="5.1971201804E10"/>
        <n v="5.1995671694E10"/>
        <n v="5.26461980629E11"/>
        <n v="5.521980485101E12"/>
        <n v="5.29987167292E11"/>
        <n v="5.196177912E10"/>
        <n v="5.527996417375E12"/>
        <n v="5.1900387733E10"/>
        <n v="5.1927482608E10"/>
        <n v="5.193498843E10"/>
        <n v="5.196382119E10"/>
        <n v="5.1991288931E10"/>
        <n v="5.25612677508E11"/>
        <n v="5.1923407243E10"/>
        <n v="5.511992770421E12"/>
        <n v="5.565981021541E12"/>
        <n v="5.19343379E10"/>
        <n v="5.1946142415E10"/>
        <n v="5.1998098764E10"/>
        <n v="5.1938168795E10"/>
        <n v="5.1997157417E10"/>
        <n v="5.534999747117E12"/>
        <n v="5.1913270363E10"/>
        <n v="5.1960353659E10"/>
        <n v="5.1968772333E10"/>
        <n v="5.1972161584E10"/>
        <n v="5.1967748707E10"/>
        <n v="5.73003233264E11"/>
        <n v="5.1953098514E10"/>
        <n v="5.1920704976E10"/>
        <n v="5.571986248275E12"/>
        <n v="5.28611354236E11"/>
        <n v="5.1955338419E10"/>
        <n v="5.1947243168E10"/>
        <n v="5.196748079E10"/>
        <n v="5.1987568949E10"/>
        <n v="5.1947498017E10"/>
        <n v="5.25658340487E11"/>
        <n v="5.1930137352E10"/>
        <n v="5.1961774998E10"/>
        <n v="5.23310970224E11"/>
        <n v="5.25580336974E11"/>
        <n v="5.1945537134E10"/>
        <n v="5.1904107358E10"/>
        <n v="5.22461211047E11"/>
        <n v="5.594991065457E12"/>
        <n v="5.1912843685E10"/>
        <n v="5.573981525816E12"/>
        <n v="5.581992285093E12"/>
        <n v="5.1918546007E10"/>
        <n v="5.22281098042E11"/>
        <n v="5.26142858206E11"/>
        <n v="5.1970300168E10"/>
        <n v="5.1980507401E10"/>
        <n v="5.1921646005E10"/>
        <n v="5.1901859333E10"/>
        <n v="5.1923745513E10"/>
        <n v="5.25647074456E11"/>
        <n v="5.1984004268E10"/>
        <n v="5.1997867734E10"/>
        <n v="5.1906490654E10"/>
        <n v="5.1964317296E10"/>
        <n v="5.1950600629E10"/>
        <n v="5.1902827997E10"/>
        <n v="5.1918691102E10"/>
        <n v="5.24777334213E11"/>
        <n v="5.28112526349E11"/>
        <n v="5.1949516405E10"/>
        <n v="5.1906686124E10"/>
        <n v="5.26643884373E11"/>
        <n v="5.199818344E10"/>
        <n v="5.1915240573E10"/>
        <n v="5.1952490411E10"/>
        <n v="5.1917255215E10"/>
        <n v="5.2449960603E11"/>
        <n v="5.1959380614E10"/>
        <n v="5.1998859153E10"/>
        <n v="5.565993489059E12"/>
        <n v="5.1999999999E10"/>
        <n v="5.1949361078E10"/>
        <n v="5.511989629857E12"/>
        <n v="5.533999456098E12"/>
        <n v="5.27227621205E11"/>
        <n v="5.26568216796E11"/>
        <n v="5.1917401373E10"/>
        <n v="5.1963039651E10"/>
        <n v="5.1960588849E10"/>
        <n v="5.1941164783E10"/>
        <n v="5.2477693215E11"/>
        <n v="5.1977508439E10"/>
        <n v="5.27227848183E11"/>
        <n v="5.579998842777E12"/>
        <n v="5.28445079638E11"/>
        <n v="5.23317585469E11"/>
        <n v="5.25620460884E11"/>
        <n v="5.1944467568E10"/>
        <n v="5.1949178402E10"/>
        <n v="5.23222372633E11"/>
        <n v="5.1937058717E10"/>
        <n v="5.1978616342E10"/>
        <n v="5.1959383867E10"/>
        <n v="5.1940242998E10"/>
        <n v="5.73013148659E11"/>
        <n v="5.29995589787E11"/>
        <n v="5.1907507743E10"/>
        <n v="5.1946846114E10"/>
        <n v="5.1987255464E10"/>
        <n v="5.585992573207E12"/>
        <n v="5.27811097997E11"/>
        <n v="5.27224457991E11"/>
        <n v="5.1990090194E10"/>
        <n v="5.1930698461E10"/>
        <n v="5.1950012052E10"/>
        <n v="5.1977898878E10"/>
        <n v="5.198305015E10"/>
        <n v="5.195493569E10"/>
        <n v="5.1977805526E10"/>
        <n v="5.28135806963E11"/>
        <n v="5.1910873515E10"/>
        <n v="5.26694651318E11"/>
        <n v="5.27716244802E11"/>
        <n v="5.1916482844E10"/>
        <n v="5.1962814231E10"/>
        <n v="5.1950397578E10"/>
        <n v="5.594984517772E12"/>
        <n v="5.26676027203E11"/>
        <n v="5.1984158466E10"/>
        <n v="5.193112588E10"/>
        <n v="5.1931022649E10"/>
        <n v="5.2314102478E11"/>
        <n v="5.1944653401E10"/>
        <n v="5.1952382973E10"/>
        <n v="5.1980969293E10"/>
        <n v="5.192136741E10"/>
        <n v="5.535998632886E12"/>
        <n v="5.25527273937E11"/>
        <n v="5.2663213234E11"/>
        <n v="5.25613019732E11"/>
        <n v="5.1992253417E10"/>
        <n v="5.26469478539E11"/>
        <n v="5.1942756354E10"/>
        <n v="5.26564610445E11"/>
        <n v="5.198951917E10"/>
        <n v="5.23171089635E11"/>
        <n v="5.22241069367E11"/>
        <n v="5.1941073667E10"/>
        <n v="5.1930749471E10"/>
        <n v="5.25514919251E11"/>
        <n v="5.23320133622E11"/>
        <n v="5.1962342518E10"/>
        <n v="5.1925094456E10"/>
        <n v="5.1923461431E10"/>
        <n v="5.524999996746E12"/>
        <n v="5.1942167137E10"/>
        <n v="5.1982038375E10"/>
        <n v="5.524998557758E12"/>
        <n v="5.25637487328E11"/>
        <n v="5.194368318E10"/>
        <n v="5.28181379902E11"/>
        <n v="5.25643927186E11"/>
        <n v="5.1925886889E10"/>
        <n v="5.28132479924E11"/>
        <n v="5.1978637971E10"/>
        <n v="5.28661155591E11"/>
        <n v="5.28332511577E11"/>
        <n v="5.73113253615E11"/>
        <n v="5.562994836068E12"/>
        <n v="5.23320266552E11"/>
        <n v="5.95982632782E11"/>
        <n v="5.1941116013E10"/>
        <n v="5.0363038098E10"/>
        <n v="5.25620179095E11"/>
        <n v="5.1923135174E10"/>
        <n v="5.24774109691E11"/>
        <n v="5.1905962905E10"/>
        <n v="5.199361032E10"/>
        <n v="5.1912698328E10"/>
        <n v="5.1990384283E10"/>
        <n v="5.1938846449E10"/>
        <n v="5.573998443054E12"/>
        <n v="5.1974337533E10"/>
        <n v="5.1972227993E10"/>
        <n v="5.1918750742E10"/>
        <n v="5.29861056326E11"/>
        <n v="5.192923889E10"/>
        <n v="5.29932527438E11"/>
        <n v="5.1958460944E10"/>
        <n v="5.575991688431E12"/>
        <n v="5.1980076289E10"/>
        <n v="5.511977118518E12"/>
        <n v="5.1988256248E10"/>
        <n v="5.1943551333E10"/>
        <n v="5.1992873095E10"/>
        <n v="5.1999934903E10"/>
        <n v="5.583988685444E12"/>
        <n v="5.25541430722E11"/>
        <n v="5.1990389542E10"/>
        <n v="5.1906969398E10"/>
        <n v="5.25619574973E11"/>
        <n v="5.1982789054E10"/>
        <n v="5.1973894997E10"/>
        <n v="5.22281057927E11"/>
        <n v="5.23345186659E11"/>
        <n v="5.1942476324E10"/>
        <n v="5.1923638992E10"/>
        <n v="5.1957361331E10"/>
        <n v="5.191236483E10"/>
        <n v="5.1950338665E10"/>
        <n v="5.1965604171E10"/>
        <n v="5.1923196929E10"/>
        <n v="5.29934087661E11"/>
        <n v="5.26622812051E11"/>
        <n v="4.917647199025E12"/>
        <n v="5.1902638261E10"/>
        <n v="5.193139102E10"/>
        <n v="5.573981425747E12"/>
        <n v="5.281469541E11"/>
        <n v="5.585981594139E12"/>
        <n v="5.531984612676E12"/>
        <n v="5.1917903389E10"/>
        <n v="5.51999210181E12"/>
        <n v="5.1941840823E10"/>
        <n v="5.26863544587E11"/>
        <n v="5.527988793047E12"/>
        <n v="5.1933052494E10"/>
        <n v="5.1983070748E10"/>
        <n v="5.197673596E10"/>
        <n v="5.1997299857E10"/>
        <n v="5.194715136E10"/>
        <n v="5.1932403695E10"/>
        <n v="5.27681116715E11"/>
        <n v="5.1925198212E10"/>
        <n v="5.521998361727E12"/>
        <n v="5.1936851904E10"/>
        <n v="5.1984590879E10"/>
        <n v="5.1957233376E10"/>
        <n v="5.1900672908E10"/>
        <n v="5.195226816E10"/>
        <n v="5.23328377455E11"/>
        <n v="5.28342995609E11"/>
        <n v="5.1935528097E10"/>
        <n v="5.517996718174E12"/>
        <n v="5.22713135076E11"/>
        <n v="5.192921066E10"/>
        <n v="5.577981512944E12"/>
        <n v="5.2477803555E11"/>
        <n v="5.23221825744E11"/>
        <n v="5.1923221072E10"/>
        <n v="5.1916540398E10"/>
        <n v="5.26142244134E11"/>
        <n v="5.29672297615E11"/>
        <n v="5.26671314256E11"/>
        <n v="5.25544850019E11"/>
        <n v="5.29994962402E11"/>
        <n v="5.6974576559E10"/>
        <n v="5.22229198994E11"/>
        <n v="5.27442127223E11"/>
        <n v="5.1943449292E10"/>
        <n v="5.1970130586E10"/>
        <n v="5.26561670145E11"/>
        <n v="5.598987314146E12"/>
        <n v="5.1951930134E10"/>
        <n v="5.193913538E10"/>
        <n v="5.1959542678E10"/>
        <n v="5.584992248661E12"/>
        <n v="5.555997045614E12"/>
        <n v="5.196478475E10"/>
        <n v="5.1930479823E10"/>
        <n v="5.511920742815E12"/>
        <n v="5.25629796786E11"/>
        <n v="5.1967386843E10"/>
        <n v="5.1918900403E10"/>
        <n v="5.1953111284E10"/>
        <n v="5.25646319118E11"/>
        <n v="5.524988114958E12"/>
        <n v="5.29341347905E11"/>
        <n v="5.1989900501E10"/>
        <n v="5.197310996E10"/>
        <n v="5.1992242026E10"/>
        <n v="5.521995346711E12"/>
        <n v="5.561998921724E12"/>
        <n v="5.1999105558E10"/>
        <n v="5.1994792551E10"/>
        <n v="5.1960158218E10"/>
        <n v="5.521980879767E12"/>
        <n v="5.585986787649E12"/>
        <n v="5.1924517068E10"/>
        <n v="5.1979557904E10"/>
        <n v="5.22296926943E11"/>
        <n v="5.25533616546E11"/>
        <n v="1.614376392E10"/>
        <n v="5.26626703267E11"/>
        <n v="5.25529066947E11"/>
        <n v="5.1928667653E10"/>
        <n v="5.1949869507E10"/>
        <n v="5.2818180283E11"/>
        <n v="5.198286112E10"/>
        <n v="5.2872131248E11"/>
        <n v="5.27444371993E11"/>
        <n v="5.19374411E10"/>
        <n v="5.1910716839E10"/>
        <n v="5.41135781105E11"/>
        <n v="5.25532033284E11"/>
        <n v="5.1947398644E10"/>
        <n v="5.1906644658E10"/>
        <n v="5.1939258704E10"/>
        <n v="5.1928389426E10"/>
        <n v="5.1924004208E10"/>
        <n v="5.1988307864E10"/>
        <n v="5.25619318875E11"/>
        <n v="5.1936973149E10"/>
        <n v="5.1991202075E10"/>
        <n v="5.1962380802E10"/>
        <n v="5.562984757073E12"/>
        <n v="5.1963865001E10"/>
        <n v="5.1997302378E10"/>
        <n v="5.2551756571E11"/>
        <n v="5.1983308299E10"/>
        <n v="5.95976915753E11"/>
        <n v="5.562996239217E12"/>
        <n v="5.1984244368E10"/>
        <n v="5.591987248427E12"/>
        <n v="5.25667739581E11"/>
        <n v="5.1919111614E10"/>
        <n v="5.22294128869E11"/>
        <n v="5.1926713742E10"/>
        <n v="5.1957147227E10"/>
        <n v="5.1988567003E10"/>
        <n v="5.1908057802E10"/>
        <n v="5.1969637094E10"/>
        <n v="5.1976751656E10"/>
        <n v="5.1970070673E10"/>
        <n v="5.1982488893E10"/>
        <n v="5.1953529838E10"/>
        <n v="5.1918709972E10"/>
        <n v="5.1981370881E10"/>
        <n v="5.521969690449E12"/>
        <n v="5.1945139174E10"/>
        <n v="5.1943519525E10"/>
        <n v="5.1927616593E10"/>
        <n v="5.1968629558E10"/>
        <n v="5.190223704E10"/>
        <n v="5.1975454646E10"/>
        <n v="5.1989018491E10"/>
        <n v="5.1934920188E10"/>
        <n v="5.562996595671E12"/>
        <n v="5.54799988973E12"/>
        <n v="5.27225066781E11"/>
        <n v="5.1916284222E10"/>
        <n v="5.26601340304E11"/>
        <n v="5.1964473627E10"/>
        <n v="5.1940141235E10"/>
        <n v="5.196922184E10"/>
        <n v="5.581992313074E12"/>
        <n v="5.25533742123E11"/>
        <n v="5.28711557919E11"/>
        <n v="5.564993197519E12"/>
        <n v="5.195128097E10"/>
        <n v="5.57398229168E12"/>
        <n v="5.2474207525E11"/>
        <n v="5.1950220832E10"/>
        <n v="5.563984442764E12"/>
        <n v="5.25619708151E11"/>
        <n v="5.73012691625E11"/>
        <n v="5.511951689954E12"/>
        <n v="5.599981488718E12"/>
        <n v="3.4655067331E10"/>
        <n v="5.193046227E10"/>
        <n v="5.1970246686E10"/>
        <n v="5.584996030087E12"/>
        <n v="5.589981357366E12"/>
        <n v="5.581986659073E12"/>
        <n v="5.537999489093E12"/>
        <n v="5.531983014168E12"/>
        <n v="5.1933507957E10"/>
        <n v="5.544984064459E12"/>
        <n v="5.27299317693E11"/>
        <n v="5.1991285435E10"/>
        <n v="5.516997507924E12"/>
        <n v="5.24771240047E11"/>
        <n v="5.1945678972E10"/>
        <n v="5.1916153578E10"/>
        <n v="5.28448740038E11"/>
        <n v="5.1967326013E10"/>
        <n v="5.26561307324E11"/>
        <n v="5.511970432163E12"/>
        <n v="5.29992425234E11"/>
        <n v="5.1975358542E10"/>
        <n v="5.1925500968E10"/>
        <n v="5.527997442586E12"/>
        <n v="5.1992709222E10"/>
        <n v="5.192747843E10"/>
        <n v="5.1927076741E10"/>
        <n v="5.562994236559E12"/>
        <n v="5.29985887777E11"/>
        <n v="5.53298483933E12"/>
        <n v="5.561991826144E12"/>
        <n v="5.1994009644E10"/>
        <n v="5.521959195083E12"/>
        <n v="5.1931511822E10"/>
        <n v="5.585994039904E12"/>
        <n v="5.25512813347E11"/>
        <n v="5.2686399938E11"/>
        <n v="5.584991224464E12"/>
        <n v="5.1999099846E10"/>
        <n v="5.25542817373E11"/>
        <n v="5.521975509662E12"/>
        <n v="5.26474875084E11"/>
        <n v="5.28125223966E11"/>
        <n v="5.1983208396E10"/>
        <n v="5.73142968931E11"/>
        <n v="5.1958504455E10"/>
        <n v="3.4650542424E10"/>
        <n v="5.1900931268E10"/>
        <n v="5.24444120118E11"/>
        <n v="5.1989658154E10"/>
        <n v="5.511962421386E12"/>
        <n v="5.25564214966E11"/>
        <n v="5.548988558609E12"/>
        <n v="5.1977642754E10"/>
        <n v="5.196667675E10"/>
        <n v="5.52196726641E12"/>
        <n v="5.1973105164E10"/>
        <n v="5.192415611E10"/>
        <n v="5.528999818225E12"/>
        <n v="5.1927495141E10"/>
        <n v="5.1966590009E10"/>
        <n v="5.1989650987E10"/>
        <n v="5.19925313E10"/>
        <n v="5.1991303376E10"/>
        <n v="5.1959155169E10"/>
        <n v="5.584987921033E12"/>
        <n v="5.535991277509E12"/>
        <n v="5.1993966546E10"/>
        <n v="5.1994076217E10"/>
        <n v="5.19672888E10"/>
        <n v="5.546988285907E12"/>
        <n v="5.1917079583E10"/>
        <n v="5.1929288058E10"/>
        <n v="5.1949789005E10"/>
        <n v="5.1921453405E10"/>
        <n v="5.545999175741E12"/>
        <n v="5.531983364555E12"/>
        <n v="5.1998888624E10"/>
        <n v="5.1986990483E10"/>
        <n v="5.1989245003E10"/>
        <n v="5.1913118092E10"/>
        <n v="5.1904138926E10"/>
        <n v="5.1935174995E10"/>
        <n v="5.59299441096E12"/>
        <n v="5.24772766929E11"/>
        <n v="5.28125616892E11"/>
        <n v="5.197061696E10"/>
        <n v="5.28181134389E11"/>
        <n v="5.1975187538E10"/>
        <n v="5.527988499505E12"/>
        <n v="5.192614938E10"/>
        <n v="5.22225303528E11"/>
        <n v="5.1963397885E10"/>
        <n v="5.1973715079E10"/>
        <n v="5.1975209876E10"/>
        <n v="5.1981281969E10"/>
        <n v="5.29982147433E11"/>
        <n v="5.1959004386E10"/>
        <n v="5.1912799733E10"/>
        <n v="5.25578060181E11"/>
        <n v="5.192386617E10"/>
        <n v="5.1953253177E10"/>
        <n v="5.26642936886E11"/>
        <n v="5.1950232601E10"/>
        <n v="5.1961108626E10"/>
        <n v="5.1993057264E10"/>
        <n v="5.28132706676E11"/>
        <n v="5.1904220747E10"/>
        <n v="5.598983002222E12"/>
        <n v="5.1926281575E10"/>
        <n v="5.26649101823E11"/>
        <n v="5.1918409002E10"/>
        <n v="5.1907994838E10"/>
        <n v="5.1974448385E10"/>
        <n v="5.599984987667E12"/>
        <n v="5.1951001896E10"/>
        <n v="5.19808167E10"/>
        <n v="5.1946149935E10"/>
        <n v="5.599991206521E12"/>
        <n v="5.19884788E10"/>
        <n v="5.1933006487E10"/>
        <n v="5.1930208207E10"/>
        <n v="5.1904378846E10"/>
        <n v="5.197419818E10"/>
        <n v="5.1954167802E10"/>
        <n v="5.1951667416E10"/>
        <n v="5.1917908775E10"/>
        <n v="5.533988775857E12"/>
        <n v="5.1990511198E10"/>
        <n v="5.1941718745E10"/>
        <n v="5.193310685E10"/>
        <n v="5.27711567152E11"/>
        <n v="5.1932536687E10"/>
        <n v="3.4600766782E10"/>
        <n v="5.1977405924E10"/>
        <n v="5.1973174112E10"/>
        <n v="5.511984030311E12"/>
        <n v="5.1997833608E10"/>
        <n v="5.1929017446E10"/>
        <n v="5.1910083794E10"/>
        <n v="5.25549398538E11"/>
        <n v="5.24891255322E11"/>
        <n v="5.531990861043E12"/>
        <n v="5.1958243134E10"/>
        <n v="5.1923664191E10"/>
        <n v="5.1963349937E10"/>
        <n v="5.28333084301E11"/>
        <n v="5.1981295611E10"/>
        <n v="5.1968915857E10"/>
        <n v="5.1979588382E10"/>
        <n v="5.521980352684E12"/>
        <n v="5.575988111574E12"/>
        <n v="5.1916583946E10"/>
        <n v="5.1966708852E10"/>
        <n v="5.562981094955E12"/>
        <n v="5.1929898614E10"/>
        <n v="5.29519238072E11"/>
        <n v="5.73222085333E11"/>
        <n v="5.1985520812E10"/>
        <n v="5.592993158364E12"/>
        <n v="5.1902562657E10"/>
        <n v="5.22311566869E11"/>
        <n v="5.1982706624E10"/>
        <n v="5.1975739587E10"/>
        <n v="5.1975084036E10"/>
        <n v="5.1935887285E10"/>
        <n v="5.1960380362E10"/>
        <n v="5.1966629039E10"/>
        <n v="5.1974776577E10"/>
        <n v="5.24425303779E11"/>
        <n v="5.1932159801E10"/>
        <n v="5.24426751112E11"/>
        <n v="5.23231215167E11"/>
        <n v="5.533998513955E12"/>
        <n v="5.26863959186E11"/>
        <n v="5.521984436248E12"/>
        <n v="5.1981219817E10"/>
        <n v="5.1923247411E10"/>
        <n v="5.511983541811E12"/>
        <n v="5.1931874293E10"/>
        <n v="5.518996216046E12"/>
        <n v="5.1913948378E10"/>
        <n v="5.1903330468E10"/>
        <n v="5.511944037387E12"/>
        <n v="5.1942387147E10"/>
        <n v="5.1901086568E10"/>
        <n v="5.1978316241E10"/>
        <n v="5.1932125941E10"/>
        <n v="5.1989926955E10"/>
        <n v="5.190357404E10"/>
        <n v="5.531971465899E12"/>
        <n v="5.562999147799E12"/>
        <n v="5.24422067668E11"/>
        <n v="5.592991583927E12"/>
        <n v="5.28110151039E11"/>
        <n v="5.548991358351E12"/>
        <n v="5.1927610637E10"/>
        <n v="5.561996122743E12"/>
        <n v="5.535991953595E12"/>
        <n v="5.511973320504E12"/>
        <n v="5.1960192982E10"/>
        <n v="5.26393981006E11"/>
        <n v="5.1996608167E10"/>
        <n v="5.511919237383E12"/>
        <n v="5.54899191756E12"/>
        <n v="5.515981641871E12"/>
        <n v="5.538997448306E12"/>
        <n v="5.575983217121E12"/>
        <n v="5.551998858912E12"/>
        <n v="5.531992006835E12"/>
        <n v="5.2771327045E11"/>
        <n v="5.1934930107E10"/>
        <n v="5.545999510215E12"/>
        <n v="5.1957745283E10"/>
        <n v="5.84142772951E11"/>
        <n v="5.543991588966E12"/>
        <n v="5.531982133182E12"/>
        <n v="5.561991660173E12"/>
        <n v="5.1982032515E10"/>
        <n v="5.1936032197E10"/>
        <n v="5.516974061492E12"/>
        <n v="5.1917717171E10"/>
        <n v="5.579996448096E12"/>
        <n v="5.567999204725E12"/>
        <n v="5.1919665368E10"/>
        <n v="5.1954782459E10"/>
        <n v="5.1957089501E10"/>
        <n v="5.598983496761E12"/>
        <n v="5.571988391404E12"/>
        <n v="5.1976144082E10"/>
        <n v="5.23124181698E11"/>
        <n v="5.51194073313E12"/>
        <n v="5.2443844009E11"/>
        <n v="5.1929046322E10"/>
        <n v="5.2246141234E11"/>
        <n v="5.26693327763E11"/>
        <n v="5.1924036476E10"/>
        <n v="5.43756616942E11"/>
        <n v="5.192380772E10"/>
        <n v="5.1959192813E10"/>
        <n v="5.28127335805E11"/>
        <n v="5.196862327E10"/>
        <n v="5.1948398962E10"/>
        <n v="5.561996403221E12"/>
        <n v="5.1961472095E10"/>
        <n v="5.575988190527E12"/>
        <n v="5.547989267638E12"/>
        <n v="5.1964943866E10"/>
        <n v="5.1998334661E10"/>
        <n v="5.1972265543E10"/>
        <n v="5.26141406453E11"/>
        <n v="5.1908554808E10"/>
        <n v="5.1970698334E10"/>
        <n v="5.1902365492E10"/>
        <n v="5.551981909766E12"/>
        <n v="5.598989202176E12"/>
        <n v="5.1980679744E10"/>
        <n v="5.544997126904E12"/>
        <n v="5.1956368051E10"/>
        <n v="5.26695318121E11"/>
        <n v="5.592991550702E12"/>
        <n v="3.51969637344E11"/>
        <n v="5.531986478327E12"/>
        <n v="5.2389112222E11"/>
        <n v="5.28671033738E11"/>
        <n v="5.53198318077E12"/>
        <n v="5.1906981243E10"/>
        <n v="5.1976760499E10"/>
        <n v="5.1903105551E10"/>
        <n v="5.512988411686E12"/>
        <n v="5.1939523616E10"/>
        <n v="5.1948059808E10"/>
        <n v="5.599984585744E12"/>
        <n v="5.26442270281E11"/>
        <n v="5.1929503739E10"/>
        <n v="5.29994408314E11"/>
        <n v="5.1932202054E10"/>
        <n v="5.598985362866E12"/>
        <n v="5.1942971886E10"/>
        <n v="5.521979383507E12"/>
        <n v="5.193920541E10"/>
        <n v="5.190225286E10"/>
        <n v="5.23441006923E11"/>
        <n v="5.1966010314E10"/>
        <n v="5.1966438508E10"/>
        <n v="5.538992474153E12"/>
        <n v="5.553997059306E12"/>
        <n v="5.1922645614E10"/>
        <n v="5.1985829197E10"/>
        <n v="5.54799200308E12"/>
        <n v="5.1969747332E10"/>
        <n v="5.51997423492E12"/>
        <n v="5.1961353415E10"/>
        <n v="5.583988738009E12"/>
        <n v="5.511940106818E12"/>
        <n v="5.1943811941E10"/>
        <n v="5.24643015049E11"/>
        <n v="5.25564941256E11"/>
        <n v="5.1967073176E10"/>
        <n v="5.22228208322E11"/>
        <n v="5.1965954553E10"/>
        <n v="5.1948472767E10"/>
        <n v="5.25546218833E11"/>
        <n v="5.1922560683E10"/>
        <n v="5.24493757741E11"/>
        <n v="5.22871088456E11"/>
        <n v="5.26673501842E11"/>
        <n v="5.1965814087E10"/>
        <n v="5.1913955981E10"/>
        <n v="5.1971955238E10"/>
        <n v="5.19841755E10"/>
        <n v="5.24613066591E11"/>
        <n v="5.28139879896E11"/>
        <n v="5.1940296185E10"/>
        <n v="5.1935604969E10"/>
        <n v="5.28119933036E11"/>
        <n v="5.1991771905E10"/>
        <n v="5.1942024813E10"/>
        <n v="5.1922762655E10"/>
        <n v="5.26673187787E11"/>
        <n v="5.191627972E10"/>
        <n v="5.26623407622E11"/>
        <n v="5.1970544155E10"/>
        <n v="5.1938356628E10"/>
        <n v="5.95971984388E11"/>
        <n v="5.1967427067E10"/>
        <n v="5.1987389663E10"/>
        <n v="5.73153010672E11"/>
        <n v="5.1944798316E10"/>
        <n v="5.1953450521E10"/>
        <n v="5.1931326994E10"/>
        <n v="5.1989023487E10"/>
        <n v="5.1996591502E10"/>
        <n v="5.1957473418E10"/>
        <n v="5.26123790518E11"/>
        <n v="5.1935685932E10"/>
        <n v="5.1922346488E10"/>
        <n v="5.197748455E10"/>
        <n v="5.1937057628E10"/>
        <n v="5.1986089444E10"/>
        <n v="5.1935634143E10"/>
        <n v="5.1916613263E10"/>
        <n v="5.25611712999E11"/>
        <n v="5.1955294595E10"/>
        <n v="5.194915746E10"/>
        <n v="5.1949659469E10"/>
        <n v="5.1950114363E10"/>
        <n v="5.553981028053E12"/>
        <n v="5.23310434617E11"/>
        <n v="5.29221556952E11"/>
        <n v="5.27551336445E11"/>
        <n v="5.1912765835E10"/>
        <n v="5.22213562116E11"/>
        <n v="5.511987081179E12"/>
        <n v="5.1996323924E10"/>
        <n v="5.543999650738E12"/>
        <n v="5.1901966928E10"/>
        <n v="5.1920411929E10"/>
        <n v="5.535991382176E12"/>
        <n v="5.1963465324E10"/>
        <n v="5.1997018226E10"/>
        <n v="5.1947560349E10"/>
        <n v="5.592996047414E12"/>
        <n v="5.515996977808E12"/>
        <n v="5.564996554626E12"/>
        <n v="5.1901373719E10"/>
        <n v="5.527992628757E12"/>
        <n v="5.538988467363E12"/>
        <n v="5.511992828162E12"/>
        <n v="5.583981460676E12"/>
        <n v="5.1960420858E10"/>
        <n v="5.566992109596E12"/>
        <n v="5.551996977524E12"/>
        <n v="5.577981374488E12"/>
        <n v="5.585989389195E12"/>
        <n v="5.25660414768E11"/>
        <n v="5.569993877032E12"/>
        <n v="5.1994970725E10"/>
        <n v="3.4642532772E10"/>
        <n v="5.569992059097E12"/>
        <n v="5.59898471621E12"/>
        <n v="5.575998749098E12"/>
        <n v="5.514991525676E12"/>
        <n v="5.566996014944E12"/>
        <n v="5.541996777169E12"/>
        <n v="5.527996482288E12"/>
        <n v="5.27227140263E11"/>
        <n v="5.511912021367E12"/>
        <n v="5.28711571528E11"/>
        <n v="5.515997206395E12"/>
        <n v="5.555992121759E12"/>
        <n v="5.569993335445E12"/>
        <n v="5.2563578716E11"/>
        <n v="5.1900896884E10"/>
        <n v="5.1974116804E10"/>
        <n v="5.1932929746E10"/>
        <n v="5.23321641947E11"/>
        <n v="5.1902702615E10"/>
        <n v="5.531998071067E12"/>
        <n v="5.582988983448E12"/>
        <n v="5.534998173015E12"/>
        <n v="5.59299135986E12"/>
        <n v="5.512981292399E12"/>
        <n v="5.521969606018E12"/>
        <n v="5.1982520078E10"/>
        <n v="5.1908885899E10"/>
        <n v="5.511997556679E12"/>
        <n v="5.511947820318E12"/>
        <n v="5.1962767941E10"/>
        <n v="5.6987377128E10"/>
        <n v="5.1972970406E10"/>
        <n v="5.573998375335E12"/>
        <n v="5.26311909874E11"/>
        <n v="5.519982224198E12"/>
        <n v="5.537999240069E12"/>
        <n v="5.1975637307E10"/>
        <n v="5.567991697229E12"/>
        <n v="5.537998056315E12"/>
        <n v="5.27202630032E11"/>
        <n v="5.1912712888E10"/>
        <n v="5.577999743926E12"/>
        <n v="5.1954446921E10"/>
        <n v="5.1956753221E10"/>
        <n v="5.1903268769E10"/>
        <n v="5.1972603206E10"/>
        <n v="5.561992010192E12"/>
        <n v="5.29221057389E11"/>
        <n v="5.566999965546E12"/>
        <n v="5.548988435861E12"/>
        <n v="5.566992422818E12"/>
        <n v="5.1920808779E10"/>
        <n v="5.54499179579E12"/>
        <n v="5.541997165647E12"/>
        <n v="5.1955608338E10"/>
        <n v="5.511934135688E12"/>
        <n v="5.1927529778E10"/>
        <n v="5.519993601307E12"/>
        <n v="5.561990001175E12"/>
        <n v="5.1955886969E10"/>
        <n v="5.1955524336E10"/>
        <n v="5.1938695389E10"/>
        <n v="5.1932398437E10"/>
        <n v="5.524936180073E12"/>
        <n v="5.551994470954E12"/>
        <n v="5.27716031444E11"/>
        <n v="5.575999685264E12"/>
        <n v="5.1939144138E10"/>
        <n v="5.1971286235E10"/>
        <n v="5.1980504952E10"/>
        <n v="5.25562304109E11"/>
        <n v="5.1948444282E10"/>
        <n v="5.511954328145E12"/>
        <n v="5.1903098309E10"/>
        <n v="5.29991360226E11"/>
        <n v="5.568992401106E12"/>
        <n v="5.1926579458E10"/>
        <n v="5.27712134297E11"/>
        <n v="5.29531221362E11"/>
        <n v="5.514997379466E12"/>
        <n v="5.1929371467E10"/>
        <n v="5.1921331576E10"/>
        <n v="5.1993990119E10"/>
        <n v="5.26181103063E11"/>
        <n v="5.56899601804E12"/>
        <n v="5.585991408575E12"/>
        <n v="5.1998866393E10"/>
        <n v="5.192131163E10"/>
        <n v="5.1986342687E10"/>
        <n v="5.534984403419E12"/>
        <n v="5.22225541754E11"/>
        <n v="5.561984579557E12"/>
        <n v="5.582998336123E12"/>
        <n v="5.1990904029E10"/>
        <n v="5.1907102116E10"/>
        <n v="5.1930681693E10"/>
        <n v="5.1913769781E10"/>
        <n v="5.1984429371E10"/>
        <n v="5.1978143707E10"/>
        <n v="5.1916667084E10"/>
        <n v="5.1906535208E10"/>
        <n v="5.1900046073E10"/>
        <n v="5.1906973382E10"/>
        <n v="5.1927577871E10"/>
        <n v="5.25539491838E11"/>
        <n v="5.192776193E10"/>
        <n v="5.511950578836E12"/>
        <n v="5.24591243728E11"/>
        <n v="5.1922398699E10"/>
        <n v="5.582921401253E12"/>
        <n v="5.583986063537E12"/>
        <n v="5.554992809494E12"/>
        <n v="5.1957630172E10"/>
        <n v="5.1930248992E10"/>
        <n v="5.22411537363E11"/>
        <n v="5.1950071327E10"/>
        <n v="5.1948889712E10"/>
        <n v="5.1955748438E10"/>
        <n v="5.2241237209E11"/>
        <n v="5.1902149855E10"/>
        <n v="5.1986294755E10"/>
        <n v="5.551981185369E12"/>
        <n v="5.511976741479E12"/>
        <n v="5.522999222009E12"/>
        <n v="5.511961272795E12"/>
        <n v="5.1921482184E10"/>
        <n v="5.25586666226E11"/>
        <n v="5.199119629E10"/>
        <n v="5.1966236801E10"/>
        <n v="5.1960518773E10"/>
        <n v="5.25543109068E11"/>
        <n v="5.1923875433E10"/>
        <n v="5.547991121085E12"/>
        <n v="5.28332835488E11"/>
        <n v="5.1997543503E10"/>
        <n v="5.22217973282E11"/>
        <n v="5.1926150269E10"/>
        <n v="5.1978692442E10"/>
        <n v="5.1941280525E10"/>
        <n v="5.1961787196E10"/>
        <n v="5.1966349485E10"/>
        <n v="5.511999945448E12"/>
        <n v="5.190454871E10"/>
        <n v="5.1921708311E10"/>
        <n v="5.1979180016E10"/>
        <n v="5.531982453087E12"/>
        <n v="5.1987594294E10"/>
        <n v="5.191762028E10"/>
        <n v="5.1982424125E10"/>
        <n v="5.1996489603E10"/>
        <n v="5.1921999004E10"/>
        <n v="5.1958038569E10"/>
        <n v="5.1924645206E10"/>
        <n v="5.1903436798E10"/>
        <n v="5.531994008165E12"/>
        <n v="5.1989009781E10"/>
        <n v="5.26561480166E11"/>
        <n v="5.1987874849E10"/>
        <n v="5.511976325908E12"/>
        <n v="5.22292210104E11"/>
        <n v="5.27293009373E11"/>
        <n v="5.524981375989E12"/>
        <n v="5.584994482653E12"/>
        <n v="5.547997073216E12"/>
        <n v="5.54199900939E12"/>
        <n v="5.1949763598E10"/>
        <n v="5.527996065124E12"/>
        <n v="5.532988378271E12"/>
        <n v="5.547999531566E12"/>
        <n v="5.2334288182E11"/>
        <n v="5.1901745683E10"/>
        <n v="5.591980475985E12"/>
        <n v="5.1998247386E10"/>
        <n v="5.1925749224E10"/>
        <n v="5.1906596945E10"/>
        <n v="5.1960257375E10"/>
        <n v="5.511947220151E12"/>
        <n v="5.19903363E10"/>
        <n v="5.1916095265E10"/>
        <n v="5.516981056994E12"/>
        <n v="5.2871145918E11"/>
        <n v="5.197211224E10"/>
        <n v="5.54899646702E12"/>
        <n v="5.518997073228E12"/>
        <n v="5.511982068007E12"/>
        <n v="5.1981846494E10"/>
        <n v="5.1920837128E10"/>
        <n v="5.26671597903E11"/>
        <n v="5.1963905305E10"/>
        <n v="5.1934483372E10"/>
        <n v="5.1963843482E10"/>
        <n v="5.1986159199E10"/>
        <n v="5.1990249349E10"/>
        <n v="5.1900580263E10"/>
        <n v="5.2981736837E11"/>
        <n v="5.1982515417E10"/>
        <n v="5.1933606703E10"/>
        <n v="5.198142785E10"/>
        <n v="5.26183125243E11"/>
        <n v="5.1904124434E10"/>
        <n v="5.1920503649E10"/>
        <n v="5.1977366001E10"/>
        <n v="5.193739007E10"/>
        <n v="5.29512297672E11"/>
        <n v="5.1931756991E10"/>
        <n v="5.1994896983E10"/>
        <n v="5.1933011794E10"/>
        <n v="5.511941964506E12"/>
        <n v="5.58899763616E12"/>
        <n v="5.22712953961E11"/>
        <n v="5.22292501562E11"/>
        <n v="5.521988387477E12"/>
        <n v="5.25571900373E11"/>
        <n v="5.1973695788E10"/>
        <n v="5.22282404461E11"/>
        <n v="5.1989259318E10"/>
        <n v="5.1928504573E10"/>
        <n v="5.5719922197E12"/>
        <n v="5.28421132978E11"/>
        <n v="5.554999991049E12"/>
        <n v="5.1953200273E10"/>
        <n v="5.2844100704E11"/>
        <n v="5.1943903293E10"/>
        <n v="5.26241842387E11"/>
        <n v="5.26466151757E11"/>
        <n v="5.192314906E10"/>
        <n v="5.1938283407E10"/>
        <n v="5.519993742711E12"/>
        <n v="5.1913350909E10"/>
        <n v="5.1970960134E10"/>
        <n v="5.1991802861E10"/>
        <n v="5.26642341295E11"/>
        <n v="5.29341169082E11"/>
        <n v="5.511975992807E12"/>
        <n v="5.1981422156E10"/>
        <n v="5.511997072885E12"/>
        <n v="5.29331515608E11"/>
        <n v="5.28336480278E11"/>
        <n v="5.1929805301E10"/>
        <n v="5.582988407683E12"/>
        <n v="5.73207528652E11"/>
        <n v="5.1935258134E10"/>
        <n v="5.521965401515E12"/>
        <n v="5.562994692633E12"/>
        <n v="5.541998964273E12"/>
        <n v="5.1925010993E10"/>
        <n v="5.26871543727E11"/>
        <n v="5.541996526951E12"/>
        <n v="5.1928366849E10"/>
        <n v="5.532988324893E12"/>
        <n v="5.522997394307E12"/>
        <n v="5.1946967112E10"/>
        <n v="5.1997022212E10"/>
        <n v="5.1935428317E10"/>
        <n v="5.5179914047E12"/>
        <n v="5.527997865206E12"/>
        <n v="5.519988288123E12"/>
        <n v="5.1934285216E10"/>
        <n v="5.562993189247E12"/>
        <n v="5.519991886404E12"/>
        <n v="5.1955144939E10"/>
        <n v="5.1930507775E10"/>
        <n v="5.511984694734E12"/>
        <n v="5.190431583E10"/>
        <n v="5.73144112972E11"/>
        <n v="5.515991138241E12"/>
        <n v="5.596991286083E12"/>
        <n v="5.585921464613E12"/>
        <n v="5.26421459437E11"/>
        <n v="5.1968630238E10"/>
        <n v="5.25577238551E11"/>
        <n v="5.579996391783E12"/>
        <n v="5.27208121225E11"/>
        <n v="5.1984031497E10"/>
        <n v="5.1956209724E10"/>
        <n v="5.1980492629E10"/>
        <n v="5.198485114E10"/>
        <n v="5.26861584281E11"/>
        <n v="5.1905852862E10"/>
        <n v="5.58598906667E12"/>
        <n v="5.1925102604E10"/>
        <n v="5.1925296887E10"/>
        <n v="5.22722339074E11"/>
        <n v="5.1923096502E10"/>
        <n v="5.1932544435E10"/>
        <n v="5.26515137285E11"/>
        <n v="5.511992929062E12"/>
        <n v="5.24454624317E11"/>
        <n v="5.1995839862E10"/>
        <n v="5.19860929E10"/>
        <n v="5.1968476064E10"/>
        <n v="5.1970724199E10"/>
        <n v="5.196632326E10"/>
        <n v="5.1949821797E10"/>
        <n v="5.1932093298E10"/>
        <n v="5.1992880873E10"/>
        <n v="5.1918168461E10"/>
        <n v="5.1986068026E10"/>
        <n v="5.25530299431E11"/>
        <n v="5.524993342812E12"/>
        <n v="5.511961303808E12"/>
        <n v="5.1975112401E10"/>
        <n v="5.1976525333E10"/>
        <n v="5.24427485831E11"/>
        <n v="5.1945458967E10"/>
        <n v="5.197297301E10"/>
        <n v="5.28444556011E11"/>
        <n v="5.582996460915E12"/>
        <n v="5.1977316051E10"/>
        <n v="5.515997519279E12"/>
        <n v="5.1931545923E10"/>
        <n v="5.1920466936E10"/>
        <n v="5.1987433861E10"/>
        <n v="5.1949011564E10"/>
        <n v="5.1921704977E10"/>
        <n v="5.1987592655E10"/>
        <n v="5.27778933042E11"/>
        <n v="5.29988502484E11"/>
        <n v="5.1994344166E10"/>
        <n v="5.23327156914E11"/>
        <n v="5.1928681102E10"/>
        <n v="5.1979790564E10"/>
        <n v="5.1950161251E10"/>
        <n v="5.1946638174E10"/>
        <n v="5.1926582918E10"/>
        <n v="5.1936607276E10"/>
        <n v="5.2554905081E11"/>
        <n v="5.43755294722E11"/>
        <n v="5.1960377573E10"/>
        <n v="5.25568040455E11"/>
        <n v="5.1913509479E10"/>
        <n v="5.25584050437E11"/>
        <n v="5.27291269194E11"/>
        <n v="5.546991047358E12"/>
        <n v="5.1983790729E10"/>
        <n v="5.29222970191E11"/>
        <n v="5.73216479319E11"/>
        <n v="5.0433279228E10"/>
        <n v="5.1976699098E10"/>
        <n v="5.73012788894E11"/>
        <n v="5.27351595431E11"/>
        <n v="5.513997330025E12"/>
        <n v="5.577981552347E12"/>
        <n v="5.585988814546E12"/>
        <n v="5.1996195787E10"/>
        <n v="5.195695755E10"/>
        <n v="5.1976087808E10"/>
        <n v="5.1955438065E10"/>
        <n v="5.73183904119E11"/>
        <n v="5.538998396885E12"/>
        <n v="5.58398864301E12"/>
        <n v="5.1986880136E10"/>
        <n v="5.581997279151E12"/>
        <n v="5.1920558532E10"/>
        <n v="5.521995299257E12"/>
        <n v="5.1902178351E10"/>
        <n v="5.1940090047E10"/>
        <n v="5.1989444078E10"/>
        <n v="5.1901414991E10"/>
        <n v="5.1942392111E10"/>
        <n v="5.192022017E10"/>
        <n v="5.5629834385E12"/>
        <n v="5.1906611907E10"/>
        <n v="5.195552922E10"/>
        <n v="5.522999503472E12"/>
        <n v="5.1935818036E10"/>
        <n v="5.1958550076E10"/>
        <n v="5.51299200416E12"/>
        <n v="5.1921555349E10"/>
        <n v="5.1918824188E10"/>
        <n v="5.1932744943E10"/>
        <n v="5.518996155509E12"/>
        <n v="5.1980628793E10"/>
        <n v="5.1993119607E10"/>
        <n v="5.1985021388E10"/>
        <n v="5.512992606098E12"/>
        <n v="5.1947929832E10"/>
        <n v="5.197479661E10"/>
        <n v="5.531990624463E12"/>
        <n v="5.1947644787E10"/>
        <n v="5.511988798345E12"/>
        <n v="5.1949306112E10"/>
        <n v="5.527988222995E12"/>
        <n v="5.1912173093E10"/>
        <n v="5.1972294821E10"/>
        <n v="5.1921673204E10"/>
        <n v="5.1902273852E10"/>
        <n v="5.1965219059E10"/>
        <n v="5.592985964565E12"/>
        <n v="5.575981281812E12"/>
        <n v="5.1908844828E10"/>
        <n v="5.531975050665E12"/>
        <n v="5.1983598929E10"/>
        <n v="5.1933905566E10"/>
        <n v="5.1910954227E10"/>
        <n v="5.194544448E10"/>
        <n v="5.565992007144E12"/>
        <n v="5.1998814171E10"/>
        <n v="5.1972797486E10"/>
        <n v="5.581998765049E12"/>
        <n v="5.1930528923E10"/>
        <n v="5.1968205413E10"/>
        <n v="1.8503002167E10"/>
        <n v="5.1934422863E10"/>
        <n v="5.54898482751E12"/>
        <n v="5.1966028813E10"/>
        <n v="5.517996104492E12"/>
        <n v="5.568999428923E12"/>
        <n v="5.1955116856E10"/>
        <n v="5.1925183655E10"/>
        <n v="5.562999746415E12"/>
        <n v="5.1903112761E10"/>
        <n v="5.519992344069E12"/>
        <n v="5.1959868047E10"/>
        <n v="5.73147725908E11"/>
        <n v="5.1940742962E10"/>
        <n v="5.1963408689E10"/>
        <n v="5.1940064165E10"/>
        <n v="5.1961869222E10"/>
        <n v="5.1903330896E10"/>
        <n v="5.585982058244E12"/>
        <n v="5.1977160277E10"/>
        <n v="5.1921263437E10"/>
        <n v="5.198200686E10"/>
        <n v="5.1988386712E10"/>
        <n v="5.1979353735E10"/>
        <n v="5.1951253514E10"/>
        <n v="5.1956790195E10"/>
        <n v="5.1976998665E10"/>
        <n v="5.1936766437E10"/>
        <n v="5.1958567802E10"/>
        <n v="5.1934714162E10"/>
        <n v="5.511957694573E12"/>
        <n v="5.1983536808E10"/>
        <n v="5.1951360901E10"/>
        <n v="5.1992747789E10"/>
        <n v="5.1943229022E10"/>
        <n v="5.195720098E10"/>
        <n v="5.1966477529E10"/>
        <n v="5.1915195074E10"/>
        <n v="5.1988880566E10"/>
        <n v="5.1928019837E10"/>
        <n v="5.1934932292E10"/>
        <n v="5.1961150921E10"/>
        <n v="5.1907440769E10"/>
        <n v="5.1928383147E10"/>
        <n v="5.1976076659E10"/>
        <n v="5.519982221284E12"/>
        <n v="5.1973308212E10"/>
        <n v="5.52499234372E12"/>
        <n v="5.531982733338E12"/>
        <n v="5.561995147626E12"/>
        <n v="5.95981999506E11"/>
        <n v="5.193055457E10"/>
        <n v="5.1902680145E10"/>
        <n v="5.1945436715E10"/>
        <n v="5.194102428E10"/>
        <n v="5.562992433061E12"/>
        <n v="5.19595333E10"/>
        <n v="5.511966135265E12"/>
        <n v="5.191965889E10"/>
        <n v="5.1999758863E10"/>
        <n v="5.1912102927E10"/>
        <n v="5.1980741855E10"/>
        <n v="5.1977780744E10"/>
        <n v="5.95991635438E11"/>
        <n v="5.1976743736E10"/>
        <n v="5.1920436327E10"/>
        <n v="5.1917022902E10"/>
        <n v="5.562993790323E12"/>
        <n v="5.554996521347E12"/>
        <n v="5.1979462612E10"/>
        <n v="5.9894666606E10"/>
        <n v="5.527999558644E12"/>
        <n v="5.1952132053E10"/>
        <n v="5.1939012631E10"/>
        <n v="5.511995132005E12"/>
        <n v="5.1912549963E10"/>
        <n v="5.1988232126E10"/>
        <n v="5.1928478601E10"/>
        <n v="5.1955361467E10"/>
        <n v="5.511983169157E12"/>
        <n v="5.54899156084E12"/>
        <n v="5.1987056846E10"/>
        <n v="5.569984715294E12"/>
        <n v="5.511979907763E12"/>
        <n v="5.1967274085E10"/>
        <n v="5.27205098435E11"/>
        <n v="5.519992959826E12"/>
        <n v="5.1926961331E10"/>
        <n v="5.511952135328E12"/>
        <n v="5.575988994151E12"/>
        <n v="5.198717347E10"/>
        <n v="5.586999504782E12"/>
        <n v="5.1921775712E10"/>
        <n v="5.1910670753E10"/>
        <n v="5.511969693563E12"/>
        <n v="5.1900880554E10"/>
        <n v="5.1930490993E10"/>
        <n v="5.0687462222E10"/>
        <n v="5.1934381667E10"/>
        <n v="5.54999199968E12"/>
        <n v="5.1928348345E10"/>
        <n v="5.1998152707E10"/>
        <n v="5.1952666196E10"/>
        <n v="5.1924298437E10"/>
        <n v="5.1975994581E10"/>
        <n v="5.1939721859E10"/>
        <n v="5.1953717969E10"/>
        <n v="5.1926038004E10"/>
        <n v="5.568992101582E12"/>
        <n v="5.1933286117E10"/>
        <n v="5.1967169245E10"/>
        <n v="5.1926521491E10"/>
        <n v="5.1966016418E10"/>
        <n v="5.531992084456E12"/>
        <n v="5.196123937E10"/>
        <n v="5.1938338964E10"/>
        <n v="5.1998696183E10"/>
        <n v="5.1981374647E10"/>
        <n v="5.199581726E10"/>
        <n v="5.1970676548E10"/>
        <n v="5.562994038749E12"/>
        <n v="5.1921674736E10"/>
        <n v="5.1921189754E10"/>
        <n v="5.1974185066E10"/>
        <n v="5.1991322421E10"/>
        <n v="5.1972087716E10"/>
        <n v="5.521976534479E12"/>
        <n v="5.547992070602E12"/>
        <n v="5.197070864E10"/>
        <n v="5.1979821064E10"/>
        <n v="5.195890806E10"/>
        <n v="5.1929773074E10"/>
        <n v="5.1920436573E10"/>
        <n v="5.1954011492E10"/>
        <n v="5.1972708687E10"/>
        <n v="5.1944718226E10"/>
        <n v="5.1962637352E10"/>
        <n v="5.541987004851E12"/>
        <n v="5.1985740445E10"/>
        <n v="5.1987301562E10"/>
        <n v="5.196009224E10"/>
        <n v="5.1991582633E10"/>
        <n v="5.511953758871E12"/>
        <n v="5.1995158491E10"/>
        <n v="5.1953464521E10"/>
        <n v="5.511964833259E12"/>
        <n v="5.1945266209E10"/>
        <n v="5.1976987765E10"/>
        <n v="5.1992415746E10"/>
        <n v="5.1965146331E10"/>
        <n v="5.54899816652E12"/>
        <n v="5.1935066973E10"/>
        <n v="5.1908808473E10"/>
        <n v="5.1949602262E10"/>
        <n v="5.521993321956E12"/>
        <n v="5.548988089566E12"/>
        <n v="5.1926731748E10"/>
        <n v="5.592991035504E12"/>
        <n v="5.565999464934E12"/>
        <n v="5.527995254477E12"/>
        <n v="5.57199200723E12"/>
        <n v="5.1930479608E10"/>
        <n v="5.516996514778E12"/>
        <n v="5.1910652917E10"/>
        <n v="5.1948725138E10"/>
        <n v="5.1957263496E10"/>
        <n v="5.1993410303E10"/>
        <n v="5.1960639454E10"/>
        <n v="5.524993062193E12"/>
        <n v="5.1923860512E10"/>
        <n v="5.1921498543E10"/>
        <n v="5.191360448E10"/>
        <n v="5.1932527453E10"/>
        <n v="5.43492671249E11"/>
        <n v="5.1987711333E10"/>
        <n v="5.1904499047E10"/>
        <n v="5.1977572711E10"/>
        <n v="5.1940751172E10"/>
        <n v="5.1970840682E10"/>
        <n v="5.1980754334E10"/>
        <n v="5.519971005996E12"/>
        <n v="5.1947621248E10"/>
        <n v="5.1960275262E10"/>
        <n v="5.1904928102E10"/>
        <n v="5.1942031403E10"/>
        <n v="5.1984284603E10"/>
        <n v="5.1912320643E10"/>
        <n v="5.194565818E10"/>
        <n v="5.1967124538E10"/>
        <n v="5.1985399847E10"/>
        <n v="5.1910804111E10"/>
        <n v="5.1929278218E10"/>
        <n v="5.190576817E10"/>
        <n v="5.1900849486E10"/>
        <n v="5.1995930031E10"/>
        <n v="5.1977332755E10"/>
        <n v="5.1963609234E10"/>
        <n v="5.562981702794E12"/>
        <n v="5.1969601732E10"/>
        <n v="5.1900659887E10"/>
        <n v="5.1908043146E10"/>
        <n v="5.19602991E10"/>
        <n v="5.1951426761E10"/>
        <n v="5.1961513214E10"/>
        <n v="5.1982444896E10"/>
        <n v="5.1929022256E10"/>
        <n v="5.1939374718E10"/>
        <n v="5.1902471555E10"/>
        <n v="5.1943127271E10"/>
        <n v="5.1968287819E10"/>
        <n v="5.1920378787E10"/>
        <n v="5.1950510041E10"/>
        <n v="5.1907066968E10"/>
        <n v="5.1928591999E10"/>
        <n v="5.1941297844E10"/>
        <n v="5.19125917E10"/>
        <n v="5.1958241878E10"/>
        <n v="5.1983725642E10"/>
        <n v="5.1992995428E10"/>
        <n v="5.1979598331E10"/>
        <n v="5.1902920516E10"/>
        <n v="5.1904197316E10"/>
        <n v="5.1966419317E10"/>
        <n v="5.56399251588E12"/>
        <n v="5.1977768298E10"/>
        <n v="5.541999644774E12"/>
        <n v="5.198774371E10"/>
        <n v="5.1979144618E10"/>
        <n v="5.1930122393E10"/>
        <n v="5.1923257359E10"/>
        <n v="5.584999021989E12"/>
        <n v="5.1943218985E10"/>
        <n v="5.1931838061E10"/>
        <n v="5.1977506417E10"/>
        <n v="5.1966882247E10"/>
        <n v="5.517988153535E12"/>
        <n v="5.1930141506E10"/>
        <n v="5.1937837961E10"/>
        <n v="5.547984248079E12"/>
        <n v="5.511940219445E12"/>
        <n v="5.1989578266E10"/>
        <n v="5.1926963444E10"/>
        <n v="5.1926257895E10"/>
        <n v="5.1958953999E10"/>
        <n v="5.1917663236E10"/>
        <n v="5.1929210609E10"/>
        <n v="5.1913789318E10"/>
        <n v="5.193223618E10"/>
        <n v="5.191014448E10"/>
        <n v="5.1925295673E10"/>
        <n v="5.192623099E10"/>
        <n v="5.1957818039E10"/>
        <n v="5.516981673768E12"/>
        <n v="5.562995172512E12"/>
        <n v="5.1990938273E10"/>
        <n v="5.1957964547E10"/>
        <n v="5.527999929996E12"/>
        <n v="5.598985166353E12"/>
        <n v="5.1921838445E10"/>
        <n v="5.1977548514E10"/>
        <n v="5.1904414589E10"/>
        <n v="5.1992623355E10"/>
        <n v="5.1980752951E10"/>
        <n v="5.1956466794E10"/>
        <n v="5.521968028775E12"/>
        <n v="5.598991446049E12"/>
        <n v="5.58398702333E12"/>
        <n v="5.1923284714E10"/>
        <n v="5.1947247308E10"/>
        <n v="5.1920757909E10"/>
        <n v="5.1960233788E10"/>
        <n v="5.1904581568E10"/>
        <n v="5.1904734027E10"/>
        <n v="5.1992091194E10"/>
        <n v="5.1981629178E10"/>
        <n v="5.1957701065E10"/>
        <n v="5.511963518627E12"/>
        <n v="5.1961835099E10"/>
        <n v="5.1904862802E10"/>
        <n v="5.1906055123E10"/>
        <n v="5.1980539853E10"/>
        <n v="5.1964076301E10"/>
        <n v="5.1933593298E10"/>
        <n v="5.1989230601E10"/>
        <n v="5.1944289373E10"/>
        <n v="5.193743154E10"/>
        <n v="5.1940407664E10"/>
        <n v="5.1957666359E10"/>
        <n v="5.1950314051E10"/>
        <n v="5.1920394009E10"/>
        <n v="5.1984766771E10"/>
        <n v="5.547991441884E12"/>
        <n v="5.1924013509E10"/>
        <n v="5.1964628282E10"/>
        <n v="5.1972624582E10"/>
        <n v="5.1979003291E10"/>
        <n v="5.1969839967E10"/>
        <n v="5.192123786E10"/>
        <n v="5.1978721432E10"/>
        <n v="5.531972573954E12"/>
        <n v="5.1969540781E10"/>
        <n v="5.1965000119E10"/>
        <n v="5.1947215082E10"/>
        <n v="5.195250044E10"/>
        <n v="5.1953540705E10"/>
        <n v="5.562992583292E12"/>
        <n v="5.1992717966E10"/>
        <n v="5.1917723468E10"/>
        <n v="5.1965663302E10"/>
        <n v="5.1970083419E10"/>
        <n v="5.192363146E10"/>
        <n v="5.1992797191E10"/>
        <n v="5.1920530897E10"/>
        <n v="5.1950988576E10"/>
        <n v="5.1975590299E10"/>
        <n v="5.1992322223E10"/>
        <n v="5.521965637122E12"/>
        <n v="5.1974032389E10"/>
        <n v="5.1967742527E10"/>
        <n v="5.198764572E10"/>
        <n v="5.1964777477E10"/>
        <n v="5.1906013262E10"/>
        <n v="5.1936826925E10"/>
        <n v="5.1934602389E10"/>
        <n v="5.198327073E10"/>
        <n v="5.584996460619E12"/>
        <n v="5.1931285318E10"/>
        <n v="5.547992260275E12"/>
        <n v="5.1907505066E10"/>
        <n v="5.598992499277E12"/>
        <n v="5.1970858903E10"/>
        <n v="5.1904005099E10"/>
        <n v="5.1994324273E10"/>
        <n v="5.191616676E10"/>
        <n v="5.1960728836E10"/>
        <n v="5.1941179606E10"/>
        <n v="5.1975727125E10"/>
        <n v="5.1901423451E10"/>
        <n v="5.1943302401E10"/>
        <n v="5.1981519684E10"/>
        <n v="5.1900968326E10"/>
        <n v="5.1962721302E10"/>
        <n v="5.531986275355E12"/>
        <n v="5.1966400398E10"/>
        <n v="5.1916143446E10"/>
        <n v="5.561995537516E12"/>
        <n v="5.1945202873E10"/>
        <n v="5.541992539713E12"/>
        <n v="5.567992958888E12"/>
        <n v="5.1902533223E10"/>
        <n v="5.1930140046E10"/>
        <n v="5.1970584783E10"/>
        <n v="5.588996279985E12"/>
        <n v="5.1992384372E10"/>
        <n v="5.197620188E10"/>
        <n v="5.1910505282E10"/>
        <n v="5.1931147559E10"/>
        <n v="5.1970550476E10"/>
        <n v="5.1961570611E10"/>
        <n v="5.1947068949E10"/>
        <n v="5.1960239445E10"/>
        <n v="5.511963860439E12"/>
        <n v="5.511985897774E12"/>
        <n v="5.19478988E10"/>
        <n v="5.1976342155E10"/>
        <n v="5.1944886679E10"/>
        <n v="5.19152177E10"/>
        <n v="5.1972181757E10"/>
        <n v="5.531991385607E12"/>
        <n v="5.1953427358E10"/>
        <n v="5.1991412919E10"/>
        <n v="5.1993294443E10"/>
        <n v="5.1931244216E10"/>
        <n v="5.511910007415E12"/>
        <n v="5.511957239801E12"/>
        <n v="5.192932193E10"/>
        <n v="5.1999111358E10"/>
        <n v="5.1956434274E10"/>
        <n v="5.1940572E10"/>
        <n v="5.198034002E10"/>
        <n v="5.1983826955E10"/>
        <n v="5.1997184303E10"/>
        <n v="5.1961332027E10"/>
        <n v="5.1914357922E10"/>
        <n v="5.1967368911E10"/>
        <n v="5.1924880735E10"/>
        <n v="5.1965202871E10"/>
        <n v="5.1975217285E10"/>
        <n v="5.1920731222E10"/>
        <n v="5.531972615381E12"/>
        <n v="5.1957308851E10"/>
        <n v="5.51933055706E11"/>
        <n v="5.1901287456E10"/>
        <n v="5.1973217022E10"/>
        <n v="5.1900787339E10"/>
        <n v="5.1950113406E10"/>
        <n v="5.588988220382E12"/>
        <n v="5.592991566507E12"/>
        <n v="5.1931738206E10"/>
        <n v="5.1918800564E10"/>
        <n v="5.512996148293E12"/>
        <n v="1.7865909756E10"/>
        <n v="5.1989516088E10"/>
        <n v="5.519986025047E12"/>
        <n v="5.1933373705E10"/>
        <n v="5.569999617738E12"/>
        <n v="5.57199684468E12"/>
        <n v="5.598984969931E12"/>
        <n v="5.1902058554E10"/>
        <n v="5.1955446809E10"/>
        <n v="5.591993960516E12"/>
        <n v="5.547996402198E12"/>
        <n v="5.1989107407E10"/>
        <n v="5.51599813004E12"/>
        <n v="5.581989907126E12"/>
        <n v="5.1940025517E10"/>
        <n v="5.1950114067E10"/>
        <n v="5.1916827646E10"/>
        <n v="5.1987930688E10"/>
        <n v="5.1928001286E10"/>
        <n v="5.1918424072E10"/>
        <n v="5.1940569562E10"/>
        <n v="5.1904955947E10"/>
        <n v="5.534998377305E12"/>
        <n v="5.543984820716E12"/>
        <n v="5.1958613718E10"/>
        <n v="5.577988410967E12"/>
        <n v="5.1975000429E10"/>
        <n v="5.1935056963E10"/>
        <n v="5.1991146032E10"/>
        <n v="5.565981312164E12"/>
        <n v="5.547984173175E12"/>
        <n v="5.534997101877E12"/>
        <n v="5.1947507244E10"/>
        <n v="5.5929946333E12"/>
        <n v="5.521980870741E12"/>
        <n v="5.588996063232E12"/>
        <n v="5.549991103065E12"/>
        <n v="5.197749933E10"/>
        <n v="5.1918909967E10"/>
        <n v="5.1902844784E10"/>
        <n v="5.554994730317E12"/>
        <n v="5.1970933241E10"/>
        <n v="5.518997000903E12"/>
        <n v="5.1994081607E10"/>
        <n v="5.195500865E10"/>
        <n v="5.1989672924E10"/>
        <n v="5.1940996347E10"/>
        <n v="5.1955634809E10"/>
        <n v="5.1929963526E10"/>
        <n v="5.57599182245E12"/>
        <n v="5.533991046802E12"/>
        <n v="5.1992514227E10"/>
        <n v="5.1901210263E10"/>
        <n v="5.1934053157E10"/>
        <n v="5.1970229132E10"/>
        <n v="5.1999093939E10"/>
        <n v="5.1902653533E10"/>
        <n v="5.1991192869E10"/>
        <n v="5.1981878154E10"/>
        <n v="5.1921080678E10"/>
        <n v="5.1970425528E10"/>
        <n v="5.1983245827E10"/>
        <n v="5.198949571E10"/>
        <n v="5.1956200051E10"/>
        <n v="5.1999129862E10"/>
        <n v="5.1902288629E10"/>
        <n v="5.1951903402E10"/>
        <n v="5.1999444868E10"/>
        <n v="5.1924997213E10"/>
        <n v="5.562986073728E12"/>
        <n v="5.1938112578E10"/>
        <n v="5.1926738351E10"/>
        <n v="5.511986934266E12"/>
        <n v="5.1933586232E10"/>
        <n v="5.1981357541E10"/>
        <n v="5.1925063453E10"/>
        <n v="5.1956148596E10"/>
        <n v="5.1935027412E10"/>
        <n v="5.1999968181E10"/>
        <n v="5.581988954017E12"/>
        <n v="5.533988556477E12"/>
        <n v="5.1943692369E10"/>
        <n v="5.1935902104E10"/>
        <n v="5.1991468261E10"/>
        <n v="5.1955138388E10"/>
        <n v="5.1934472377E10"/>
        <n v="5.1917092923E10"/>
        <n v="5.199995898E10"/>
        <n v="5.1980494442E10"/>
        <n v="5.1965764981E10"/>
        <n v="5.1916266692E10"/>
        <n v="5.581996531317E12"/>
        <n v="5.19245656E10"/>
        <n v="5.517996703121E12"/>
        <n v="5.1993887547E10"/>
        <n v="5.1902792979E10"/>
        <n v="5.1920245575E10"/>
        <n v="5.1944166E10"/>
        <n v="5.511947611612E12"/>
        <n v="5.1917106613E10"/>
        <n v="5.527997625855E12"/>
        <n v="5.197199949E10"/>
        <n v="5.537999284838E12"/>
        <n v="5.575982447123E12"/>
        <n v="5.521976884563E12"/>
        <n v="5.1975180338E10"/>
        <n v="5.565984066671E12"/>
        <n v="5.1972223144E10"/>
        <n v="5.521972833345E12"/>
        <n v="5.1974059899E10"/>
        <n v="5.1960214731E10"/>
        <n v="5.191354778E10"/>
        <n v="5.565984746556E12"/>
        <n v="5.577998349012E12"/>
        <n v="5.1948127609E10"/>
        <n v="5.1982768172E10"/>
        <n v="5.1918322209E10"/>
        <n v="5.1912320861E10"/>
        <n v="5.1962552198E10"/>
        <n v="5.547988734228E12"/>
        <n v="5.1974496753E10"/>
        <n v="5.1987813545E10"/>
        <n v="5.1927640255E10"/>
        <n v="5.1948400796E10"/>
        <n v="5.1989791876E10"/>
        <n v="5.1902857408E10"/>
        <n v="5.547984913847E12"/>
        <n v="5.197116879E10"/>
        <n v="5.1928225559E10"/>
        <n v="5.591980839975E12"/>
        <n v="5.1982934225E10"/>
        <n v="5.1914370272E10"/>
        <n v="5.1932427861E10"/>
        <n v="5.1994914082E10"/>
        <n v="5.1999910089E10"/>
        <n v="5.1945745385E10"/>
        <n v="5.1981000494E10"/>
        <n v="5.1945457447E10"/>
        <n v="5.1922521758E10"/>
        <n v="5.1971355241E10"/>
        <n v="5.598985002255E12"/>
        <n v="5.1973358032E10"/>
        <n v="5.516992190405E12"/>
        <n v="5.52196561813E12"/>
        <n v="5.1944980054E10"/>
        <n v="5.1959666066E10"/>
        <n v="5.1941057028E10"/>
        <n v="5.1971369417E10"/>
        <n v="5.1943848772E10"/>
        <n v="5.544998416998E12"/>
        <n v="5.1939705382E10"/>
        <n v="5.581997040825E12"/>
        <n v="5.562991372684E12"/>
        <n v="5.1930600531E10"/>
        <n v="5.1924252414E10"/>
        <n v="5.1943165497E10"/>
        <n v="5.1928682945E10"/>
        <n v="5.1947165153E10"/>
        <n v="5.1908736256E10"/>
        <n v="5.1956733318E10"/>
        <n v="5.1925534814E10"/>
        <n v="5.594991572449E12"/>
        <n v="5.1940882354E10"/>
        <n v="5.1917157078E10"/>
        <n v="5.1966149287E10"/>
        <n v="5.1943748123E10"/>
        <n v="5.1908018668E10"/>
        <n v="5.1923531953E10"/>
        <n v="5.571984195006E12"/>
        <n v="5.582999253893E12"/>
        <n v="5.551998467657E12"/>
        <n v="5.1925471623E10"/>
        <n v="5.1997188675E10"/>
        <n v="5.1932333354E10"/>
        <n v="5.569993301741E12"/>
        <n v="5.196643786E10"/>
        <n v="5.1921186719E10"/>
        <n v="5.1940280161E10"/>
        <n v="5.51699783457E12"/>
        <n v="5.1935990062E10"/>
        <n v="5.564999068595E12"/>
        <n v="5.1982760534E10"/>
        <n v="5.1966175288E10"/>
        <n v="5.1930406247E10"/>
        <n v="5.519994790735E12"/>
        <n v="5.190054213E10"/>
        <n v="5.1922221574E10"/>
        <n v="5.1988441416E10"/>
        <n v="5.561992137431E12"/>
        <n v="5.522988104258E12"/>
        <n v="5.1924687482E10"/>
        <n v="5.545999795139E12"/>
        <n v="5.581981438951E12"/>
        <n v="5.56299121849E12"/>
        <n v="5.1906333863E10"/>
        <n v="5.569993760419E12"/>
        <n v="5.1922665713E10"/>
        <n v="5.1958552245E10"/>
        <n v="5.1998946591E10"/>
        <n v="5.1928787063E10"/>
        <n v="5.1965723275E10"/>
        <n v="5.1925436579E10"/>
        <n v="5.1972010791E10"/>
        <n v="5.1907898217E10"/>
        <n v="5.1931522748E10"/>
        <n v="5.1917259045E10"/>
        <n v="5.73012463004E11"/>
        <n v="5.193899574E10"/>
        <n v="5.1910380648E10"/>
        <n v="5.1916269474E10"/>
        <n v="5.1937319391E10"/>
        <n v="5.548988077109E12"/>
        <n v="5.1933562914E10"/>
        <n v="5.73233279908E11"/>
        <n v="5.1930471129E10"/>
        <n v="5.51196743696E12"/>
        <n v="5.1977307675E10"/>
        <n v="5.562996417348E12"/>
        <n v="5.1912485126E10"/>
        <n v="5.1965180323E10"/>
        <n v="5.1924836295E10"/>
        <n v="5.1941202904E10"/>
        <n v="5.1976387711E10"/>
        <n v="5.1950184414E10"/>
        <n v="5.1995966044E10"/>
        <n v="5.1933468318E10"/>
        <n v="5.193400931E10"/>
        <n v="5.511962134164E12"/>
        <n v="5.1955770466E10"/>
        <n v="5.1974603858E10"/>
        <n v="5.199789249E10"/>
        <n v="5.190550668E10"/>
        <n v="5.551982352553E12"/>
        <n v="5.581998088435E12"/>
        <n v="5.585994477386E12"/>
        <n v="5.514997487923E12"/>
        <n v="5.1935306416E10"/>
        <n v="5.191510203E10"/>
        <n v="5.1949112149E10"/>
        <n v="5.1980746605E10"/>
        <n v="5.1927736721E10"/>
        <n v="5.584981537986E12"/>
        <n v="5.511971189401E12"/>
        <n v="5.1926135754E10"/>
        <n v="5.1928591629E10"/>
        <n v="5.1998392009E10"/>
        <n v="5.1926277001E10"/>
        <n v="5.196956579E10"/>
        <n v="5.1921857766E10"/>
        <n v="5.1998254091E10"/>
        <n v="5.1918337456E10"/>
        <n v="5.1936104245E10"/>
        <n v="5.1982640333E10"/>
        <n v="5.1933581868E10"/>
        <n v="5.19213118E10"/>
        <n v="5.1920060136E10"/>
        <n v="5.1998190038E10"/>
        <n v="5.1943478324E10"/>
        <n v="5.1965175042E10"/>
        <n v="5.1907422985E10"/>
        <n v="5.514982326215E12"/>
        <n v="5.1940982902E10"/>
        <n v="5.1955449107E10"/>
        <n v="5.1929366348E10"/>
        <n v="5.588996490997E12"/>
        <n v="5.1999663286E10"/>
        <n v="5.561995033526E12"/>
        <n v="5.598999056997E12"/>
        <n v="5.53137631783E11"/>
        <n v="5.511988294423E12"/>
        <n v="5.588981117873E12"/>
        <n v="5.1958063263E10"/>
        <n v="5.1999590257E10"/>
        <n v="5.519981127902E12"/>
        <n v="5.1937630432E10"/>
        <n v="5.1923178105E10"/>
        <n v="5.1955660966E10"/>
        <n v="5.5459990219E12"/>
        <n v="5.1935265053E10"/>
        <n v="5.1952111716E10"/>
        <n v="5.1933476502E10"/>
        <n v="5.1942610346E10"/>
        <n v="5.194060781E10"/>
        <n v="5.19983174E10"/>
        <n v="5.1924882187E10"/>
        <n v="5.1995652888E10"/>
        <n v="5.1914166172E10"/>
        <n v="5.1917321413E10"/>
        <n v="5.1967336675E10"/>
        <n v="5.521995154498E12"/>
        <n v="5.1989079738E10"/>
        <n v="5.1988389103E10"/>
        <n v="5.1917363844E10"/>
        <n v="5.19785825E10"/>
        <n v="5.1910976106E10"/>
        <n v="5.1929141058E10"/>
        <n v="5.1932722041E10"/>
        <n v="5.1913631171E10"/>
        <n v="5.1972839825E10"/>
        <n v="5.1977511305E10"/>
        <n v="5.51699430657E12"/>
        <n v="5.571984425405E12"/>
        <n v="5.59130749009E11"/>
        <n v="5.1986924314E10"/>
        <n v="5.1972252546E10"/>
        <n v="5.1948178026E10"/>
        <n v="5.1947808733E10"/>
        <n v="5.192440473E10"/>
        <n v="5.1967509069E10"/>
        <n v="5.1986348228E10"/>
        <n v="5.19005218E10"/>
        <n v="5.19632799E10"/>
        <n v="5.1952361573E10"/>
        <n v="5.1931184224E10"/>
        <n v="5.548998023764E12"/>
        <n v="5.1934446679E10"/>
        <n v="5.1971770973E10"/>
        <n v="5.1931047733E10"/>
        <n v="5.1924221216E10"/>
        <n v="5.1994839002E10"/>
        <n v="5.1902124813E10"/>
        <n v="5.1978940136E10"/>
        <n v="5.1974244755E10"/>
        <n v="5.1960714143E10"/>
        <n v="5.192809792E10"/>
        <n v="5.198508821E10"/>
        <n v="5.543991199409E12"/>
        <n v="5.1915955589E10"/>
        <n v="5.1970123398E10"/>
        <n v="5.1945371459E10"/>
        <n v="5.192553748E10"/>
        <n v="5.1974993728E10"/>
        <n v="5.1910487189E10"/>
        <n v="5.1917405606E10"/>
        <n v="5.1935876289E10"/>
        <n v="5.1904304154E10"/>
        <n v="5.1910692062E10"/>
        <n v="5.598988704258E12"/>
        <n v="5.192500705E10"/>
        <n v="5.1935735584E10"/>
        <n v="5.191079743E10"/>
        <n v="5.1963260283E10"/>
        <n v="5.73105041007E11"/>
        <n v="5.1961586333E10"/>
        <n v="5.1928349508E10"/>
        <n v="5.1918793256E10"/>
        <n v="5.1985848284E10"/>
        <n v="5.1994554977E10"/>
        <n v="5.1912403027E10"/>
        <n v="5.1994236641E10"/>
        <n v="5.1955001084E10"/>
        <n v="5.1914621247E10"/>
        <n v="5.1958690867E10"/>
        <n v="5.511996926777E12"/>
        <n v="5.1903352804E10"/>
        <n v="5.1937535252E10"/>
        <n v="5.1981221137E10"/>
        <n v="5.1934825238E10"/>
        <n v="5.42954555113E11"/>
        <n v="5.1949844072E10"/>
        <n v="5.1986031498E10"/>
        <n v="5.521985198375E12"/>
        <n v="5.1945815495E10"/>
        <n v="5.1934291042E10"/>
        <n v="5.1982502088E10"/>
        <n v="5.1972199668E10"/>
        <n v="5.1963786817E10"/>
        <n v="5.1974356626E10"/>
        <n v="5.1950182902E10"/>
        <n v="5.1986572143E10"/>
        <n v="5.1932840151E10"/>
        <n v="5.565920012312E12"/>
        <n v="5.1905740152E10"/>
        <n v="5.1993569134E10"/>
        <n v="5.1991684443E10"/>
        <n v="5.1980593825E10"/>
        <n v="5.195597907E10"/>
        <n v="5.192540614E10"/>
        <n v="5.1924719202E10"/>
        <n v="5.198881994E10"/>
        <n v="5.1907122788E10"/>
        <n v="5.1969109072E10"/>
        <n v="5.1916423062E10"/>
        <n v="5.199991159E10"/>
        <n v="5.1961481058E10"/>
        <n v="5.1962397606E10"/>
        <n v="5.1941776655E10"/>
        <n v="5.19651096E10"/>
        <n v="5.1926285231E10"/>
        <n v="5.1972737954E10"/>
        <n v="5.1902081151E10"/>
        <n v="5.192589406E10"/>
        <n v="5.1908047785E10"/>
        <n v="5.1918346494E10"/>
        <n v="5.1989269142E10"/>
        <n v="5.575991749933E12"/>
        <n v="5.511982592865E12"/>
        <n v="5.519991856272E12"/>
        <n v="5.1933253495E10"/>
        <n v="5.1902221931E10"/>
        <n v="5.567992567297E12"/>
        <n v="5.585987433959E12"/>
        <n v="5.197885494E10"/>
        <n v="5.1962324375E10"/>
        <n v="5.1965002552E10"/>
        <n v="5.1938276449E10"/>
        <n v="5.531995603968E12"/>
        <n v="5.1989598741E10"/>
        <n v="5.1961689851E10"/>
        <n v="5.1962715186E10"/>
        <n v="5.1901523988E10"/>
        <n v="5.594991326083E12"/>
        <n v="5.0688033039E10"/>
        <n v="5.1902497986E10"/>
        <n v="5.195987917E10"/>
        <n v="5.1937498124E10"/>
        <n v="5.588992222628E12"/>
        <n v="5.1940344498E10"/>
        <n v="5.194446865E10"/>
        <n v="5.73245076709E11"/>
        <n v="5.1969574044E10"/>
        <n v="5.1997284596E10"/>
        <n v="5.1982296521E10"/>
        <n v="5.1908718846E10"/>
        <n v="5.1904784373E10"/>
        <n v="5.511997622377E12"/>
        <n v="5.1938260603E10"/>
        <n v="5.1959373497E10"/>
        <n v="5.1937547831E10"/>
        <n v="5.1904258281E10"/>
        <n v="5.1912724214E10"/>
        <n v="5.1902799994E10"/>
        <n v="5.1949104918E10"/>
        <n v="5.537996707522E12"/>
        <n v="5.1935755204E10"/>
        <n v="5.1976797503E10"/>
        <n v="5.1925662597E10"/>
        <n v="5.1957281842E10"/>
        <n v="5.1977641349E10"/>
        <n v="5.1974762842E10"/>
        <n v="5.1963046142E10"/>
        <n v="5.24774047986E11"/>
        <n v="5.1936674395E10"/>
        <n v="5.1967040406E10"/>
        <n v="5.521995057568E12"/>
        <n v="5.1945022075E10"/>
        <n v="5.531999208389E12"/>
        <n v="5.571987219027E12"/>
        <n v="5.1978798378E10"/>
        <n v="5.519988111514E12"/>
        <n v="5.1927800912E10"/>
        <n v="5.5919934345E12"/>
        <n v="5.1905801944E10"/>
        <n v="5.1924774554E10"/>
        <n v="5.1916683004E10"/>
        <n v="5.73105305151E11"/>
        <n v="5.1954807555E10"/>
        <n v="5.1945352008E10"/>
        <n v="5.1924763168E10"/>
        <n v="5.1907566882E10"/>
        <n v="5.1997398048E10"/>
        <n v="5.1905903761E10"/>
        <n v="5.521983144504E12"/>
        <n v="5.527997410057E12"/>
        <n v="5.511951608876E12"/>
        <n v="5.1951000102E10"/>
        <n v="5.57598800695E12"/>
        <n v="5.511994844338E12"/>
        <n v="5.1931796762E10"/>
        <n v="5.1925679314E10"/>
        <n v="5.191058847E10"/>
        <n v="5.1912601146E10"/>
        <n v="5.196375033E10"/>
        <n v="5.1912180025E10"/>
        <n v="5.1944452514E10"/>
        <n v="5.1946391914E10"/>
        <n v="5.1918438565E10"/>
        <n v="5.545998055761E12"/>
        <n v="5.537999707606E12"/>
        <n v="5.1946201987E10"/>
        <n v="5.1991160116E10"/>
        <n v="5.1982844599E10"/>
        <n v="5.1991536323E10"/>
        <n v="5.1993093478E10"/>
        <n v="5.1944606387E10"/>
        <n v="5.1981551442E10"/>
        <n v="5.1984261766E10"/>
        <n v="5.545984010939E12"/>
        <n v="5.1938775254E10"/>
        <n v="5.1927195924E10"/>
        <n v="5.1902866593E10"/>
        <n v="5.1985319023E10"/>
        <n v="5.511994900606E12"/>
        <n v="5.196744049E10"/>
        <n v="5.1918378865E10"/>
        <n v="5.1972561996E10"/>
        <n v="5.1958052092E10"/>
        <n v="5.1994517636E10"/>
        <n v="5.1900403511E10"/>
        <n v="5.551995115832E12"/>
        <n v="5.1930848547E10"/>
        <n v="5.1977951648E10"/>
        <n v="5.19810256E10"/>
        <n v="5.1969914195E10"/>
        <n v="5.195376502E10"/>
        <n v="5.1942756925E10"/>
        <n v="5.1984645578E10"/>
        <n v="5.1939120511E10"/>
        <n v="5.1944601185E10"/>
        <n v="5.1943906643E10"/>
        <n v="5.1902146189E10"/>
        <n v="5.1910646185E10"/>
        <n v="5.1971813108E10"/>
        <n v="5.51198947455E12"/>
        <n v="5.1932224997E10"/>
        <n v="5.198745993E10"/>
        <n v="5.522996192618E12"/>
        <n v="5.583986793023E12"/>
        <n v="5.1988933436E10"/>
        <n v="5.1906500416E10"/>
        <n v="5.1900651435E10"/>
        <n v="5.535992461837E12"/>
        <n v="5.551991484058E12"/>
        <n v="5.1912785741E10"/>
        <n v="5.1918274673E10"/>
        <n v="5.1965012887E10"/>
        <n v="5.1999901838E10"/>
        <n v="5.1937010381E10"/>
        <n v="5.1912531511E10"/>
        <n v="5.1940356485E10"/>
        <n v="5.569992366159E12"/>
        <n v="5.190668954E10"/>
        <n v="5.551989062996E12"/>
        <n v="5.1920020159E10"/>
        <n v="5.1941232403E10"/>
        <n v="5.512997028352E12"/>
        <n v="5.541998170416E12"/>
        <n v="5.1906147948E10"/>
        <n v="5.598991920419E12"/>
        <n v="5.1935250756E10"/>
        <n v="5.1937687547E10"/>
        <n v="5.1946874111E10"/>
        <n v="5.1981403511E10"/>
        <n v="5.1987711505E10"/>
        <n v="5.511939522463E12"/>
        <n v="5.1902047457E10"/>
        <n v="5.1965146175E10"/>
        <n v="5.190129751E10"/>
        <n v="5.1918928937E10"/>
        <n v="5.1981457252E10"/>
        <n v="5.1946596222E10"/>
        <n v="5.52198775909E12"/>
        <n v="5.1970429081E10"/>
        <n v="5.531975476632E12"/>
        <n v="5.1945334233E10"/>
        <n v="5.1979147608E10"/>
        <n v="5.1917937071E10"/>
        <n v="5.537999367351E12"/>
        <n v="5.51197045632E12"/>
        <n v="5.1979142191E10"/>
        <n v="5.1981633317E10"/>
        <n v="5.1921784951E10"/>
        <n v="5.1993684016E10"/>
        <n v="5.514998608433E12"/>
        <n v="5.1956446342E10"/>
        <n v="5.1928311876E10"/>
        <n v="5.1994828116E10"/>
        <n v="5.195139359E10"/>
        <n v="5.1951736215E10"/>
        <n v="5.1961891498E10"/>
        <n v="5.1935485745E10"/>
        <n v="5.1932545074E10"/>
        <n v="5.1960694271E10"/>
        <n v="5.1966277521E10"/>
        <n v="5.1976107398E10"/>
        <n v="5.575999339488E12"/>
        <n v="5.517997696856E12"/>
        <n v="5.1997113884E10"/>
        <n v="5.534999606641E12"/>
        <n v="5.1982414822E10"/>
        <n v="5.1964959772E10"/>
        <n v="5.1945224395E10"/>
        <n v="5.535999819852E12"/>
        <n v="5.1944445038E10"/>
        <n v="5.1932678657E10"/>
        <n v="5.1968391004E10"/>
        <n v="5.1902898622E10"/>
        <n v="5.564992682335E12"/>
        <n v="5.1980445235E10"/>
        <n v="5.1939358182E10"/>
        <n v="5.1985748391E10"/>
        <n v="5.1939892959E10"/>
        <n v="5.1923558644E10"/>
        <n v="5.1993366578E10"/>
        <n v="5.196794597E10"/>
        <n v="5.1980993283E10"/>
        <n v="5.1927312419E10"/>
        <n v="5.1993737372E10"/>
        <n v="5.58499960955E12"/>
        <n v="5.1971017002E10"/>
        <n v="5.1976143852E10"/>
        <n v="5.1902107943E10"/>
        <n v="5.1940412005E10"/>
        <n v="5.1944580326E10"/>
        <n v="5.1993302431E10"/>
        <n v="1.3213183998E10"/>
        <n v="5.591982445651E12"/>
        <n v="5.562991047475E12"/>
        <n v="5.1946522517E10"/>
        <n v="5.1987517832E10"/>
        <n v="5.43434161276E11"/>
        <n v="5.193857869E10"/>
        <n v="5.1922006572E10"/>
        <n v="5.1947968077E10"/>
        <n v="5.581999685204E12"/>
        <n v="5.1913820557E10"/>
        <n v="5.1902249882E10"/>
        <n v="5.1921770205E10"/>
        <n v="5.1971675729E10"/>
        <n v="5.1910619891E10"/>
        <n v="5.1928821523E10"/>
        <n v="5.1989912264E10"/>
        <n v="5.1996387156E10"/>
        <n v="5.1974365612E10"/>
        <n v="5.191039273E10"/>
        <n v="5.1916626663E10"/>
        <n v="5.1918838497E10"/>
        <n v="5.521976394834E12"/>
        <n v="5.1912208678E10"/>
        <n v="5.1972942955E10"/>
        <n v="5.194498171E10"/>
        <n v="5.1930569389E10"/>
        <n v="5.1934191572E10"/>
        <n v="5.1977800934E10"/>
        <n v="5.1917030279E10"/>
        <n v="5.1967762221E10"/>
        <n v="5.1970859256E10"/>
        <n v="5.1900216482E10"/>
        <n v="5.1901386058E10"/>
        <n v="5.1931935893E10"/>
        <n v="5.1907888822E10"/>
        <n v="5.1912919795E10"/>
        <n v="5.51194750302E12"/>
        <n v="5.1902061876E10"/>
        <n v="5.198636694E10"/>
        <n v="5.1930847874E10"/>
        <n v="5.1924612272E10"/>
        <n v="5.1931104449E10"/>
        <n v="5.1928079301E10"/>
        <n v="5.1949336832E10"/>
        <n v="5.1976192775E10"/>
        <n v="5.1935488E10"/>
        <n v="5.190034726E10"/>
        <n v="5.1965479207E10"/>
        <n v="5.1937025599E10"/>
        <n v="5.199980838E10"/>
        <n v="5.29875648096E11"/>
        <n v="5.1927664352E10"/>
        <n v="5.1932877181E10"/>
        <n v="5.1971472338E10"/>
        <n v="5.1965308482E10"/>
        <n v="5.551991097339E12"/>
        <n v="5.1972127591E10"/>
        <n v="5.1959003624E10"/>
        <n v="5.1945210464E10"/>
        <n v="5.1995351225E10"/>
        <n v="5.519997938338E12"/>
        <n v="5.521969942939E12"/>
        <n v="5.1952322708E10"/>
        <n v="5.589988318208E12"/>
        <n v="5.1962445616E10"/>
        <n v="5.1931244642E10"/>
        <n v="5.1921046494E10"/>
        <n v="5.593981102506E12"/>
        <n v="5.95981981143E11"/>
        <n v="5.1940252929E10"/>
        <n v="5.1941244425E10"/>
        <n v="5.1925357078E10"/>
        <n v="5.535999236141E12"/>
        <n v="5.194938125E10"/>
        <n v="5.549999927474E12"/>
        <n v="5.1959879343E10"/>
        <n v="5.563992613731E12"/>
        <n v="5.1916832281E10"/>
        <n v="5.1981281121E10"/>
        <n v="5.1901165698E10"/>
        <n v="5.1958517813E10"/>
        <n v="5.1910958987E10"/>
        <n v="5.193877222E10"/>
        <n v="5.518991905948E12"/>
        <n v="5.1980607256E10"/>
        <n v="5.193019218E10"/>
        <n v="5.1921172807E10"/>
        <n v="5.1921778218E10"/>
        <n v="5.1971677755E10"/>
        <n v="5.1922833892E10"/>
        <n v="5.1926128384E10"/>
        <n v="5.1960994478E10"/>
        <n v="5.1901973769E10"/>
        <n v="5.1939773024E10"/>
        <n v="5.1992302384E10"/>
        <n v="5.535988341689E12"/>
        <n v="5.1906677045E10"/>
        <n v="5.191609198E10"/>
        <n v="5.84161615118E11"/>
        <n v="5.1928279712E10"/>
        <n v="5.1929201321E10"/>
        <n v="5.541999046133E12"/>
        <n v="5.1964351515E10"/>
        <n v="5.1961344267E10"/>
        <n v="5.1913728489E10"/>
        <n v="5.1987154367E10"/>
        <n v="5.1934861481E10"/>
        <n v="5.1987370805E10"/>
        <n v="5.1938807738E10"/>
        <n v="5.1912286397E10"/>
        <n v="5.1931884592E10"/>
        <n v="5.1940659797E10"/>
        <n v="5.1989395707E10"/>
        <n v="5.1918598807E10"/>
        <n v="5.1943194723E10"/>
        <n v="5.1972127651E10"/>
        <n v="5.516988074521E12"/>
        <n v="5.19557023E10"/>
        <n v="5.522997757992E12"/>
        <n v="5.197857795E10"/>
        <n v="5.511970189699E12"/>
        <n v="1.8097059802E10"/>
        <n v="5.518981329408E12"/>
        <n v="5.1955913876E10"/>
        <n v="5.1921131077E10"/>
        <n v="5.1962256397E10"/>
        <n v="5.1958500822E10"/>
        <n v="5.28443063382E11"/>
        <n v="5.1929940618E10"/>
        <n v="5.1916033599E10"/>
        <n v="5.516981941343E12"/>
        <n v="5.571993464858E12"/>
        <n v="5.1973799353E10"/>
        <n v="5.519997251098E12"/>
        <n v="5.1941674358E10"/>
        <n v="5.192274113E10"/>
        <n v="5.511987602293E12"/>
        <n v="5.511996637083E12"/>
        <n v="5.1955437266E10"/>
        <n v="5.1942556062E10"/>
        <n v="5.1953031375E10"/>
        <n v="5.1952823572E10"/>
        <n v="5.1918857583E10"/>
        <n v="5.1984410555E10"/>
        <n v="5.1960611877E10"/>
        <n v="5.1980568012E10"/>
        <n v="5.1906277307E10"/>
        <n v="5.1902658494E10"/>
        <n v="5.1930987952E10"/>
        <n v="5.1947532123E10"/>
        <n v="5.1935340294E10"/>
        <n v="5.1937527838E10"/>
        <n v="5.1954303001E10"/>
        <n v="5.1902228462E10"/>
        <n v="5.1917344915E10"/>
        <n v="5.1993029221E10"/>
        <n v="5.1993668269E10"/>
        <n v="5.1993641395E10"/>
        <n v="5.1906952608E10"/>
        <n v="5.198685475E10"/>
        <n v="5.574988028596E12"/>
        <n v="5.1982244579E10"/>
        <n v="5.511980652806E12"/>
        <n v="1.9173314685E10"/>
        <n v="5.1923703862E10"/>
        <n v="5.1978017759E10"/>
        <n v="5.6966248128E10"/>
        <n v="5.1912562E10"/>
        <n v="5.586994394447E12"/>
        <n v="5.518996347203E12"/>
        <n v="5.1950621102E10"/>
        <n v="5.1937398827E10"/>
        <n v="5.1917406409E10"/>
        <n v="5.1979816202E10"/>
        <n v="5.197836989E10"/>
        <n v="5.1966802012E10"/>
        <n v="5.1991740216E10"/>
        <n v="5.574999360535E12"/>
        <n v="5.1994027212E10"/>
        <n v="5.9164304416E10"/>
        <n v="5.1961885306E10"/>
        <n v="5.563992493358E12"/>
        <n v="5.1902733604E10"/>
        <n v="5.1923800502E10"/>
        <n v="5.198049705E10"/>
        <n v="5.1919528811E10"/>
        <n v="5.513996051032E12"/>
        <n v="5.1941081694E10"/>
        <n v="5.43886148045E11"/>
        <n v="5.1956048765E10"/>
        <n v="5.73204249503E11"/>
        <n v="5.1998168536E10"/>
        <n v="5.533998259936E12"/>
        <n v="5.1933153733E10"/>
        <n v="5.1913408351E10"/>
        <n v="5.511994653173E12"/>
        <n v="5.1948156157E10"/>
        <n v="5.192252332E10"/>
        <n v="5.53198584346E12"/>
        <n v="5.27831112168E11"/>
        <n v="5.1941006792E10"/>
        <n v="5.519999271469E12"/>
        <n v="5.190463956E10"/>
        <n v="5.1992076733E10"/>
        <n v="5.1998330328E10"/>
        <n v="5.1970914442E10"/>
        <n v="5.1996420033E10"/>
        <n v="5.1955058219E10"/>
        <n v="5.544998052469E12"/>
        <n v="5.1952774844E10"/>
        <n v="5.1944002402E10"/>
        <n v="5.197873106E10"/>
        <n v="5.1936605882E10"/>
        <n v="5.1943087918E10"/>
        <n v="5.1900606698E10"/>
        <n v="5.52198132533E12"/>
        <n v="5.192971154E10"/>
        <n v="5.531973287558E12"/>
        <n v="5.19972294E10"/>
        <n v="5.1912426863E10"/>
        <n v="5.1996807495E10"/>
        <n v="5.511942443608E12"/>
        <n v="5.73023500627E11"/>
        <n v="5.519992955822E12"/>
        <n v="5.1903474301E10"/>
        <n v="5.1974238644E10"/>
        <n v="5.1925704922E10"/>
        <n v="5.518991934279E12"/>
        <n v="5.1946266543E10"/>
        <n v="5.511950709398E12"/>
        <n v="5.1970507846E10"/>
        <n v="5.198187608E10"/>
        <n v="5.52498831908E12"/>
        <n v="5.1997604028E10"/>
        <n v="5.1929200888E10"/>
        <n v="5.1914329431E10"/>
        <n v="5.1935270683E10"/>
        <n v="5.1976201507E10"/>
        <n v="5.1934883499E10"/>
        <n v="5.1940645672E10"/>
        <n v="5.193562567E10"/>
        <n v="5.1901124505E10"/>
        <n v="5.1961759404E10"/>
        <n v="5.1928583132E10"/>
        <n v="5.1916522754E10"/>
        <n v="5.1970439812E10"/>
        <n v="5.1994416143E10"/>
        <n v="5.194919149E10"/>
        <n v="5.1991981112E10"/>
        <n v="5.551992515231E12"/>
        <n v="5.1902169239E10"/>
        <n v="5.1947822825E10"/>
        <n v="5.1926460297E10"/>
        <n v="5.1967794692E10"/>
        <n v="5.512988071781E12"/>
        <n v="5.1931431817E10"/>
        <n v="5.1967552663E10"/>
        <m/>
      </sharedItems>
    </cacheField>
    <cacheField name="Prioridade" numFmtId="0">
      <sharedItems containsBlank="1">
        <s v="BAJA"/>
        <s v="MEDIA"/>
        <s v="SIN DATOS"/>
        <s v="ALTA"/>
        <m/>
      </sharedItems>
    </cacheField>
    <cacheField name="Proprietário" numFmtId="0">
      <sharedItems containsString="0" containsBlank="1" containsNumber="1" containsInteger="1">
        <n v="8.060572E7"/>
        <n v="8.0566583E7"/>
        <n v="7.9360573E7"/>
        <m/>
        <n v="8.7547393E7"/>
        <n v="8.5569856E7"/>
      </sharedItems>
    </cacheField>
    <cacheField name="Indústria" numFmtId="0">
      <sharedItems containsBlank="1">
        <s v="Salud y suplementos"/>
        <s v="Alimentos y bebidas"/>
        <s v="Otros (libre para escribir)"/>
        <s v="Educación - cursos"/>
        <m/>
        <s v="Moda, ropa y accesorios"/>
        <s v="Hogar y decoración"/>
        <s v="Tecnología y gadgets"/>
        <s v="Mascotas"/>
        <s v="Productos Belleza y cuidado personal"/>
        <s v="Novedades y productos variados"/>
        <s v="Software"/>
        <s v="Dropshipping / Tienda de productos variados"/>
        <s v="Restaurantes, inmobiliarias, consultorías &amp; servicios"/>
        <s v="Moda y Accesorios"/>
        <s v="Servicios"/>
        <s v="Tecnología y Electrónica"/>
        <s v="Cursos y productos digitales"/>
        <s v="Tienda de productos variados"/>
        <s v="Suplementos y Bienestar"/>
        <s v="Belleza y Cuidado Personal"/>
      </sharedItems>
    </cacheField>
    <cacheField name="# de Pedidos">
      <sharedItems containsBlank="1" containsMixedTypes="1" containsNumber="1" containsInteger="1">
        <s v="No vendo productos aun"/>
        <n v="50.0"/>
        <s v="1 a 2"/>
        <m/>
        <s v="3 a 10"/>
        <s v="10 a 20"/>
        <s v="20 a 50"/>
        <s v="Menos de 5"/>
        <s v="5 a 10"/>
      </sharedItems>
    </cacheField>
    <cacheField name="Canais de vendas" numFmtId="0">
      <sharedItems containsBlank="1">
        <s v="WHATSAPP_BUSINESS;SOCIAL_NETWORKS"/>
        <s v="WHATSAPP_BUSINESS"/>
        <s v="SOCIAL_NETWORKS;WHATSAPP_BUSINESS"/>
        <s v="WHATSAPP_BUSINESS;SOCIAL_NETWORKS;ONLINE_STORE"/>
        <m/>
        <s v="PHYSICAL_STORE;SOCIAL_NETWORKS"/>
        <s v="WHATSAPP_BUSINESS;ONLINE_STORE;PHYSICAL_STORE"/>
        <s v="NONE"/>
        <s v="SOCIAL_NETWORKS;ONLINE_STORE;WHATSAPP_BUSINESS"/>
        <s v="ONLINE_STORE"/>
        <s v="SOCIAL_NETWORKS"/>
        <s v="PHYSICAL_STORE"/>
        <s v="PHYSICAL_STORE;WHATSAPP_BUSINESS;SOCIAL_NETWORKS;ONLINE_STORE"/>
        <s v="SOCIAL_NETWORKS;WHATSAPP_BUSINESS;PHYSICAL_STORE"/>
        <s v="WHATSAPP_BUSINESS;SOCIAL_NETWORKS;ONLINE_STORE;PHYSICAL_STORE"/>
        <s v="WHATSAPP_BUSINESS;NONE"/>
        <s v="WHATSAPP_BUSINESS;SOCIAL_NETWORKS;NONE"/>
        <s v="WHATSAPP_BUSINESS;ONLINE_STORE"/>
        <s v="WHATSAPP_BUSINESS;ONLINE_STORE;SOCIAL_NETWORKS"/>
        <s v="WHATSAPP_BUSINESS;SOCIAL_NETWORKS;PHYSICAL_STORE"/>
        <s v="SOCIAL_NETWORKS;ONLINE_STORE"/>
        <s v="PHYSICAL_STORE;WHATSAPP_BUSINESS"/>
        <s v="SOCIAL_NETWORKS;PHYSICAL_STORE"/>
        <s v="ONLINE_STORE;WHATSAPP_BUSINESS;SOCIAL_NETWORKS"/>
        <s v="WHATSAPP_BUSINESS;PHYSICAL_STORE"/>
        <s v="ONLINE_STORE;SOCIAL_NETWORKS;WHATSAPP_BUSINESS"/>
        <s v="ONLINE_STORE;WHATSAPP_BUSINESS"/>
        <s v="PHYSICAL_STORE;WHATSAPP_BUSINESS;SOCIAL_NETWORKS"/>
        <s v="WHATSAPP_BUSINESS;ONLINE_STORE;PHYSICAL_STORE;SOCIAL_NETWORKS"/>
        <s v="NONE;WHATSAPP_BUSINESS"/>
        <s v="SOCIAL_NETWORKS;WHATSAPP_BUSINESS;ONLINE_STORE;PHYSICAL_STORE"/>
        <s v="NONE;SOCIAL_NETWORKS"/>
        <s v="NONE;PHYSICAL_STORE"/>
        <s v="WHATSAPP_BUSINESS;PHYSICAL_STORE;SOCIAL_NETWORKS"/>
        <s v="WHATSAPP_BUSINESS;SOCIAL_NETWORKS;PHYSICAL_STORE;ONLINE_STORE;NONE"/>
        <s v="WHATSAPP_BUSINESS;SOCIAL_NETWORKS;PHYSICAL_STORE;ONLINE_STORE"/>
        <s v="WHATSAPP_BUSINESS;NONE;PHYSICAL_STORE"/>
        <s v="SOCIAL_NETWORKS;WHATSAPP_BUSINESS;ONLINE_STORE"/>
        <s v="SOCIAL_NETWORKS;ONLINE_STORE;NONE"/>
        <s v="ONLINE_STORE;SOCIAL_NETWORKS;PHYSICAL_STORE;WHATSAPP_BUSINESS"/>
        <s v="PHYSICAL_STORE;SOCIAL_NETWORKS;WHATSAPP_BUSINESS"/>
        <s v="WHATSAPP_BUSINESS;PHYSICAL_STORE;ONLINE_STORE;SOCIAL_NETWORKS"/>
        <s v="WHATSAPP_BUSINESS;PHYSICAL_STORE;ONLINE_STORE"/>
        <s v="SOCIAL_NETWORKS;NONE"/>
        <s v="PHYSICAL_STORE;ONLINE_STORE"/>
        <s v="PHYSICAL_STORE;NONE"/>
        <s v="WHATSAPP_BUSINESS;NONE;SOCIAL_NETWORKS;ONLINE_STORE"/>
        <s v="ONLINE_STORE;SOCIAL_NETWORKS"/>
        <s v="SOCIAL_NETWORKS;ONLINE_STORE;PHYSICAL_STORE;WHATSAPP_BUSINESS"/>
        <s v="SOCIAL_NETWORKS;NONE;WHATSAPP_BUSINESS;ONLINE_STORE"/>
        <s v="SOCIAL_NETWORKS;PHYSICAL_STORE;WHATSAPP_BUSINESS"/>
        <s v="WHATSAPP_BUSINESS;SOCIAL_NETWORKS;NONE;PHYSICAL_STORE"/>
        <s v="WHATSAPP_BUSINESS;ONLINE_STORE;SOCIAL_NETWORKS;PHYSICAL_STORE"/>
        <s v="ONLINE_STORE;SOCIAL_NETWORKS;WHATSAPP_BUSINESS;PHYSICAL_STORE"/>
        <s v="WHATSAPP_BUSINESS;ONLINE_STORE;NONE"/>
        <s v="ONLINE_STORE;WHATSAPP_BUSINESS;SOCIAL_NETWORKS;PHYSICAL_STORE"/>
        <s v="WHATSAPP_BUSINESS;NONE;SOCIAL_NETWORKS"/>
        <s v="SOCIAL_NETWORKS;WHATSAPP_BUSINESS;PHYSICAL_STORE;ONLINE_STORE"/>
        <s v="ONLINE_STORE;NONE"/>
        <s v="ONLINE_STORE;PHYSICAL_STORE"/>
        <s v="WHATSAPP_BUSINESS;SOCIAL_NETWORKS;ONLINE_STORE;PHYSICAL_STORE;NONE"/>
        <s v="SOCIAL_NETWORKS;ONLINE_STORE;PHYSICAL_STORE"/>
      </sharedItems>
    </cacheField>
    <cacheField name="Por onde encontrou?" numFmtId="0">
      <sharedItems containsBlank="1">
        <s v="SOCIAL"/>
        <s v="GOOGLE"/>
        <m/>
        <s v="FRIEND"/>
        <s v="OTHER"/>
        <s v="PARTNER"/>
        <s v="INFLUENCER"/>
      </sharedItems>
    </cacheField>
    <cacheField name="UTM&#10;source" numFmtId="0">
      <sharedItems containsBlank="1">
        <s v="PAID_SOCIAL"/>
        <s v="SOCIAL_MEDIA"/>
        <s v="DIRECT_TRAFFIC"/>
        <s v="REFERRALS"/>
        <s v="OTHER_CAMPAIGNS"/>
        <s v="ORGANIC_SEARCH"/>
        <s v="OFFLINE"/>
        <s v="PAID_SEARCH"/>
        <m/>
      </sharedItems>
    </cacheField>
    <cacheField name="UTM&#10;campaing">
      <sharedItems containsBlank="1" containsMixedTypes="1" containsNumber="1" containsInteger="1">
        <s v="rmkt_engagers_peru"/>
        <s v="bio"/>
        <m/>
        <s v="leads_signups_coldaudience_brasil"/>
        <s v="auth0.yavendio.com/"/>
        <s v="rmkt_engagers_mexico"/>
        <s v="rmkt_webinar_mexico"/>
        <s v="rmkt_webinar_peru"/>
        <s v="whatsapp / chat"/>
        <s v="lead_gen-megaevento_02.12-ppto_diario-pe"/>
        <s v="GOOGLE"/>
        <s v="campaña leads"/>
        <s v="acceso.protocoloia.com/"/>
        <s v="lead_gen-megaevento_15.11-ppto_diario-colombia"/>
        <s v="youtube / yt_video_description"/>
        <s v="whatsapp / none"/>
        <s v="YAHOO"/>
        <n v="236025.0"/>
        <s v="campaña webinar - 18/09 - pe - 6pm"/>
        <s v="whatsapp / emprendeshow_group"/>
        <s v="ig_signup"/>
        <n v="1.5120012E7"/>
        <s v="respond / chat_outbound"/>
        <s v="webinar / chat"/>
        <s v="Unknown keywords (SSL)"/>
        <s v="evento / influencer"/>
        <s v="leads | webinar | enero 2025 | peru | forms"/>
        <s v="leads | webinar | enero 2025 | mexico | forms"/>
        <s v="lead_gen-megaevento_02.12-ppto_diario-mx"/>
        <s v="userId:85569856"/>
        <s v="whatsapp / chat_inbound"/>
        <s v="webinar / live_event"/>
        <s v="rmkt_engagers_peru_yavendio"/>
        <s v="rmkt_newsletter_mexico"/>
        <s v="instagram / ad"/>
        <s v="instagram / manychat_dm_automation"/>
        <s v="instagram / stories"/>
        <s v="instagram / influencer"/>
        <s v="sales_oferta2x1_peru"/>
        <s v="BING"/>
        <s v="facebook / messages"/>
        <s v="workshop_febrero_2026_forms"/>
        <s v="latam"/>
        <s v="evento / live_event"/>
        <s v="none / none"/>
        <s v="meta / cpl"/>
        <s v="campaña webinar - 07/08 - pe"/>
        <s v="youtube / live_event"/>
        <s v="facebook / none"/>
        <s v="lead_gen-megaevento_15.11-ppto_diario"/>
        <s v="rmkt_engagers_peru_pql"/>
        <s v="rmkt_newsletter_peru"/>
        <s v="youtube / sebastiangonzalez_yt"/>
        <s v="a77eab72-c7ac-4b7e-a688-81c58f518877"/>
      </sharedItems>
    </cacheField>
    <cacheField name="Data" numFmtId="0">
      <sharedItems containsString="0" containsBlank="1" containsNumber="1" containsInteger="1">
        <n v="1.769904015511E12"/>
        <n v="1.769906002163E12"/>
        <n v="1.769909296051E12"/>
        <n v="1.76991052173E12"/>
        <n v="1.769911231331E12"/>
        <n v="1.769912498661E12"/>
        <n v="1.769912667966E12"/>
        <n v="1.769913039832E12"/>
        <n v="1.769914305072E12"/>
        <n v="1.769916097988E12"/>
        <n v="1.769916350165E12"/>
        <n v="1.769917311522E12"/>
        <n v="1.769917774212E12"/>
        <n v="1.769918709599E12"/>
        <n v="1.76991908014E12"/>
        <n v="1.769919100678E12"/>
        <n v="1.769919711973E12"/>
        <n v="1.76992195197E12"/>
        <n v="1.769922297806E12"/>
        <n v="1.769923176641E12"/>
        <n v="1.769928969891E12"/>
        <n v="1.769930414668E12"/>
        <n v="1.769930802528E12"/>
        <n v="1.769940988138E12"/>
        <n v="1.769943424455E12"/>
        <n v="1.769943594756E12"/>
        <n v="1.769948403558E12"/>
        <n v="1.769950099034E12"/>
        <n v="1.769950835583E12"/>
        <n v="1.769952714964E12"/>
        <n v="1.769954061502E12"/>
        <n v="1.769955218701E12"/>
        <n v="1.769955289495E12"/>
        <n v="1.76995614322E12"/>
        <n v="1.769956436329E12"/>
        <n v="1.769956610524E12"/>
        <n v="1.769957787463E12"/>
        <n v="1.769958437066E12"/>
        <n v="1.769960153868E12"/>
        <n v="1.769963500034E12"/>
        <n v="1.769963920214E12"/>
        <n v="1.7699640392E12"/>
        <n v="1.769964587758E12"/>
        <n v="1.769964993719E12"/>
        <n v="1.769965114545E12"/>
        <n v="1.769965121993E12"/>
        <n v="1.769965728421E12"/>
        <n v="1.769965977274E12"/>
        <n v="1.769966996336E12"/>
        <n v="1.769967470335E12"/>
        <n v="1.769972519871E12"/>
        <n v="1.769972832801E12"/>
        <n v="1.769974808477E12"/>
        <n v="1.769976873435E12"/>
        <n v="1.769977441706E12"/>
        <n v="1.769978758555E12"/>
        <n v="1.769979505575E12"/>
        <n v="1.769981097894E12"/>
        <n v="1.769982157108E12"/>
        <n v="1.769982621293E12"/>
        <n v="1.769985125693E12"/>
        <n v="1.769988076433E12"/>
        <n v="1.769988178668E12"/>
        <n v="1.769988882022E12"/>
        <n v="1.769990495565E12"/>
        <n v="1.769992609466E12"/>
        <n v="1.769993203128E12"/>
        <n v="1.769993986098E12"/>
        <n v="1.770001114109E12"/>
        <n v="1.770001964631E12"/>
        <n v="1.770002414169E12"/>
        <n v="1.77000281628E12"/>
        <n v="1.770005077326E12"/>
        <n v="1.770006386572E12"/>
        <n v="1.770007318161E12"/>
        <n v="1.77001007416E12"/>
        <n v="1.770010706093E12"/>
        <n v="1.770011326098E12"/>
        <n v="1.77001306015E12"/>
        <n v="1.770013181288E12"/>
        <n v="1.770014550149E12"/>
        <n v="1.770014989191E12"/>
        <n v="1.770018869896E12"/>
        <n v="1.77001958887E12"/>
        <n v="1.770022078312E12"/>
        <n v="1.770022160884E12"/>
        <n v="1.770022166429E12"/>
        <n v="1.770027885608E12"/>
        <n v="1.770029445914E12"/>
        <n v="1.77003303729E12"/>
        <n v="1.770033365701E12"/>
        <n v="1.770034482723E12"/>
        <n v="1.770034619852E12"/>
        <n v="1.770038779819E12"/>
        <n v="1.77003878296E12"/>
        <n v="1.770038798748E12"/>
        <n v="1.770039896383E12"/>
        <n v="1.77004065939E12"/>
        <n v="1.770042722371E12"/>
        <n v="1.770042928999E12"/>
        <n v="1.770043576002E12"/>
        <n v="1.770043928266E12"/>
        <n v="1.770044033068E12"/>
        <n v="1.770044739434E12"/>
        <n v="1.770047765549E12"/>
        <n v="1.770049053291E12"/>
        <n v="1.77004939271E12"/>
        <n v="1.770054318433E12"/>
        <n v="1.770055373651E12"/>
        <n v="1.770056933372E12"/>
        <n v="1.770062753633E12"/>
        <n v="1.770065957923E12"/>
        <n v="1.770066431856E12"/>
        <n v="1.77007017694E12"/>
        <n v="1.770071065628E12"/>
        <n v="1.770072991641E12"/>
        <n v="1.770074762006E12"/>
        <n v="1.770076431388E12"/>
        <n v="1.770078005223E12"/>
        <n v="1.770078476815E12"/>
        <n v="1.770079901906E12"/>
        <n v="1.770080265335E12"/>
        <n v="1.770082670021E12"/>
        <n v="1.770083835666E12"/>
        <n v="1.770084059139E12"/>
        <n v="1.770084308155E12"/>
        <n v="1.77008509429E12"/>
        <n v="1.770085903545E12"/>
        <n v="1.770086399588E12"/>
        <n v="1.770086424028E12"/>
        <n v="1.770088038048E12"/>
        <n v="1.770088679134E12"/>
        <n v="1.770090743417E12"/>
        <n v="1.770090942615E12"/>
        <n v="1.770091090314E12"/>
        <n v="1.770091176106E12"/>
        <n v="1.770091285595E12"/>
        <n v="1.770091483153E12"/>
        <n v="1.770093804802E12"/>
        <n v="1.770093863865E12"/>
        <n v="1.770094918507E12"/>
        <n v="1.77009508901E12"/>
        <n v="1.770103145165E12"/>
        <n v="1.770112784298E12"/>
        <n v="1.770112928565E12"/>
        <n v="1.770115761781E12"/>
        <n v="1.770116644439E12"/>
        <n v="1.770118029E12"/>
        <n v="1.77011988764E12"/>
        <n v="1.77012099079E12"/>
        <n v="1.770121052925E12"/>
        <n v="1.770121128286E12"/>
        <n v="1.770124442396E12"/>
        <n v="1.770124478644E12"/>
        <n v="1.770125331832E12"/>
        <n v="1.77012545402E12"/>
        <n v="1.770126090457E12"/>
        <n v="1.770126149658E12"/>
        <n v="1.770126306127E12"/>
        <n v="1.770126580624E12"/>
        <n v="1.770127113405E12"/>
        <n v="1.770128147438E12"/>
        <n v="1.770128223518E12"/>
        <n v="1.770128869375E12"/>
        <n v="1.770129272894E12"/>
        <n v="1.770130017952E12"/>
        <n v="1.770132209908E12"/>
        <n v="1.770132270852E12"/>
        <n v="1.770133324073E12"/>
        <n v="1.770133381133E12"/>
        <n v="1.770134462875E12"/>
        <n v="1.770134783846E12"/>
        <n v="1.770135737385E12"/>
        <n v="1.77013642587E12"/>
        <n v="1.770137355906E12"/>
        <n v="1.770138254932E12"/>
        <n v="1.770140453116E12"/>
        <n v="1.770141054807E12"/>
        <n v="1.770141944021E12"/>
        <n v="1.770142391761E12"/>
        <n v="1.770142723261E12"/>
        <n v="1.770142824162E12"/>
        <n v="1.770143276611E12"/>
        <n v="1.770145122869E12"/>
        <n v="1.770145442627E12"/>
        <n v="1.770145690113E12"/>
        <n v="1.770147159106E12"/>
        <n v="1.770148206265E12"/>
        <n v="1.770149012762E12"/>
        <n v="1.77015067303E12"/>
        <n v="1.770152992772E12"/>
        <n v="1.770153325695E12"/>
        <n v="1.770154779579E12"/>
        <n v="1.770155311322E12"/>
        <n v="1.770155404851E12"/>
        <n v="1.770155545796E12"/>
        <n v="1.77015574724E12"/>
        <n v="1.770156765597E12"/>
        <n v="1.770156864516E12"/>
        <n v="1.770158230517E12"/>
        <n v="1.770159610992E12"/>
        <n v="1.770161219744E12"/>
        <n v="1.770161382322E12"/>
        <n v="1.770161793954E12"/>
        <n v="1.770162132898E12"/>
        <n v="1.770162193201E12"/>
        <n v="1.770162885775E12"/>
        <n v="1.770163524216E12"/>
        <n v="1.77016447493E12"/>
        <n v="1.770164848681E12"/>
        <n v="1.770165748881E12"/>
        <n v="1.770166127179E12"/>
        <n v="1.770166729289E12"/>
        <n v="1.770166963281E12"/>
        <n v="1.77016710745E12"/>
        <n v="1.770167727809E12"/>
        <n v="1.770170204484E12"/>
        <n v="1.770171185378E12"/>
        <n v="1.770172048052E12"/>
        <n v="1.770174913014E12"/>
        <n v="1.770175143193E12"/>
        <n v="1.770176375666E12"/>
        <n v="1.770179042546E12"/>
        <n v="1.770179669149E12"/>
        <n v="1.770180741863E12"/>
        <n v="1.770188168523E12"/>
        <n v="1.770200580244E12"/>
        <n v="1.770201105412E12"/>
        <n v="1.770204675918E12"/>
        <n v="1.770205551014E12"/>
        <n v="1.770207222581E12"/>
        <n v="1.770208563681E12"/>
        <n v="1.770209334235E12"/>
        <n v="1.770214175861E12"/>
        <n v="1.770216557705E12"/>
        <n v="1.77021679537E12"/>
        <n v="1.770217798853E12"/>
        <n v="1.770220954789E12"/>
        <n v="1.770221623269E12"/>
        <n v="1.770222545106E12"/>
        <n v="1.770222706471E12"/>
        <n v="1.770222805919E12"/>
        <n v="1.770224068109E12"/>
        <n v="1.770222435919E12"/>
        <n v="1.770224336204E12"/>
        <n v="1.770226497957E12"/>
        <n v="1.770228110021E12"/>
        <n v="1.770228581035E12"/>
        <n v="1.770229551598E12"/>
        <n v="1.770229766087E12"/>
        <n v="1.770231067427E12"/>
        <n v="1.77023190275E12"/>
        <n v="1.770234212905E12"/>
        <n v="1.770237392297E12"/>
        <n v="1.770237564505E12"/>
        <n v="1.770238558649E12"/>
        <n v="1.770239082322E12"/>
        <n v="1.770240334984E12"/>
        <n v="1.770241333015E12"/>
        <n v="1.770242951599E12"/>
        <n v="1.77024368249E12"/>
        <n v="1.770244157322E12"/>
        <n v="1.770248159582E12"/>
        <n v="1.770248260443E12"/>
        <n v="1.770249331689E12"/>
        <n v="1.770251025274E12"/>
        <n v="1.770253526772E12"/>
        <n v="1.770254649821E12"/>
        <n v="1.770255928589E12"/>
        <n v="1.770257650248E12"/>
        <n v="1.770258320315E12"/>
        <n v="1.77025890732E12"/>
        <n v="1.770259276478E12"/>
        <n v="1.770259484907E12"/>
        <n v="1.770260497918E12"/>
        <n v="1.770260983423E12"/>
        <n v="1.770262103289E12"/>
        <n v="1.770262496022E12"/>
        <n v="1.770262538634E12"/>
        <n v="1.77026298396E12"/>
        <n v="1.770263349825E12"/>
        <n v="1.770263455669E12"/>
        <n v="1.770265377485E12"/>
        <n v="1.770265586012E12"/>
        <n v="1.770266563772E12"/>
        <n v="1.770267026395E12"/>
        <n v="1.770268752207E12"/>
        <n v="1.770273377824E12"/>
        <n v="1.770278356414E12"/>
        <n v="1.770279630766E12"/>
        <n v="1.770286082397E12"/>
        <n v="1.77029016894E12"/>
        <n v="1.770290314778E12"/>
        <n v="1.770292794266E12"/>
        <n v="1.77029425594E12"/>
        <n v="1.770294807256E12"/>
        <n v="1.77029530032E12"/>
        <n v="1.770295341189E12"/>
        <n v="1.770295425493E12"/>
        <n v="1.770297734296E12"/>
        <n v="1.770300818043E12"/>
        <n v="1.770304332618E12"/>
        <n v="1.770304719311E12"/>
        <n v="1.770306517197E12"/>
        <n v="1.770306920768E12"/>
        <n v="1.770307154706E12"/>
        <n v="1.770307395935E12"/>
        <n v="1.770309255302E12"/>
        <n v="1.770311161571E12"/>
        <n v="1.77031118465E12"/>
        <n v="1.770312212037E12"/>
        <n v="1.770312850458E12"/>
        <n v="1.770312901886E12"/>
        <n v="1.770313123706E12"/>
        <n v="1.770316119637E12"/>
        <n v="1.770316467926E12"/>
        <n v="1.770317016094E12"/>
        <n v="1.770317160023E12"/>
        <n v="1.770319027224E12"/>
        <n v="1.770319548285E12"/>
        <n v="1.770319848096E12"/>
        <n v="1.770320960059E12"/>
        <n v="1.770324877096E12"/>
        <n v="1.770327939243E12"/>
        <n v="1.770328218186E12"/>
        <n v="1.770328551417E12"/>
        <n v="1.770329103004E12"/>
        <n v="1.770330049756E12"/>
        <n v="1.770330101436E12"/>
        <n v="1.770331159407E12"/>
        <n v="1.770331805034E12"/>
        <n v="1.770331957704E12"/>
        <n v="1.770331997292E12"/>
        <n v="1.770332507487E12"/>
        <n v="1.770335094772E12"/>
        <n v="1.770338888788E12"/>
        <n v="1.770339808696E12"/>
        <n v="1.770340489072E12"/>
        <n v="1.770341260746E12"/>
        <n v="1.770342570299E12"/>
        <n v="1.770342593165E12"/>
        <n v="1.770343062453E12"/>
        <n v="1.770344268001E12"/>
        <n v="1.77034499227E12"/>
        <n v="1.770345431266E12"/>
        <n v="1.770347953155E12"/>
        <n v="1.770349876201E12"/>
        <n v="1.770351058098E12"/>
        <n v="1.770352367089E12"/>
        <n v="1.770352421045E12"/>
        <n v="1.770356053289E12"/>
        <n v="1.770376391862E12"/>
        <n v="1.770377156419E12"/>
        <n v="1.770377200027E12"/>
        <n v="1.770379117048E12"/>
        <n v="1.770379897544E12"/>
        <n v="1.77038002103E12"/>
        <n v="1.770381660636E12"/>
        <n v="1.770382751103E12"/>
        <n v="1.770383091317E12"/>
        <n v="1.77038406306E12"/>
        <n v="1.770386632469E12"/>
        <n v="1.770388422933E12"/>
        <n v="1.770390355726E12"/>
        <n v="1.770390850745E12"/>
        <n v="1.770391723813E12"/>
        <n v="1.770392265091E12"/>
        <n v="1.770394064379E12"/>
        <n v="1.770394671445E12"/>
        <n v="1.770395170195E12"/>
        <n v="1.770408239917E12"/>
        <n v="1.770408578113E12"/>
        <n v="1.770408922902E12"/>
        <n v="1.770412677006E12"/>
        <n v="1.770415682802E12"/>
        <n v="1.770416378575E12"/>
        <n v="1.770417084927E12"/>
        <n v="1.77041728454E12"/>
        <n v="1.770417411199E12"/>
        <n v="1.770419177353E12"/>
        <n v="1.770419245372E12"/>
        <n v="1.770419606218E12"/>
        <n v="1.770419743326E12"/>
        <n v="1.770422057816E12"/>
        <n v="1.770423982594E12"/>
        <n v="1.770424049473E12"/>
        <n v="1.770424316017E12"/>
        <n v="1.770425423359E12"/>
        <n v="1.770426345349E12"/>
        <n v="1.770427358441E12"/>
        <n v="1.770432306662E12"/>
        <n v="1.770433016303E12"/>
        <n v="1.770433421582E12"/>
        <n v="1.770434891154E12"/>
        <n v="1.770435448761E12"/>
        <n v="1.770436895074E12"/>
        <n v="1.770437079805E12"/>
        <n v="1.770437700386E12"/>
        <n v="1.770438145453E12"/>
        <n v="1.770443301166E12"/>
        <n v="1.770444689589E12"/>
        <n v="1.770445284382E12"/>
        <n v="1.770449353437E12"/>
        <n v="1.770454068426E12"/>
        <n v="1.770457017367E12"/>
        <n v="1.770459090903E12"/>
        <n v="1.770464430279E12"/>
        <n v="1.770465618054E12"/>
        <n v="1.770465683814E12"/>
        <n v="1.770466815584E12"/>
        <n v="1.770470767434E12"/>
        <n v="1.770472246766E12"/>
        <n v="1.770473716826E12"/>
        <n v="1.77047378354E12"/>
        <n v="1.770475258909E12"/>
        <n v="1.770476502152E12"/>
        <n v="1.770477346521E12"/>
        <n v="1.770477546616E12"/>
        <n v="1.770478811066E12"/>
        <n v="1.770478937637E12"/>
        <n v="1.770479930192E12"/>
        <n v="1.77048046079E12"/>
        <n v="1.770481529775E12"/>
        <n v="1.770483414147E12"/>
        <n v="1.770483679797E12"/>
        <n v="1.770483718421E12"/>
        <n v="1.770483737421E12"/>
        <n v="1.770483769378E12"/>
        <n v="1.770483797879E12"/>
        <n v="1.77048404614E12"/>
        <n v="1.770484291005E12"/>
        <n v="1.77048453845E12"/>
        <n v="1.770484930863E12"/>
        <n v="1.77048657512E12"/>
        <n v="1.770488230949E12"/>
        <n v="1.770490550645E12"/>
        <n v="1.770491509373E12"/>
        <n v="1.770494353706E12"/>
        <n v="1.770495206964E12"/>
        <n v="1.770496263775E12"/>
        <n v="1.770499288225E12"/>
        <n v="1.77050003668E12"/>
        <n v="1.770500868082E12"/>
        <n v="1.770502023087E12"/>
        <n v="1.770502497092E12"/>
        <n v="1.770504150691E12"/>
        <n v="1.770505403375E12"/>
        <n v="1.770506491199E12"/>
        <n v="1.770509239156E12"/>
        <n v="1.770510893905E12"/>
        <n v="1.770518566649E12"/>
        <n v="1.770518683187E12"/>
        <n v="1.770519680756E12"/>
        <n v="1.77051969016E12"/>
        <n v="1.770519855518E12"/>
        <n v="1.770521423349E12"/>
        <n v="1.770522918188E12"/>
        <n v="1.770524150607E12"/>
        <n v="1.770525532676E12"/>
        <n v="1.770525849034E12"/>
        <n v="1.770527268489E12"/>
        <n v="1.770527296331E12"/>
        <n v="1.770527670526E12"/>
        <n v="1.770527752211E12"/>
        <n v="1.770527926284E12"/>
        <n v="1.770528144449E12"/>
        <n v="1.770529387341E12"/>
        <n v="1.770530996097E12"/>
        <n v="1.770531104295E12"/>
        <n v="1.770531711408E12"/>
        <n v="1.770532219007E12"/>
        <n v="1.770532866416E12"/>
        <n v="1.770536997858E12"/>
        <n v="1.770537699615E12"/>
        <n v="1.770546847091E12"/>
        <n v="1.77055057528E12"/>
        <n v="1.770551976688E12"/>
        <n v="1.770552016847E12"/>
        <n v="1.770552038131E12"/>
        <n v="1.770552786171E12"/>
        <n v="1.770553773733E12"/>
        <n v="1.770555835059E12"/>
        <n v="1.770556894484E12"/>
        <n v="1.770557115144E12"/>
        <n v="1.770557153906E12"/>
        <n v="1.770557243181E12"/>
        <n v="1.770558229483E12"/>
        <n v="1.770558799144E12"/>
        <n v="1.770558813402E12"/>
        <n v="1.770558964054E12"/>
        <n v="1.770560948611E12"/>
        <n v="1.770561415789E12"/>
        <n v="1.770563581282E12"/>
        <n v="1.7705636204E12"/>
        <n v="1.770565388144E12"/>
        <n v="1.770567110101E12"/>
        <n v="1.770567222897E12"/>
        <n v="1.770567573699E12"/>
        <n v="1.770568042747E12"/>
        <n v="1.770568788719E12"/>
        <n v="1.770569750398E12"/>
        <n v="1.770569809845E12"/>
        <n v="1.770571281215E12"/>
        <n v="1.770572690511E12"/>
        <n v="1.770573763882E12"/>
        <n v="1.770573905705E12"/>
        <n v="1.770574436568E12"/>
        <n v="1.770576353244E12"/>
        <n v="1.770576986121E12"/>
        <n v="1.770576993545E12"/>
        <n v="1.770578698929E12"/>
        <n v="1.770579333427E12"/>
        <n v="1.770580932408E12"/>
        <n v="1.770581742156E12"/>
        <n v="1.770584116043E12"/>
        <n v="1.770587027683E12"/>
        <n v="1.770588204149E12"/>
        <n v="1.770591317854E12"/>
        <n v="1.770592637972E12"/>
        <n v="1.770595874407E12"/>
        <n v="1.770596438558E12"/>
        <n v="1.770596540734E12"/>
        <n v="1.770597024367E12"/>
        <n v="1.770598039444E12"/>
        <n v="1.770598536235E12"/>
        <n v="1.770599104741E12"/>
        <n v="1.770599980118E12"/>
        <n v="1.770600524489E12"/>
        <n v="1.770602608451E12"/>
        <n v="1.770603826223E12"/>
        <n v="1.77060418313E12"/>
        <n v="1.770604555557E12"/>
        <n v="1.770604899884E12"/>
        <n v="1.770607704943E12"/>
        <n v="1.770607774482E12"/>
        <n v="1.770608361315E12"/>
        <n v="1.770609261564E12"/>
        <n v="1.770609854753E12"/>
        <n v="1.770610605878E12"/>
        <n v="1.770610934261E12"/>
        <n v="1.770611369816E12"/>
        <n v="1.770612101475E12"/>
        <n v="1.770612451416E12"/>
        <n v="1.770614736147E12"/>
        <n v="1.770615339987E12"/>
        <n v="1.770615620193E12"/>
        <n v="1.770615953673E12"/>
        <n v="1.770618358547E12"/>
        <n v="1.770618594788E12"/>
        <n v="1.770618938433E12"/>
        <n v="1.770620117987E12"/>
        <n v="1.770621697673E12"/>
        <n v="1.77063632514E12"/>
        <n v="1.770636695613E12"/>
        <n v="1.770637543143E12"/>
        <n v="1.7706392154E12"/>
        <n v="1.770640705466E12"/>
        <n v="1.770641381518E12"/>
        <n v="1.770641996289E12"/>
        <n v="1.770641999606E12"/>
        <n v="1.770643932877E12"/>
        <n v="1.770644966223E12"/>
        <n v="1.770647364126E12"/>
        <n v="1.77064793555E12"/>
        <n v="1.770648506883E12"/>
        <n v="1.770649011026E12"/>
        <n v="1.770649456683E12"/>
        <n v="1.770653104279E12"/>
        <n v="1.770653295695E12"/>
        <n v="1.770653608716E12"/>
        <n v="1.770655065846E12"/>
        <n v="1.770655107491E12"/>
        <n v="1.77065642917E12"/>
        <n v="1.770656941465E12"/>
        <n v="1.770662474914E12"/>
        <n v="1.770662789507E12"/>
        <n v="1.770664758429E12"/>
        <n v="1.770666113623E12"/>
        <n v="1.770674508018E12"/>
        <n v="1.770681173282E12"/>
        <n v="1.7706836898E12"/>
        <n v="1.770685591457E12"/>
        <n v="1.770694081541E12"/>
        <n v="1.770695433283E12"/>
        <n v="1.770699900271E12"/>
        <n v="1.770715010854E12"/>
        <n v="1.770715548701E12"/>
        <n v="1.770716772306E12"/>
        <n v="1.770719885665E12"/>
        <n v="1.770719960686E12"/>
        <n v="1.770722253441E12"/>
        <n v="1.770723617653E12"/>
        <n v="1.770724355803E12"/>
        <n v="1.770726677564E12"/>
        <n v="1.770727347484E12"/>
        <n v="1.770728257177E12"/>
        <n v="1.77072912182E12"/>
        <n v="1.770730291677E12"/>
        <n v="1.770730812866E12"/>
        <n v="1.770730815427E12"/>
        <n v="1.770732291053E12"/>
        <n v="1.770734297412E12"/>
        <n v="1.77073452022E12"/>
        <n v="1.77073537482E12"/>
        <n v="1.770736053814E12"/>
        <n v="1.770737965326E12"/>
        <n v="1.770738768052E12"/>
        <n v="1.770738906439E12"/>
        <n v="1.770739099144E12"/>
        <n v="1.770739184902E12"/>
        <n v="1.770749166595E12"/>
        <n v="1.770753157504E12"/>
        <n v="1.770754447872E12"/>
        <n v="1.770756902022E12"/>
        <n v="1.770764499098E12"/>
        <n v="1.770765245325E12"/>
        <n v="1.770765605711E12"/>
        <n v="1.77076643438E12"/>
        <n v="1.770767374126E12"/>
        <n v="1.770768533279E12"/>
        <n v="1.770768548808E12"/>
        <n v="1.770770107182E12"/>
        <n v="1.770770173223E12"/>
        <n v="1.770771991963E12"/>
        <n v="1.770774734786E12"/>
        <n v="1.770776128456E12"/>
        <n v="1.770776927046E12"/>
        <n v="1.770779834764E12"/>
        <n v="1.770780058963E12"/>
        <n v="1.770783119873E12"/>
        <n v="1.770785236185E12"/>
        <n v="1.770785685209E12"/>
        <n v="1.770786598216E12"/>
        <n v="1.770786606401E12"/>
        <n v="1.770787779098E12"/>
        <n v="1.77078817697E12"/>
        <n v="1.770788694934E12"/>
        <n v="1.770789190696E12"/>
        <n v="1.770789883743E12"/>
        <n v="1.770790241746E12"/>
        <n v="1.770790334239E12"/>
        <n v="1.770791926983E12"/>
        <n v="1.770793004075E12"/>
        <n v="1.770793297484E12"/>
        <n v="1.770793969281E12"/>
        <n v="1.770796891329E12"/>
        <n v="1.770796966087E12"/>
        <n v="1.770799277474E12"/>
        <n v="1.770799769299E12"/>
        <n v="1.770804333945E12"/>
        <n v="1.770804986194E12"/>
        <n v="1.770805030676E12"/>
        <n v="1.770806610526E12"/>
        <n v="1.770808430175E12"/>
        <n v="1.770808566683E12"/>
        <n v="1.770809619995E12"/>
        <n v="1.770810215274E12"/>
        <n v="1.770810493441E12"/>
        <n v="1.770810643927E12"/>
        <n v="1.770810661353E12"/>
        <n v="1.770810708115E12"/>
        <n v="1.770811804809E12"/>
        <n v="1.770812226791E12"/>
        <n v="1.770812913419E12"/>
        <n v="1.770812944597E12"/>
        <n v="1.770813608613E12"/>
        <n v="1.770813650151E12"/>
        <n v="1.770815127211E12"/>
        <n v="1.770815580604E12"/>
        <n v="1.77081560557E12"/>
        <n v="1.770815713278E12"/>
        <n v="1.770816873337E12"/>
        <n v="1.770817072827E12"/>
        <n v="1.770817086794E12"/>
        <n v="1.770817833679E12"/>
        <n v="1.770818535896E12"/>
        <n v="1.770821197497E12"/>
        <n v="1.770822439681E12"/>
        <n v="1.770822711774E12"/>
        <n v="1.770822742822E12"/>
        <n v="1.77082325789E12"/>
        <n v="1.770823538725E12"/>
        <n v="1.770824715735E12"/>
        <n v="1.770825485453E12"/>
        <n v="1.770826210665E12"/>
        <n v="1.77082652838E12"/>
        <n v="1.770826561423E12"/>
        <n v="1.77082667134E12"/>
        <n v="1.770826976751E12"/>
        <n v="1.770827655163E12"/>
        <n v="1.770828830695E12"/>
        <n v="1.770832132984E12"/>
        <n v="1.770834695342E12"/>
        <n v="1.7708347572E12"/>
        <n v="1.770834984551E12"/>
        <n v="1.770835135657E12"/>
        <n v="1.770835355944E12"/>
        <n v="1.770837412352E12"/>
        <n v="1.770837793244E12"/>
        <n v="1.770839147602E12"/>
        <n v="1.770839293557E12"/>
        <n v="1.77084100036E12"/>
        <n v="1.77084193485E12"/>
        <n v="1.77084230629E12"/>
        <n v="1.770843191759E12"/>
        <n v="1.770843973223E12"/>
        <n v="1.770844634225E12"/>
        <n v="1.770844646823E12"/>
        <n v="1.770848879959E12"/>
        <n v="1.770853109659E12"/>
        <n v="1.770853591812E12"/>
        <n v="1.770853986412E12"/>
        <n v="1.770856094201E12"/>
        <n v="1.770857927134E12"/>
        <n v="1.770858336642E12"/>
        <n v="1.770858958285E12"/>
        <n v="1.770860273256E12"/>
        <n v="1.770860364094E12"/>
        <n v="1.770860578282E12"/>
        <n v="1.770860612506E12"/>
        <n v="1.770860786109E12"/>
        <n v="1.770861056091E12"/>
        <n v="1.770861228171E12"/>
        <n v="1.770861243186E12"/>
        <n v="1.770861336574E12"/>
        <n v="1.770861798935E12"/>
        <n v="1.770862087629E12"/>
        <n v="1.770862349214E12"/>
        <n v="1.770862630708E12"/>
        <n v="1.770863554415E12"/>
        <n v="1.770863663851E12"/>
        <n v="1.770865013489E12"/>
        <n v="1.770869615281E12"/>
        <n v="1.770870043309E12"/>
        <n v="1.770870598718E12"/>
        <n v="1.770872924851E12"/>
        <n v="1.770872959091E12"/>
        <n v="1.770872974215E12"/>
        <n v="1.770873079796E12"/>
        <n v="1.770873088111E12"/>
        <n v="1.770873314566E12"/>
        <n v="1.770873464659E12"/>
        <n v="1.770873483278E12"/>
        <n v="1.77087353324E12"/>
        <n v="1.770873566568E12"/>
        <n v="1.77087359012E12"/>
        <n v="1.770873598507E12"/>
        <n v="1.770873625591E12"/>
        <n v="1.770873827348E12"/>
        <n v="1.770873736423E12"/>
        <n v="1.770874049316E12"/>
        <n v="1.770874675637E12"/>
        <n v="1.770876824407E12"/>
        <n v="1.770878102989E12"/>
        <n v="1.770878388904E12"/>
        <n v="1.770885433163E12"/>
        <n v="1.770885795411E12"/>
        <n v="1.770885812834E12"/>
        <n v="1.770893308833E12"/>
        <n v="1.770900062592E12"/>
        <n v="1.770901056159E12"/>
        <n v="1.77090151254E12"/>
        <n v="1.770902049002E12"/>
        <n v="1.770902144521E12"/>
        <n v="1.770903379752E12"/>
        <n v="1.770903491956E12"/>
        <n v="1.770903762169E12"/>
        <n v="1.770905013539E12"/>
        <n v="1.770905429694E12"/>
        <n v="1.770905680933E12"/>
        <n v="1.770905968416E12"/>
        <n v="1.770906051141E12"/>
        <n v="1.770906315789E12"/>
        <n v="1.770906595985E12"/>
        <n v="1.770908160543E12"/>
        <n v="1.770908336051E12"/>
        <n v="1.770908390749E12"/>
        <n v="1.770908511662E12"/>
        <n v="1.770909132265E12"/>
        <n v="1.770910400316E12"/>
        <n v="1.770911236213E12"/>
        <n v="1.770911355191E12"/>
        <n v="1.77091144832E12"/>
        <n v="1.770911499162E12"/>
        <n v="1.770912182499E12"/>
        <n v="1.770912282876E12"/>
        <n v="1.770913854625E12"/>
        <n v="1.77091585427E12"/>
        <n v="1.770916693697E12"/>
        <n v="1.770917024323E12"/>
        <n v="1.770917058341E12"/>
        <n v="1.770917150222E12"/>
        <n v="1.770917544723E12"/>
        <n v="1.770918873513E12"/>
        <n v="1.77091952906E12"/>
        <n v="1.770919687028E12"/>
        <n v="1.770921526567E12"/>
        <n v="1.770923622035E12"/>
        <n v="1.77092453773E12"/>
        <n v="1.770926862811E12"/>
        <n v="1.7709268754E12"/>
        <n v="1.770928838438E12"/>
        <n v="1.770928939007E12"/>
        <n v="1.770930642997E12"/>
        <n v="1.770931586195E12"/>
        <n v="1.770931598633E12"/>
        <n v="1.770931848213E12"/>
        <n v="1.770932220759E12"/>
        <n v="1.770932265934E12"/>
        <n v="1.770932350187E12"/>
        <n v="1.770932455788E12"/>
        <n v="1.770934312342E12"/>
        <n v="1.770936063269E12"/>
        <n v="1.770936241465E12"/>
        <n v="1.770937118471E12"/>
        <n v="1.770937167698E12"/>
        <n v="1.770937939445E12"/>
        <n v="1.770938016798E12"/>
        <n v="1.770938592705E12"/>
        <m/>
        <n v="1.770939106939E12"/>
        <n v="1.770940357649E12"/>
        <n v="1.770941104229E12"/>
        <n v="1.770942087493E12"/>
        <n v="1.770942220929E12"/>
        <n v="1.770942393332E12"/>
        <n v="1.770942681355E12"/>
        <n v="1.770943622156E12"/>
        <n v="1.770945124379E12"/>
        <n v="1.770945655873E12"/>
        <n v="1.770945672524E12"/>
        <n v="1.770945854952E12"/>
        <n v="1.770946715107E12"/>
        <n v="1.770947576586E12"/>
        <n v="1.770948154728E12"/>
        <n v="1.770948169998E12"/>
        <n v="1.770948762104E12"/>
        <n v="1.770949016936E12"/>
        <n v="1.770949359959E12"/>
        <n v="1.770949809089E12"/>
        <n v="1.770950028477E12"/>
        <n v="1.770951445509E12"/>
        <n v="1.770952035715E12"/>
        <n v="1.770952206072E12"/>
        <n v="1.770952675493E12"/>
        <n v="1.77095289182E12"/>
        <n v="1.770955076422E12"/>
        <n v="1.770955328031E12"/>
        <n v="1.770955446262E12"/>
        <n v="1.770955663723E12"/>
        <n v="1.770955964178E12"/>
        <n v="1.770955926133E12"/>
        <n v="1.770956559956E12"/>
        <n v="1.770957083263E12"/>
        <n v="1.770957835012E12"/>
        <n v="1.770962778811E12"/>
        <n v="1.770963492989E12"/>
        <n v="1.770966270673E12"/>
        <n v="1.770967746156E12"/>
        <n v="1.770968719776E12"/>
        <n v="1.770970639237E12"/>
        <n v="1.770979136131E12"/>
        <n v="1.770982180349E12"/>
        <n v="1.770982474208E12"/>
        <n v="1.77098337872E12"/>
        <n v="1.770984557883E12"/>
        <n v="1.770986916056E12"/>
        <n v="1.770988275425E12"/>
        <n v="1.770988637826E12"/>
        <n v="1.770989765449E12"/>
        <n v="1.770990911245E12"/>
        <n v="1.770990919265E12"/>
        <n v="1.77099168657E12"/>
        <n v="1.770992044297E12"/>
        <n v="1.770992272552E12"/>
        <n v="1.770993204294E12"/>
        <n v="1.770993791805E12"/>
        <n v="1.770995447519E12"/>
        <n v="1.770995524731E12"/>
        <n v="1.77099605133E12"/>
        <n v="1.7709971109E12"/>
        <n v="1.770998473083E12"/>
        <n v="1.770999180672E12"/>
        <n v="1.770999434057E12"/>
        <n v="1.771000310253E12"/>
        <n v="1.771000930089E12"/>
        <n v="1.771001202251E12"/>
        <n v="1.771003756151E12"/>
        <n v="1.771005313018E12"/>
        <n v="1.771005777956E12"/>
        <n v="1.771006924234E12"/>
        <n v="1.771007619602E12"/>
        <n v="1.771007831318E12"/>
        <n v="1.771009132898E12"/>
        <n v="1.771010294808E12"/>
        <n v="1.771013769917E12"/>
        <n v="1.771014214073E12"/>
        <n v="1.771014836921E12"/>
        <n v="1.771014850724E12"/>
        <n v="1.77101584951E12"/>
        <n v="1.771016078302E12"/>
        <n v="1.771016431884E12"/>
        <n v="1.771017433197E12"/>
        <n v="1.771017883453E12"/>
        <n v="1.771018139529E12"/>
        <n v="1.771021528691E12"/>
        <n v="1.771022494276E12"/>
        <n v="1.771024060905E12"/>
        <n v="1.771024095054E12"/>
        <n v="1.771024201986E12"/>
        <n v="1.77102706945E12"/>
        <n v="1.771027590872E12"/>
        <n v="1.77102787441E12"/>
        <n v="1.771030613148E12"/>
        <n v="1.771031652336E12"/>
        <n v="1.771033102353E12"/>
        <n v="1.771034605275E12"/>
        <n v="1.771035417495E12"/>
        <n v="1.771035981114E12"/>
        <n v="1.771036077598E12"/>
        <n v="1.771036397998E12"/>
        <n v="1.771036632949E12"/>
        <n v="1.771036633014E12"/>
        <n v="1.771038106805E12"/>
        <n v="1.771039578196E12"/>
        <n v="1.771042565015E12"/>
        <n v="1.771042720419E12"/>
        <n v="1.771044717792E12"/>
        <n v="1.771045027043E12"/>
        <n v="1.771046327347E12"/>
        <n v="1.771047936791E12"/>
        <n v="1.771047968312E12"/>
        <n v="1.771048135397E12"/>
        <n v="1.771048543223E12"/>
        <n v="1.771048599446E12"/>
        <n v="1.771049050646E12"/>
        <n v="1.771049502308E12"/>
        <n v="1.771049599538E12"/>
        <n v="1.771049660556E12"/>
        <n v="1.771056395043E12"/>
        <n v="1.771057978319E12"/>
        <n v="1.771058832117E12"/>
        <n v="1.771061141988E12"/>
        <n v="1.771065534562E12"/>
        <n v="1.771066740148E12"/>
        <n v="1.771067809145E12"/>
        <n v="1.77107015427E12"/>
        <n v="1.771071441135E12"/>
        <n v="1.771071827483E12"/>
        <n v="1.771071851698E12"/>
        <n v="1.771072112154E12"/>
        <n v="1.771073858704E12"/>
        <n v="1.771076514627E12"/>
        <n v="1.771077917982E12"/>
        <n v="1.771077938309E12"/>
        <n v="1.771077975023E12"/>
        <n v="1.771078608865E12"/>
        <n v="1.771079139281E12"/>
        <n v="1.771079827233E12"/>
        <n v="1.771080677848E12"/>
        <n v="1.771081045182E12"/>
        <n v="1.771081261633E12"/>
        <n v="1.771082019519E12"/>
        <n v="1.771083573575E12"/>
        <n v="1.771085813764E12"/>
        <n v="1.771087174891E12"/>
        <n v="1.771088793725E12"/>
        <n v="1.771089265983E12"/>
        <n v="1.771089653039E12"/>
        <n v="1.771090653751E12"/>
        <n v="1.771093279829E12"/>
        <n v="1.771095753274E12"/>
        <n v="1.771095789326E12"/>
        <n v="1.771096815466E12"/>
        <n v="1.771097938323E12"/>
        <n v="1.771099884731E12"/>
        <n v="1.771101484913E12"/>
        <n v="1.771101532184E12"/>
        <n v="1.771101738215E12"/>
        <n v="1.771102103461E12"/>
        <n v="1.771102125886E12"/>
        <n v="1.77110472078E12"/>
        <n v="1.771105815739E12"/>
        <n v="1.771108850515E12"/>
        <n v="1.771110264089E12"/>
        <n v="1.771113068945E12"/>
        <n v="1.771115601999E12"/>
        <n v="1.771117019362E12"/>
        <n v="1.771117832466E12"/>
        <n v="1.771118060431E12"/>
        <n v="1.771119137732E12"/>
        <n v="1.771122094218E12"/>
        <n v="1.771124205775E12"/>
        <n v="1.771124268451E12"/>
        <n v="1.77112438273E12"/>
        <n v="1.771125072554E12"/>
        <n v="1.771127410182E12"/>
        <n v="1.771129713153E12"/>
        <n v="1.771130294881E12"/>
        <n v="1.771130863972E12"/>
        <n v="1.771132821923E12"/>
        <n v="1.771133294327E12"/>
        <n v="1.771133339673E12"/>
        <n v="1.771133463027E12"/>
        <n v="1.771137271206E12"/>
        <n v="1.771138131227E12"/>
        <n v="1.771143631768E12"/>
        <n v="1.771147211848E12"/>
        <n v="1.771148318892E12"/>
        <n v="1.771148577838E12"/>
        <n v="1.771148887328E12"/>
        <n v="1.771151792863E12"/>
        <n v="1.771151842991E12"/>
        <n v="1.771152218773E12"/>
        <n v="1.771152623263E12"/>
        <n v="1.771152911177E12"/>
        <n v="1.771152957817E12"/>
        <n v="1.771153584734E12"/>
        <n v="1.771153918929E12"/>
        <n v="1.771154473857E12"/>
        <n v="1.771154805441E12"/>
        <n v="1.771155078788E12"/>
        <n v="1.771157682435E12"/>
        <n v="1.77115839218E12"/>
        <n v="1.771158564461E12"/>
        <n v="1.771158684884E12"/>
        <n v="1.771158785099E12"/>
        <n v="1.771159168183E12"/>
        <n v="1.771160255722E12"/>
        <n v="1.771161199324E12"/>
        <n v="1.77116272565E12"/>
        <n v="1.771162823656E12"/>
        <n v="1.771162841412E12"/>
        <n v="1.771163536696E12"/>
        <n v="1.771163750817E12"/>
        <n v="1.771166137744E12"/>
        <n v="1.771166415725E12"/>
        <n v="1.771166941962E12"/>
        <n v="1.771167014807E12"/>
        <n v="1.771167087574E12"/>
        <n v="1.77116921161E12"/>
        <n v="1.771169656004E12"/>
        <n v="1.77117005697E12"/>
        <n v="1.771171480214E12"/>
        <n v="1.771172171206E12"/>
        <n v="1.771172334611E12"/>
        <n v="1.771173333658E12"/>
        <n v="1.771173720883E12"/>
        <n v="1.771174187455E12"/>
        <n v="1.771177154128E12"/>
        <n v="1.771178166624E12"/>
        <n v="1.771179142535E12"/>
        <n v="1.771179788198E12"/>
        <n v="1.771180250977E12"/>
        <n v="1.771183485513E12"/>
        <n v="1.771184740662E12"/>
        <n v="1.771185263826E12"/>
        <n v="1.771185308761E12"/>
        <n v="1.771186596657E12"/>
        <n v="1.77118677799E12"/>
        <n v="1.771186784927E12"/>
        <n v="1.771186824955E12"/>
        <n v="1.771186859432E12"/>
        <n v="1.771189857331E12"/>
        <n v="1.771190637034E12"/>
        <n v="1.771191218899E12"/>
        <n v="1.771194185728E12"/>
        <n v="1.771199215576E12"/>
        <n v="1.771199877437E12"/>
        <n v="1.771202219335E12"/>
        <n v="1.771203306981E12"/>
        <n v="1.771204068118E12"/>
        <n v="1.771204468212E12"/>
        <n v="1.771205460087E12"/>
        <n v="1.771205816205E12"/>
        <n v="1.771205841926E12"/>
        <n v="1.771206200608E12"/>
        <n v="1.77120683142E12"/>
        <n v="1.771207104199E12"/>
        <n v="1.771207324337E12"/>
        <n v="1.771207850135E12"/>
        <n v="1.771208242659E12"/>
        <n v="1.771208584373E12"/>
        <n v="1.771208591572E12"/>
        <n v="1.771209108533E12"/>
        <n v="1.771209214041E12"/>
        <n v="1.771209842288E12"/>
        <n v="1.771211803565E12"/>
        <n v="1.771212124949E12"/>
        <n v="1.771212207843E12"/>
        <n v="1.771213091209E12"/>
        <n v="1.771213214696E12"/>
        <n v="1.771213560048E12"/>
        <n v="1.771214727376E12"/>
        <n v="1.771215791254E12"/>
        <n v="1.771216495412E12"/>
        <n v="1.771217430609E12"/>
        <n v="1.771219291285E12"/>
        <n v="1.771219864264E12"/>
        <n v="1.771220569653E12"/>
        <n v="1.771222224175E12"/>
        <n v="1.771222663273E12"/>
        <n v="1.771223596481E12"/>
        <n v="1.77122403027E12"/>
        <n v="1.771228079148E12"/>
        <n v="1.771229033398E12"/>
        <n v="1.771229455121E12"/>
        <n v="1.771231393479E12"/>
        <n v="1.771236134014E12"/>
        <n v="1.771237960069E12"/>
        <n v="1.771239744605E12"/>
        <n v="1.771239752455E12"/>
        <n v="1.771240108709E12"/>
        <n v="1.771240792089E12"/>
        <n v="1.77124115248E12"/>
        <n v="1.771241471417E12"/>
        <n v="1.77124178929E12"/>
        <n v="1.771242975188E12"/>
        <n v="1.771244430441E12"/>
        <n v="1.771244877936E12"/>
        <n v="1.77124582981E12"/>
        <n v="1.771246493294E12"/>
        <n v="1.771246799067E12"/>
        <n v="1.771247908158E12"/>
        <n v="1.771248627362E12"/>
        <n v="1.771248709023E12"/>
        <n v="1.771249883105E12"/>
        <n v="1.771252629298E12"/>
        <n v="1.771253902065E12"/>
        <n v="1.771254390043E12"/>
        <n v="1.771254388082E12"/>
        <n v="1.771254511334E12"/>
        <n v="1.771255429856E12"/>
        <n v="1.771256245501E12"/>
        <n v="1.771256451717E12"/>
        <n v="1.771256490334E12"/>
        <n v="1.771257297228E12"/>
        <n v="1.771257973083E12"/>
        <n v="1.771258556861E12"/>
        <n v="1.771261515602E12"/>
        <n v="1.771261741005E12"/>
        <n v="1.771262370724E12"/>
        <n v="1.771263140577E12"/>
        <n v="1.771263436385E12"/>
        <n v="1.771264204676E12"/>
        <n v="1.771265332828E12"/>
        <n v="1.771265773889E12"/>
        <n v="1.771266487802E12"/>
        <n v="1.771267248733E12"/>
        <n v="1.771268657388E12"/>
        <n v="1.77127237528E12"/>
        <n v="1.771275392517E12"/>
        <n v="1.771275556173E12"/>
        <n v="1.771277555866E12"/>
        <n v="1.771278581271E12"/>
        <n v="1.771280187903E12"/>
        <n v="1.771280960055E12"/>
        <n v="1.771282017205E12"/>
        <n v="1.771282030292E12"/>
        <n v="1.771282281747E12"/>
        <n v="1.771285994783E12"/>
        <n v="1.771286586489E12"/>
        <n v="1.771287042258E12"/>
        <n v="1.771287540524E12"/>
        <n v="1.771287559784E12"/>
        <n v="1.771287810627E12"/>
        <n v="1.771289017297E12"/>
        <n v="1.771290005589E12"/>
        <n v="1.771291164672E12"/>
        <n v="1.771292135937E12"/>
        <n v="1.771292972854E12"/>
        <n v="1.771293013901E12"/>
        <n v="1.771293182886E12"/>
        <n v="1.771293195904E12"/>
        <n v="1.77129324453E12"/>
        <n v="1.771294248711E12"/>
        <n v="1.77129675105E12"/>
        <n v="1.771297481369E12"/>
        <n v="1.771297837022E12"/>
        <n v="1.771299664852E12"/>
        <n v="1.7713001494E12"/>
        <n v="1.77130051163E12"/>
        <n v="1.771301002832E12"/>
        <n v="1.771304710957E12"/>
        <n v="1.77130515857E12"/>
        <n v="1.771305921332E12"/>
        <n v="1.771306091317E12"/>
        <n v="1.771306340515E12"/>
        <n v="1.771306386349E12"/>
        <n v="1.771307857143E12"/>
        <n v="1.771308365999E12"/>
        <n v="1.771312658356E12"/>
        <n v="1.771313812324E12"/>
        <n v="1.771313914897E12"/>
        <n v="1.77132097616E12"/>
        <n v="1.771322359146E12"/>
        <n v="1.771322718576E12"/>
        <n v="1.771327013642E12"/>
        <n v="1.77132702526E12"/>
        <n v="1.771327109743E12"/>
        <n v="1.771327789724E12"/>
        <n v="1.771329706729E12"/>
        <n v="1.77132990651E12"/>
        <n v="1.771330101519E12"/>
        <n v="1.771330460799E12"/>
        <n v="1.771330631864E12"/>
        <n v="1.771330852907E12"/>
        <n v="1.771332815198E12"/>
        <n v="1.771333010409E12"/>
        <n v="1.771333722094E12"/>
        <n v="1.771336506807E12"/>
        <n v="1.771337397771E12"/>
        <n v="1.771338896843E12"/>
        <n v="1.77133921072E12"/>
        <n v="1.771340156701E12"/>
        <n v="1.771340632819E12"/>
        <n v="1.771341151828E12"/>
        <n v="1.77134139818E12"/>
        <n v="1.771341590217E12"/>
        <n v="1.771342231932E12"/>
        <n v="1.771342678452E12"/>
        <n v="1.771342790001E12"/>
        <n v="1.771343074094E12"/>
        <n v="1.77134715744E12"/>
        <n v="1.771347948432E12"/>
        <n v="1.771348116013E12"/>
        <n v="1.771348181465E12"/>
        <n v="1.771349154372E12"/>
        <n v="1.771349744213E12"/>
        <n v="1.771353633392E12"/>
        <n v="1.771353868296E12"/>
        <n v="1.771354508439E12"/>
        <n v="1.771354769534E12"/>
        <n v="1.771356882796E12"/>
        <n v="1.771357263528E12"/>
        <n v="1.771357556913E12"/>
        <n v="1.771361035063E12"/>
        <n v="1.771361044355E12"/>
        <n v="1.771361928258E12"/>
        <n v="1.771362537132E12"/>
        <n v="1.77136346711E12"/>
        <n v="1.771364853678E12"/>
        <n v="1.771365697585E12"/>
        <n v="1.771367248399E12"/>
        <n v="1.7713692073E12"/>
        <n v="1.771370772666E12"/>
        <n v="1.771377953703E12"/>
        <n v="1.771378032945E12"/>
        <n v="1.771378292369E12"/>
        <n v="1.771378437062E12"/>
        <n v="1.771378765675E12"/>
        <n v="1.771378787954E12"/>
        <n v="1.771379158411E12"/>
        <n v="1.771380408815E12"/>
        <n v="1.77138041219E12"/>
        <n v="1.771382227743E12"/>
        <n v="1.77138359858E12"/>
        <n v="1.771383946229E12"/>
        <n v="1.771384500555E12"/>
        <n v="1.771386142038E12"/>
        <n v="1.771386362983E12"/>
        <n v="1.771387712432E12"/>
        <n v="1.771388006186E12"/>
        <n v="1.771388282005E12"/>
        <n v="1.771388556333E12"/>
        <n v="1.771388877398E12"/>
        <n v="1.771390005799E12"/>
        <n v="1.771390266752E12"/>
        <n v="1.771390938736E12"/>
        <n v="1.771391567918E12"/>
        <n v="1.771391527608E12"/>
        <n v="1.771391784282E12"/>
        <n v="1.77139215787E12"/>
        <n v="1.771392770487E12"/>
        <n v="1.771392799953E12"/>
        <n v="1.771393011926E12"/>
        <n v="1.771393218896E12"/>
        <n v="1.771395862282E12"/>
        <n v="1.771396376846E12"/>
        <n v="1.771397858441E12"/>
        <n v="1.771399013765E12"/>
        <n v="1.771400446895E12"/>
        <n v="1.771405328632E12"/>
        <n v="1.771409478327E12"/>
        <n v="1.771409596079E12"/>
        <n v="1.7714107054E12"/>
        <n v="1.771410953895E12"/>
        <n v="1.771413180157E12"/>
        <n v="1.77141336142E12"/>
        <n v="1.771415495505E12"/>
        <n v="1.771416428648E12"/>
        <n v="1.771416699931E12"/>
        <n v="1.771416861679E12"/>
        <n v="1.771417394593E12"/>
        <n v="1.771419064662E12"/>
        <n v="1.771419949952E12"/>
        <n v="1.771421020646E12"/>
        <n v="1.771421086205E12"/>
        <n v="1.771422046224E12"/>
        <n v="1.771422312148E12"/>
        <n v="1.771425223288E12"/>
        <n v="1.771427005307E12"/>
        <n v="1.771429100356E12"/>
        <n v="1.77142920242E12"/>
        <n v="1.771430945077E12"/>
        <n v="1.771431445037E12"/>
        <n v="1.771435356458E12"/>
        <n v="1.77143819551E12"/>
        <n v="1.771439542437E12"/>
        <n v="1.77143968562E12"/>
        <n v="1.771439769619E12"/>
        <n v="1.771441178214E12"/>
        <n v="1.771442164995E12"/>
        <n v="1.771444160247E12"/>
        <n v="1.771445819931E12"/>
        <n v="1.771446587336E12"/>
        <n v="1.771446966344E12"/>
        <n v="1.771448041597E12"/>
        <n v="1.771448279462E12"/>
        <n v="1.771449455067E12"/>
        <n v="1.771451831458E12"/>
        <n v="1.771451939303E12"/>
        <n v="1.771452431946E12"/>
        <n v="1.771453732813E12"/>
        <n v="1.771455199619E12"/>
        <n v="1.771457264126E12"/>
        <n v="1.771457722581E12"/>
        <n v="1.77145796663E12"/>
        <n v="1.771459958125E12"/>
        <n v="1.771460465326E12"/>
        <n v="1.771461775072E12"/>
        <n v="1.771462401778E12"/>
        <n v="1.771462497397E12"/>
        <n v="1.771463840924E12"/>
        <n v="1.771465875083E12"/>
        <n v="1.77146598301E12"/>
        <n v="1.771466769301E12"/>
        <n v="1.771466783623E12"/>
        <n v="1.771470335841E12"/>
        <n v="1.771471465718E12"/>
        <n v="1.771471841439E12"/>
        <n v="1.771474477204E12"/>
        <n v="1.771474996078E12"/>
        <n v="1.771477002504E12"/>
        <n v="1.771477152615E12"/>
        <n v="1.77147738225E12"/>
        <n v="1.771477443549E12"/>
        <n v="1.771478442901E12"/>
        <n v="1.771483834049E12"/>
        <n v="1.771484070605E12"/>
        <n v="1.771484314896E12"/>
        <n v="1.771492586476E12"/>
        <n v="1.771493650018E12"/>
        <n v="1.771496156786E12"/>
        <n v="1.771496700814E12"/>
        <n v="1.771497802524E12"/>
        <n v="1.771499919822E12"/>
        <n v="1.771500014314E12"/>
        <n v="1.771501800405E12"/>
        <n v="1.771502180574E12"/>
        <n v="1.771502226517E12"/>
        <n v="1.771504243954E12"/>
        <n v="1.771505308384E12"/>
        <n v="1.771506010258E12"/>
        <n v="1.771506519321E12"/>
        <n v="1.771507152238E12"/>
        <n v="1.771508081598E12"/>
        <n v="1.771508345312E12"/>
        <n v="1.771508364488E12"/>
        <n v="1.771509164402E12"/>
        <n v="1.771509377137E12"/>
        <n v="1.771509569309E12"/>
        <n v="1.771509834392E12"/>
        <n v="1.771509885992E12"/>
        <n v="1.771510231991E12"/>
        <n v="1.771510250589E12"/>
        <n v="1.771510742848E12"/>
        <n v="1.771511235752E12"/>
        <n v="1.771511314682E12"/>
        <n v="1.771511387973E12"/>
        <n v="1.771511741416E12"/>
        <n v="1.771511795418E12"/>
        <n v="1.771511842324E12"/>
        <n v="1.771511909641E12"/>
        <n v="1.771512328239E12"/>
        <n v="1.771512592756E12"/>
        <n v="1.771513112735E12"/>
        <n v="1.771513249005E12"/>
        <n v="1.771513572531E12"/>
        <n v="1.771513895317E12"/>
        <n v="1.771514251454E12"/>
        <n v="1.771514995597E12"/>
        <n v="1.771515023128E12"/>
        <n v="1.771515899917E12"/>
        <n v="1.771515958226E12"/>
        <n v="1.771516268017E12"/>
        <n v="1.771516699803E12"/>
        <n v="1.771516879993E12"/>
        <n v="1.771517048325E12"/>
        <n v="1.771517548726E12"/>
        <n v="1.771517828257E12"/>
        <n v="1.771518218603E12"/>
        <n v="1.771518221549E12"/>
        <n v="1.771520857211E12"/>
        <n v="1.771520896762E12"/>
        <n v="1.771520995217E12"/>
        <n v="1.771521342911E12"/>
        <n v="1.771521713488E12"/>
        <n v="1.771521738677E12"/>
        <n v="1.771521999875E12"/>
        <n v="1.771522177628E12"/>
        <n v="1.771522490957E12"/>
        <n v="1.771524987306E12"/>
        <n v="1.771525209676E12"/>
        <n v="1.771525579176E12"/>
        <n v="1.771526059261E12"/>
        <n v="1.771526377755E12"/>
        <n v="1.771526485179E12"/>
        <n v="1.771527198079E12"/>
        <n v="1.771528905814E12"/>
        <n v="1.771529524832E12"/>
        <n v="1.771530125669E12"/>
        <n v="1.771530294368E12"/>
        <n v="1.771530373729E12"/>
        <n v="1.77153078556E12"/>
        <n v="1.77153108693E12"/>
        <n v="1.771533247419E12"/>
        <n v="1.771534636447E12"/>
        <n v="1.771535337132E12"/>
        <n v="1.77153671502E12"/>
        <n v="1.771537158339E12"/>
        <n v="1.771537434367E12"/>
        <n v="1.77153808877E12"/>
        <n v="1.771538837337E12"/>
        <n v="1.771539160856E12"/>
        <n v="1.771540696525E12"/>
        <n v="1.771541482938E12"/>
        <n v="1.771542746155E12"/>
        <n v="1.771543208857E12"/>
        <n v="1.771543567524E12"/>
        <n v="1.771544187624E12"/>
        <n v="1.771544455068E12"/>
        <n v="1.771544540308E12"/>
        <n v="1.77154524882E12"/>
        <n v="1.771546103784E12"/>
        <n v="1.771546303643E12"/>
        <n v="1.771546365676E12"/>
        <n v="1.771546481591E12"/>
        <n v="1.771546799629E12"/>
        <n v="1.771547103326E12"/>
        <n v="1.771548577357E12"/>
        <n v="1.771548977073E12"/>
        <n v="1.771548990387E12"/>
        <n v="1.771549976195E12"/>
        <n v="1.77155000848E12"/>
        <n v="1.771550231059E12"/>
        <n v="1.771550238448E12"/>
        <n v="1.77155041916E12"/>
        <n v="1.771550493123E12"/>
        <n v="1.771551767331E12"/>
        <n v="1.771552657572E12"/>
        <n v="1.771552990259E12"/>
        <n v="1.771553282011E12"/>
        <n v="1.771553654688E12"/>
        <n v="1.771553917961E12"/>
        <n v="1.771554727001E12"/>
        <n v="1.771554733643E12"/>
        <n v="1.771554744042E12"/>
        <n v="1.771554875803E12"/>
        <n v="1.771556039724E12"/>
        <n v="1.771556039556E12"/>
        <n v="1.77155645536E12"/>
        <n v="1.771556765708E12"/>
        <n v="1.771556872094E12"/>
        <n v="1.771557222757E12"/>
        <n v="1.771557291037E12"/>
        <n v="1.771559740284E12"/>
        <n v="1.771560894365E12"/>
        <n v="1.771561705245E12"/>
        <n v="1.771561705583E12"/>
        <n v="1.771561705096E12"/>
        <n v="1.771561705981E12"/>
        <n v="1.771561705993E12"/>
        <n v="1.771561705228E12"/>
        <n v="1.771561705702E12"/>
        <n v="1.771561706058E12"/>
        <n v="1.771561705373E12"/>
        <n v="1.771561705864E12"/>
        <n v="1.771561705989E12"/>
        <n v="1.771561705347E12"/>
        <n v="1.771561705886E12"/>
        <n v="1.771561706022E12"/>
        <n v="1.771561706592E12"/>
        <n v="1.771561706694E12"/>
        <n v="1.771561707034E12"/>
        <n v="1.771561706178E12"/>
        <n v="1.771561705335E12"/>
        <n v="1.77156170589E12"/>
        <n v="1.771561706366E12"/>
        <n v="1.77156170651E12"/>
        <n v="1.771561706698E12"/>
        <n v="1.771561705797E12"/>
        <n v="1.771561706326E12"/>
        <n v="1.771561706421E12"/>
        <n v="1.771561706171E12"/>
        <n v="1.771561706658E12"/>
        <n v="1.77156170545E12"/>
        <n v="1.77156170597E12"/>
        <n v="1.771561706333E12"/>
        <n v="1.771561706274E12"/>
        <n v="1.771561706967E12"/>
        <n v="1.771561705835E12"/>
        <n v="1.771561705596E12"/>
        <n v="1.771561707371E12"/>
        <n v="1.771561705744E12"/>
        <n v="1.771561705776E12"/>
        <n v="1.77156170544E12"/>
        <n v="1.771561705949E12"/>
        <n v="1.77156170687E12"/>
        <n v="1.771561706936E12"/>
        <n v="1.771561705948E12"/>
        <n v="1.771561705834E12"/>
        <n v="1.771561707773E12"/>
        <n v="1.771561706133E12"/>
        <n v="1.7715617055E12"/>
        <n v="1.771561706604E12"/>
        <n v="1.771561705635E12"/>
        <n v="1.771561705487E12"/>
        <n v="1.771561706903E12"/>
        <n v="1.77156170638E12"/>
        <n v="1.771561706037E12"/>
        <n v="1.771561706173E12"/>
        <n v="1.771561706095E12"/>
        <n v="1.771561706029E12"/>
        <n v="1.771561705709E12"/>
        <n v="1.771561705682E12"/>
        <n v="1.771561706879E12"/>
        <n v="1.771561707297E12"/>
        <n v="1.771561706495E12"/>
        <n v="1.771561707429E12"/>
        <n v="1.771561705889E12"/>
        <n v="1.7715617066E12"/>
        <n v="1.771561706084E12"/>
        <n v="1.771561706619E12"/>
        <n v="1.771561706047E12"/>
        <n v="1.771561705803E12"/>
        <n v="1.771561706223E12"/>
        <n v="1.771561706459E12"/>
        <n v="1.771561707049E12"/>
        <n v="1.771561707345E12"/>
        <n v="1.77156170776E12"/>
        <n v="1.771561707772E12"/>
        <n v="1.771561707165E12"/>
        <n v="1.771561708261E12"/>
        <n v="1.771561709241E12"/>
        <n v="1.77156198025E12"/>
        <n v="1.77156206048E12"/>
        <n v="1.77156212563E12"/>
        <n v="1.77156212577E12"/>
        <n v="1.771562125898E12"/>
        <n v="1.77156212606E12"/>
        <n v="1.771562126473E12"/>
        <n v="1.771562125971E12"/>
        <n v="1.771562125916E12"/>
        <n v="1.771562125698E12"/>
        <n v="1.771562125754E12"/>
        <n v="1.771562126718E12"/>
        <n v="1.77156212674E12"/>
        <n v="1.771562127139E12"/>
        <n v="1.771562126634E12"/>
        <n v="1.771562126562E12"/>
        <n v="1.771562126379E12"/>
        <n v="1.771562126597E12"/>
        <n v="1.77156212629E12"/>
        <n v="1.771562126538E12"/>
        <n v="1.771562126383E12"/>
        <n v="1.771562126164E12"/>
        <n v="1.771562126579E12"/>
        <n v="1.771562125879E12"/>
        <n v="1.771562126545E12"/>
        <n v="1.771562126818E12"/>
        <n v="1.771562126025E12"/>
        <n v="1.771562126255E12"/>
        <n v="1.771562126125E12"/>
        <n v="1.771562126741E12"/>
        <n v="1.771562127309E12"/>
        <n v="1.771562125907E12"/>
        <n v="1.771562125857E12"/>
        <n v="1.771562126214E12"/>
        <n v="1.771562126644E12"/>
        <n v="1.771562125848E12"/>
        <n v="1.771562126981E12"/>
        <n v="1.771562127545E12"/>
        <n v="1.771562126716E12"/>
        <n v="1.771562126409E12"/>
        <n v="1.771562126681E12"/>
        <n v="1.771562126724E12"/>
        <n v="1.771562126884E12"/>
        <n v="1.771562126355E12"/>
        <n v="1.771562126296E12"/>
        <n v="1.77156212652E12"/>
        <n v="1.771562126532E12"/>
        <n v="1.771562126215E12"/>
        <n v="1.771562126361E12"/>
        <n v="1.771562127002E12"/>
        <n v="1.771562126478E12"/>
        <n v="1.771562126885E12"/>
        <n v="1.771562127194E12"/>
        <n v="1.771562126639E12"/>
        <n v="1.771562126657E12"/>
        <n v="1.771562126445E12"/>
        <n v="1.771562126185E12"/>
        <n v="1.771562126312E12"/>
        <n v="1.771562126585E12"/>
        <n v="1.771562127199E12"/>
        <n v="1.771562127068E12"/>
        <n v="1.771562126728E12"/>
        <n v="1.771562126299E12"/>
        <n v="1.77156212711E12"/>
        <n v="1.771562126303E12"/>
        <n v="1.7715621273E12"/>
        <n v="1.771562126643E12"/>
        <n v="1.771562125871E12"/>
        <n v="1.771562126567E12"/>
        <n v="1.771562126281E12"/>
        <n v="1.771562127116E12"/>
        <n v="1.771562126665E12"/>
        <n v="1.771562126948E12"/>
        <n v="1.771562126696E12"/>
        <n v="1.771562127346E12"/>
        <n v="1.771562126625E12"/>
        <n v="1.771562127231E12"/>
        <n v="1.771562126758E12"/>
        <n v="1.771562126878E12"/>
        <n v="1.771562126876E12"/>
        <n v="1.771562126556E12"/>
        <n v="1.77156212672E12"/>
        <n v="1.771562127051E12"/>
        <n v="1.771562126659E12"/>
        <n v="1.771562127057E12"/>
        <n v="1.771562126518E12"/>
        <n v="1.771562127132E12"/>
        <n v="1.771562126742E12"/>
        <n v="1.771562127109E12"/>
        <n v="1.771562127174E12"/>
        <n v="1.771562126633E12"/>
        <n v="1.771562126471E12"/>
        <n v="1.771562126364E12"/>
        <n v="1.771562126356E12"/>
        <n v="1.771562126949E12"/>
        <n v="1.771562126746E12"/>
        <n v="1.771562127916E12"/>
        <n v="1.771562127375E12"/>
        <n v="1.77156212694E12"/>
        <n v="1.771562126734E12"/>
        <n v="1.77156212724E12"/>
        <n v="1.771562126881E12"/>
        <n v="1.77156212666E12"/>
        <n v="1.771562126362E12"/>
        <n v="1.771562127198E12"/>
        <n v="1.771562127133E12"/>
        <n v="1.771562126186E12"/>
        <n v="1.771562127693E12"/>
        <n v="1.771562126895E12"/>
        <n v="1.771562125996E12"/>
        <n v="1.77156212761E12"/>
        <n v="1.771562127158E12"/>
        <n v="1.771562127384E12"/>
        <n v="1.771562128226E12"/>
        <n v="1.771562126664E12"/>
        <n v="1.771562127989E12"/>
        <n v="1.771562126994E12"/>
        <n v="1.771562128294E12"/>
        <n v="1.771562128342E12"/>
        <n v="1.771562126679E12"/>
        <n v="1.77156212745E12"/>
        <n v="1.771562127928E12"/>
        <n v="1.771562127628E12"/>
        <n v="1.771562128554E12"/>
        <n v="1.771562126363E12"/>
        <n v="1.771562126419E12"/>
        <n v="1.77156212648E12"/>
        <n v="1.771562286932E12"/>
        <n v="1.771563318056E12"/>
        <n v="1.771564681941E12"/>
        <n v="1.771564643288E12"/>
        <n v="1.771565643506E12"/>
        <n v="1.771566553174E12"/>
        <n v="1.771566852389E12"/>
        <n v="1.77157587442E12"/>
        <n v="1.771577630725E12"/>
        <n v="1.771577900355E12"/>
        <n v="1.771579728549E12"/>
        <n v="1.771581943855E12"/>
        <n v="1.771582923874E12"/>
        <n v="1.771583134457E12"/>
        <n v="1.771584572277E12"/>
        <n v="1.771584962683E12"/>
        <n v="1.77158500893E12"/>
        <n v="1.77158599898E12"/>
        <n v="1.771585999646E12"/>
        <n v="1.771586415811E12"/>
        <n v="1.771586729424E12"/>
        <n v="1.771587010273E12"/>
        <n v="1.771588285419E12"/>
        <n v="1.771588686089E12"/>
        <n v="1.771588965529E12"/>
        <n v="1.771589270991E12"/>
        <n v="1.771589613911E12"/>
        <n v="1.771591009868E12"/>
        <n v="1.771591130151E12"/>
        <n v="1.771591630784E12"/>
        <n v="1.771592726816E12"/>
        <n v="1.771592743983E12"/>
        <n v="1.771592969319E12"/>
        <n v="1.771593154872E12"/>
        <n v="1.77159335826E12"/>
        <n v="1.771594698415E12"/>
        <n v="1.771594759289E12"/>
        <n v="1.771594791714E12"/>
        <n v="1.771595213448E12"/>
        <n v="1.771596282933E12"/>
        <n v="1.771596745259E12"/>
        <n v="1.771597403545E12"/>
        <n v="1.771597427803E12"/>
        <n v="1.771597749253E12"/>
        <n v="1.771601383458E12"/>
        <n v="1.771602546121E12"/>
        <n v="1.771604220883E12"/>
        <n v="1.771604613347E12"/>
        <n v="1.771606356228E12"/>
        <n v="1.771606620614E12"/>
        <n v="1.771607956499E12"/>
        <n v="1.771608986028E12"/>
        <n v="1.771609090076E12"/>
        <n v="1.771609090249E12"/>
        <n v="1.771609091519E12"/>
        <n v="1.771609090748E12"/>
        <n v="1.771609091747E12"/>
        <n v="1.771609090315E12"/>
        <n v="1.771609091241E12"/>
        <n v="1.771609090547E12"/>
        <n v="1.77160909126E12"/>
        <n v="1.771609091151E12"/>
        <n v="1.771609092135E12"/>
        <n v="1.771609091928E12"/>
        <n v="1.771609091601E12"/>
        <n v="1.771609091369E12"/>
        <n v="1.77160909105E12"/>
        <n v="1.771609092824E12"/>
        <n v="1.771609091091E12"/>
        <n v="1.771609091427E12"/>
        <n v="1.771609092078E12"/>
        <n v="1.771609091554E12"/>
        <n v="1.771609094824E12"/>
        <n v="1.771609091203E12"/>
        <n v="1.771609352365E12"/>
        <n v="1.771609352284E12"/>
        <n v="1.771609353563E12"/>
        <n v="1.771609353543E12"/>
        <n v="1.77160935364E12"/>
        <n v="1.771609353801E12"/>
        <n v="1.771609354064E12"/>
        <n v="1.771609353003E12"/>
        <n v="1.77160935352E12"/>
        <n v="1.771609354065E12"/>
        <n v="1.771609353581E12"/>
        <n v="1.771609353295E12"/>
        <n v="1.77160935386E12"/>
        <n v="1.771609354923E12"/>
        <n v="1.771609353186E12"/>
        <n v="1.771609353303E12"/>
        <n v="1.771609353403E12"/>
        <n v="1.771609353005E12"/>
        <n v="1.771609354076E12"/>
        <n v="1.771609354094E12"/>
        <n v="1.771609353405E12"/>
        <n v="1.771609354289E12"/>
        <n v="1.771609353658E12"/>
        <n v="1.77160935465E12"/>
        <n v="1.771609353151E12"/>
        <n v="1.771609353837E12"/>
        <n v="1.771609352973E12"/>
        <n v="1.771609353891E12"/>
        <n v="1.771609353664E12"/>
        <n v="1.771609353973E12"/>
        <n v="1.771609353798E12"/>
        <n v="1.77160935376E12"/>
        <n v="1.771609353725E12"/>
        <n v="1.771609354189E12"/>
        <n v="1.771609354996E12"/>
        <n v="1.771609353541E12"/>
        <n v="1.771609352898E12"/>
        <n v="1.771609354268E12"/>
        <n v="1.771609353375E12"/>
        <n v="1.771609354674E12"/>
        <n v="1.77160935458E12"/>
        <n v="1.771609355159E12"/>
        <n v="1.77160935463E12"/>
        <n v="1.771609354655E12"/>
        <n v="1.7716093534E12"/>
        <n v="1.771609353455E12"/>
        <n v="1.771609353514E12"/>
        <n v="1.771609354632E12"/>
        <n v="1.77160935322E12"/>
        <n v="1.771609354483E12"/>
        <n v="1.77160935564E12"/>
        <n v="1.77160935435E12"/>
        <n v="1.771609354149E12"/>
        <n v="1.771609355874E12"/>
        <n v="1.771609354673E12"/>
        <n v="1.771609353932E12"/>
        <n v="1.771609355372E12"/>
        <n v="1.771609356284E12"/>
        <n v="1.771609353254E12"/>
        <n v="1.771609355358E12"/>
        <n v="1.771609357242E12"/>
        <n v="1.771609353374E12"/>
        <n v="1.771609353925E12"/>
        <n v="1.771609356652E12"/>
        <n v="1.771609356578E12"/>
        <n v="1.771609355354E12"/>
        <n v="1.771609353582E12"/>
        <n v="1.771609354229E12"/>
        <n v="1.771609354656E12"/>
        <n v="1.771609357012E12"/>
        <n v="1.771610102674E12"/>
        <n v="1.771611375432E12"/>
        <n v="1.771612002829E12"/>
        <n v="1.771612598755E12"/>
        <n v="1.77161305997E12"/>
        <n v="1.771613850884E12"/>
        <n v="1.771613858911E12"/>
        <n v="1.771614548926E12"/>
        <n v="1.771616496812E12"/>
        <n v="1.771616542352E12"/>
        <n v="1.771617860036E12"/>
        <n v="1.77162050661E12"/>
        <n v="1.771622582607E12"/>
        <n v="1.771622688764E12"/>
        <n v="1.77162308334E12"/>
        <n v="1.77162417676E12"/>
        <n v="1.771627807277E12"/>
        <n v="1.771628267694E12"/>
        <n v="1.771628293301E12"/>
        <n v="1.771628350182E12"/>
        <n v="1.771629414465E12"/>
        <n v="1.771629481655E12"/>
        <n v="1.771629764543E12"/>
        <n v="1.771630290161E12"/>
        <n v="1.771630329617E12"/>
        <n v="1.77163082394E12"/>
        <n v="1.771632989345E12"/>
        <n v="1.771634367005E12"/>
        <n v="1.771635353512E12"/>
        <n v="1.771635870314E12"/>
        <n v="1.771636161934E12"/>
        <n v="1.771637448524E12"/>
        <n v="1.771638178137E12"/>
        <n v="1.771638381071E12"/>
        <n v="1.771638736492E12"/>
        <n v="1.771639561693E12"/>
        <n v="1.771640163389E12"/>
        <n v="1.771640819854E12"/>
        <n v="1.771642576318E12"/>
        <n v="1.771643151186E12"/>
        <n v="1.771643490085E12"/>
        <n v="1.771643643673E12"/>
        <n v="1.771644396785E12"/>
        <n v="1.771644837301E12"/>
        <n v="1.771644926432E12"/>
        <n v="1.77164534442E12"/>
        <n v="1.771646335295E12"/>
        <n v="1.771646926246E12"/>
        <n v="1.771647241749E12"/>
        <n v="1.771647241128E12"/>
        <n v="1.771647747549E12"/>
        <n v="1.771649338061E12"/>
        <n v="1.771650922404E12"/>
        <n v="1.771651425314E12"/>
        <n v="1.771651624683E12"/>
        <n v="1.771653225294E12"/>
        <n v="1.771653683673E12"/>
        <n v="1.771655029464E12"/>
        <n v="1.771660245418E12"/>
        <n v="1.771660461335E12"/>
        <n v="1.771667714176E12"/>
        <n v="1.77166790751E12"/>
        <n v="1.771669085916E12"/>
        <n v="1.77167038826E12"/>
        <n v="1.771671719959E12"/>
        <n v="1.771672055891E12"/>
        <n v="1.771673987057E12"/>
        <n v="1.771675710436E12"/>
        <n v="1.771675788497E12"/>
        <n v="1.771676305319E12"/>
        <n v="1.771677291357E12"/>
        <n v="1.771677437105E12"/>
        <n v="1.771677742553E12"/>
        <n v="1.771678521324E12"/>
        <n v="1.771678984106E12"/>
        <n v="1.771679234182E12"/>
        <n v="1.771679522409E12"/>
        <n v="1.771679519689E12"/>
        <n v="1.771680725482E12"/>
        <n v="1.771680730784E12"/>
        <n v="1.771682655643E12"/>
        <n v="1.77168294294E12"/>
        <n v="1.77168305294E12"/>
        <n v="1.771683065304E12"/>
        <n v="1.771683133382E12"/>
        <n v="1.771683144538E12"/>
        <n v="1.77168321609E12"/>
        <n v="1.771684365445E12"/>
        <n v="1.771685274796E12"/>
        <n v="1.771686307622E12"/>
        <n v="1.771686528837E12"/>
        <n v="1.77168672742E12"/>
        <n v="1.771686880427E12"/>
        <n v="1.771687098525E12"/>
        <n v="1.771687644308E12"/>
        <n v="1.771688230381E12"/>
        <n v="1.771689935951E12"/>
        <n v="1.771689977746E12"/>
        <n v="1.771691578983E12"/>
        <n v="1.771695026048E12"/>
        <n v="1.771695987288E12"/>
        <n v="1.771696716387E12"/>
        <n v="1.771697000491E12"/>
        <n v="1.771700186754E12"/>
        <n v="1.771705116366E12"/>
        <n v="1.771706592797E12"/>
        <n v="1.771706749291E12"/>
        <n v="1.771709170669E12"/>
        <n v="1.77171149299E12"/>
        <n v="1.771711824778E12"/>
        <n v="1.771712577306E12"/>
        <n v="1.771713031946E12"/>
        <n v="1.771714227929E12"/>
        <n v="1.771715863465E12"/>
        <n v="1.771716593309E12"/>
        <n v="1.771716712306E12"/>
        <n v="1.77171769376E12"/>
        <n v="1.771718250388E12"/>
        <n v="1.771718754167E12"/>
        <n v="1.771722997696E12"/>
        <n v="1.771726568429E12"/>
        <n v="1.771727655691E12"/>
        <n v="1.77172980279E12"/>
        <n v="1.771730580037E12"/>
        <n v="1.771730622664E12"/>
        <n v="1.771732267722E12"/>
        <n v="1.771734401749E12"/>
        <n v="1.77173502431E12"/>
        <n v="1.771735648391E12"/>
        <n v="1.771736378396E12"/>
        <n v="1.771737170512E12"/>
        <n v="1.771739081381E12"/>
        <n v="1.77173928918E12"/>
        <n v="1.771739884847E12"/>
        <n v="1.771741687357E12"/>
        <n v="1.771742622496E12"/>
        <n v="1.771750291251E12"/>
        <n v="1.771750862338E12"/>
        <n v="1.771752826891E12"/>
        <n v="1.771754912245E12"/>
        <n v="1.771757077491E12"/>
        <n v="1.771757797082E12"/>
        <n v="1.771758295086E12"/>
        <n v="1.771758574856E12"/>
        <n v="1.771758691189E12"/>
        <n v="1.771759792731E12"/>
        <n v="1.771759934125E12"/>
        <n v="1.771760129779E12"/>
        <n v="1.771760581276E12"/>
        <n v="1.771760780109E12"/>
        <n v="1.771761389304E12"/>
        <n v="1.771761541343E12"/>
        <n v="1.771761705177E12"/>
        <n v="1.771762171382E12"/>
        <n v="1.77176229055E12"/>
        <n v="1.771763183794E12"/>
        <n v="1.771764397642E12"/>
        <n v="1.77176477512E12"/>
        <n v="1.77176507942E12"/>
        <n v="1.77176566972E12"/>
        <n v="1.771765867387E12"/>
        <n v="1.771766418578E12"/>
        <n v="1.77176656373E12"/>
        <n v="1.771766778421E12"/>
        <n v="1.771767057351E12"/>
        <n v="1.771767254138E12"/>
        <n v="1.77176750885E12"/>
        <n v="1.771767574558E12"/>
        <n v="1.771768356339E12"/>
        <n v="1.771768533268E12"/>
        <n v="1.771768760575E12"/>
        <n v="1.771769456105E12"/>
        <n v="1.771769857175E12"/>
        <n v="1.771769862154E12"/>
        <n v="1.771770419377E12"/>
        <n v="1.771771294249E12"/>
        <n v="1.771772039994E12"/>
        <n v="1.771772053646E12"/>
        <n v="1.771773381813E12"/>
        <n v="1.771774472429E12"/>
        <n v="1.77177472411E12"/>
        <n v="1.771775244302E12"/>
        <n v="1.771776197063E12"/>
        <n v="1.771776371119E12"/>
        <n v="1.771776455556E12"/>
        <n v="1.771777054037E12"/>
        <n v="1.771777680496E12"/>
        <n v="1.771778989143E12"/>
        <n v="1.771779157001E12"/>
        <n v="1.771779400834E12"/>
        <n v="1.771779430633E12"/>
        <n v="1.771780006401E12"/>
        <n v="1.771780809907E12"/>
        <n v="1.771781255069E12"/>
        <n v="1.77178193368E12"/>
        <n v="1.7717825545E12"/>
        <n v="1.771783067117E12"/>
        <n v="1.771783101107E12"/>
        <n v="1.77178381478E12"/>
        <n v="1.771784369976E12"/>
        <n v="1.771785662708E12"/>
        <n v="1.771785706625E12"/>
        <n v="1.771786514649E12"/>
        <n v="1.771787136692E12"/>
        <n v="1.771787356034E12"/>
        <n v="1.771788921226E12"/>
        <n v="1.771788980496E12"/>
        <n v="1.771789400177E12"/>
        <n v="1.771790635131E12"/>
        <n v="1.771791862036E12"/>
        <n v="1.771792128779E12"/>
        <n v="1.771792676029E12"/>
        <n v="1.771793196779E12"/>
        <n v="1.771793946632E12"/>
        <n v="1.771794876547E12"/>
        <n v="1.771795364154E12"/>
        <n v="1.77179559327E12"/>
        <n v="1.771796319722E12"/>
        <n v="1.771797626556E12"/>
        <n v="1.771798035018E12"/>
        <n v="1.771800259357E12"/>
        <n v="1.771801209873E12"/>
        <n v="1.771801493925E12"/>
        <n v="1.771801544573E12"/>
        <n v="1.771801739432E12"/>
        <n v="1.771804101436E12"/>
        <n v="1.771804980071E12"/>
        <n v="1.771804980827E12"/>
        <n v="1.771806259082E12"/>
        <n v="1.771806385171E12"/>
        <n v="1.771806788607E12"/>
        <n v="1.771807336445E12"/>
        <n v="1.771807803709E12"/>
        <n v="1.771808343805E12"/>
        <n v="1.77180866874E12"/>
        <n v="1.771810166062E12"/>
        <n v="1.771810342442E12"/>
        <n v="1.771811148064E12"/>
        <n v="1.77181140594E12"/>
        <n v="1.771812176957E12"/>
        <n v="1.771812465693E12"/>
        <n v="1.771812478314E12"/>
        <n v="1.771813565E12"/>
        <n v="1.771816176879E12"/>
        <n v="1.771817309288E12"/>
        <n v="1.771817883774E12"/>
        <n v="1.771817990486E12"/>
        <n v="1.771818656652E12"/>
        <n v="1.771818904646E12"/>
        <n v="1.771820042823E12"/>
        <n v="1.771820768318E12"/>
        <n v="1.771820920502E12"/>
        <n v="1.771822065289E12"/>
        <n v="1.77182214342E12"/>
        <n v="1.771823068454E12"/>
        <n v="1.771823568773E12"/>
        <n v="1.771823593729E12"/>
        <n v="1.771825361123E12"/>
        <n v="1.771825555674E12"/>
        <n v="1.7718258272E12"/>
        <n v="1.771828123444E12"/>
        <n v="1.771828141891E12"/>
        <n v="1.771828196558E12"/>
        <n v="1.771828543207E12"/>
        <n v="1.771830162006E12"/>
        <n v="1.771830193246E12"/>
        <n v="1.771830301348E12"/>
        <n v="1.77183503858E12"/>
        <n v="1.771836105073E12"/>
        <n v="1.771836572565E12"/>
        <n v="1.771836646864E12"/>
        <n v="1.771837395126E12"/>
        <n v="1.771846311231E12"/>
        <n v="1.771847748546E12"/>
        <n v="1.771848965664E12"/>
        <n v="1.771849717154E12"/>
        <n v="1.771850154322E12"/>
        <n v="1.771851902582E12"/>
        <n v="1.771851958723E12"/>
        <n v="1.771852099798E12"/>
        <n v="1.771853441782E12"/>
        <n v="1.771854995899E12"/>
        <n v="1.77185625053E12"/>
        <n v="1.771857688366E12"/>
        <n v="1.771857996727E12"/>
        <n v="1.771858523575E12"/>
        <n v="1.771858916892E12"/>
        <n v="1.77185928591E12"/>
        <n v="1.771859320429E12"/>
        <n v="1.771860259387E12"/>
        <n v="1.77186028692E12"/>
        <n v="1.771861078204E12"/>
        <n v="1.771862481766E12"/>
        <n v="1.771862869605E12"/>
        <n v="1.771864186343E12"/>
        <n v="1.771864855161E12"/>
        <n v="1.771865457542E12"/>
        <n v="1.771865745536E12"/>
        <n v="1.771865834325E12"/>
        <n v="1.771866495015E12"/>
        <n v="1.771866562772E12"/>
        <n v="1.771866656364E12"/>
        <n v="1.771866852782E12"/>
        <n v="1.771866882443E12"/>
        <n v="1.771867288162E12"/>
        <n v="1.771868006136E12"/>
        <n v="1.771868146281E12"/>
        <n v="1.771868451097E12"/>
        <n v="1.771870305317E12"/>
        <n v="1.771873994602E12"/>
        <n v="1.771875143544E12"/>
        <n v="1.771875444002E12"/>
        <n v="1.771875978904E12"/>
        <n v="1.77187663027E12"/>
        <n v="1.771876832676E12"/>
        <n v="1.771877773549E12"/>
        <n v="1.771878014628E12"/>
        <n v="1.77187884858E12"/>
        <n v="1.771879869127E12"/>
        <n v="1.771880796762E12"/>
        <n v="1.771882086944E12"/>
        <n v="1.771882081546E12"/>
        <n v="1.771882309338E12"/>
        <n v="1.771882396877E12"/>
        <n v="1.771882681326E12"/>
        <n v="1.771883989633E12"/>
        <n v="1.771886081914E12"/>
        <n v="1.77188720349E12"/>
        <n v="1.771888107688E12"/>
        <n v="1.771888321127E12"/>
        <n v="1.771888375118E12"/>
        <n v="1.771888789071E12"/>
        <n v="1.771888922795E12"/>
        <n v="1.771891083992E12"/>
        <n v="1.771891770087E12"/>
        <n v="1.771894801182E12"/>
        <n v="1.771895579198E12"/>
        <n v="1.771898389028E12"/>
        <n v="1.771899213054E12"/>
        <n v="1.771899677775E12"/>
        <n v="1.771899709332E12"/>
        <n v="1.77190030593E12"/>
        <n v="1.771901856088E12"/>
        <n v="1.771903847315E12"/>
        <n v="1.771904763139E12"/>
        <n v="1.771904921012E12"/>
        <n v="1.771905168409E12"/>
        <n v="1.771906617485E12"/>
        <n v="1.77190749618E12"/>
        <n v="1.771908106087E12"/>
        <n v="1.771909117157E12"/>
        <n v="1.771909615468E12"/>
        <n v="1.771910501793E12"/>
        <n v="1.771911279316E12"/>
        <n v="1.771914911172E12"/>
        <n v="1.771915617247E12"/>
        <n v="1.771917163057E12"/>
        <n v="1.771928056727E12"/>
        <n v="1.771928292601E12"/>
        <n v="1.771930737961E12"/>
        <n v="1.771930743151E12"/>
        <n v="1.771931093964E12"/>
        <n v="1.771933220632E12"/>
        <n v="1.771934420663E12"/>
        <n v="1.771935167132E12"/>
        <n v="1.771936574738E12"/>
        <n v="1.77193753666E12"/>
        <n v="1.771937833936E12"/>
        <n v="1.771937934371E12"/>
        <n v="1.771937902652E12"/>
        <n v="1.771940518966E12"/>
        <n v="1.771941878188E12"/>
        <n v="1.771945828558E12"/>
        <n v="1.771945881295E12"/>
        <n v="1.771947348939E12"/>
        <n v="1.771948527228E12"/>
        <n v="1.771949629326E12"/>
        <n v="1.771953394795E12"/>
        <n v="1.771954222174E12"/>
        <n v="1.771954358E12"/>
        <n v="1.771955387049E12"/>
        <n v="1.771955557991E12"/>
        <n v="1.771955796325E12"/>
        <n v="1.771956007716E12"/>
        <n v="1.771956304436E12"/>
        <n v="1.771956767255E12"/>
        <n v="1.771957846553E12"/>
        <n v="1.77195860843E12"/>
        <n v="1.771960958776E12"/>
        <n v="1.771963481165E12"/>
        <n v="1.771964589937E12"/>
        <n v="1.771964727549E12"/>
        <n v="1.77196483654E12"/>
        <n v="1.771965847585E12"/>
        <n v="1.77196615101E12"/>
        <n v="1.771966380046E12"/>
        <n v="1.77196658038E12"/>
        <n v="1.771968196087E12"/>
        <n v="1.771969226703E12"/>
        <n v="1.77197005972E12"/>
        <n v="1.771970507119E12"/>
        <n v="1.771971517E12"/>
        <n v="1.77197217598E12"/>
        <n v="1.771972948342E12"/>
        <n v="1.771973940816E12"/>
        <n v="1.771975999945E12"/>
        <n v="1.771976928028E12"/>
        <n v="1.77197875376E12"/>
        <n v="1.77198022517E12"/>
        <n v="1.771980409709E12"/>
        <n v="1.771981190196E12"/>
        <n v="1.771982943707E12"/>
        <n v="1.771983125223E12"/>
        <n v="1.771983161838E12"/>
        <n v="1.771983937004E12"/>
        <n v="1.771985431093E12"/>
        <n v="1.771986634939E12"/>
        <n v="1.771986928324E12"/>
        <n v="1.771987678895E12"/>
        <n v="1.771989194851E12"/>
        <n v="1.77199023446E12"/>
        <n v="1.771990962969E12"/>
        <n v="1.771992553823E12"/>
        <n v="1.771992595166E12"/>
        <n v="1.771992689734E12"/>
        <n v="1.771993316753E12"/>
        <n v="1.771994013147E12"/>
        <n v="1.771994045224E12"/>
        <n v="1.771994426115E12"/>
        <n v="1.771994627495E12"/>
        <n v="1.771995682279E12"/>
        <n v="1.77199618202E12"/>
        <n v="1.771996332466E12"/>
        <n v="1.77199858166E12"/>
        <n v="1.771999174963E12"/>
        <n v="1.771999260796E12"/>
        <n v="1.771999410409E12"/>
        <n v="1.771999973688E12"/>
        <n v="1.772000357106E12"/>
        <n v="1.772004617339E12"/>
        <n v="1.772005855926E12"/>
        <n v="1.772007705734E12"/>
        <n v="1.772009472649E12"/>
        <n v="1.772015013153E12"/>
        <n v="1.77201542548E12"/>
        <n v="1.772016328222E12"/>
        <n v="1.772016721796E12"/>
        <n v="1.772017365144E12"/>
        <n v="1.772019376295E12"/>
        <n v="1.772019664776E12"/>
        <n v="1.772019808615E12"/>
        <n v="1.772019937149E12"/>
        <n v="1.772021519055E12"/>
        <n v="1.772021639478E12"/>
        <n v="1.77202240614E12"/>
        <n v="1.772025427251E12"/>
        <n v="1.772025578291E12"/>
        <n v="1.772025702675E12"/>
        <n v="1.772027706035E12"/>
        <n v="1.772027805603E12"/>
        <n v="1.772028612028E12"/>
        <n v="1.772028715846E12"/>
        <n v="1.772028856601E12"/>
        <n v="1.772031056492E12"/>
        <n v="1.772031905269E12"/>
        <n v="1.772032219712E12"/>
        <n v="1.772032508212E12"/>
        <n v="1.772032548193E12"/>
        <n v="1.77203513536E12"/>
        <n v="1.772037291294E12"/>
        <n v="1.772040228677E12"/>
        <n v="1.77204093153E12"/>
        <n v="1.772040964073E12"/>
        <n v="1.772041011766E12"/>
        <n v="1.772041556187E12"/>
        <n v="1.772042279667E12"/>
        <n v="1.772045680685E12"/>
        <n v="1.772047817288E12"/>
        <n v="1.772048332434E12"/>
        <n v="1.772049090609E12"/>
        <n v="1.772049186159E12"/>
        <n v="1.772049880934E12"/>
        <n v="1.772051915379E12"/>
        <n v="1.772052905449E12"/>
        <n v="1.772053052676E12"/>
        <n v="1.772053238034E12"/>
        <n v="1.772056418581E12"/>
        <n v="1.772056604972E12"/>
        <n v="1.772057163962E12"/>
        <n v="1.772062112615E12"/>
        <n v="1.772062463943E12"/>
        <n v="1.772062655356E12"/>
        <n v="1.772062816549E12"/>
        <n v="1.772062978575E12"/>
        <n v="1.772064253838E12"/>
        <n v="1.772064222272E12"/>
        <n v="1.772065431684E12"/>
        <n v="1.77206573108E12"/>
        <n v="1.772067492692E12"/>
        <n v="1.772067906417E12"/>
        <n v="1.772068968381E12"/>
        <n v="1.772069538124E12"/>
        <n v="1.772070577147E12"/>
        <n v="1.772070961395E12"/>
        <n v="1.772071583728E12"/>
        <n v="1.772071718696E12"/>
        <n v="1.772071810093E12"/>
        <n v="1.772072946411E12"/>
        <n v="1.772073302391E12"/>
        <n v="1.772073334573E12"/>
        <n v="1.77207463678E12"/>
        <n v="1.772074744923E12"/>
        <n v="1.772075382226E12"/>
        <n v="1.772075401264E12"/>
        <n v="1.772076727141E12"/>
        <n v="1.772078033291E12"/>
        <n v="1.772078324774E12"/>
        <n v="1.772078329081E12"/>
        <n v="1.772079105504E12"/>
        <n v="1.772079352582E12"/>
        <n v="1.772080479828E12"/>
        <n v="1.772084565895E12"/>
        <n v="1.77208527098E12"/>
        <n v="1.772085671413E12"/>
        <n v="1.772086509953E12"/>
        <n v="1.772090188106E12"/>
        <n v="1.772092531216E12"/>
        <n v="1.772093335215E12"/>
        <n v="1.772097707069E12"/>
        <n v="1.772099203947E12"/>
        <n v="1.772100172374E12"/>
        <n v="1.772100902249E12"/>
        <n v="1.772102008158E12"/>
        <n v="1.772102485548E12"/>
        <n v="1.772103248632E12"/>
        <n v="1.772104422981E12"/>
        <n v="1.772104532038E12"/>
        <n v="1.772104689913E12"/>
        <n v="1.772104909818E12"/>
        <n v="1.772107508605E12"/>
        <n v="1.772107844304E12"/>
        <n v="1.772107864737E12"/>
        <n v="1.772108317877E12"/>
        <n v="1.772110085324E12"/>
        <n v="1.772110504632E12"/>
        <n v="1.772111014937E12"/>
        <n v="1.772111430648E12"/>
        <n v="1.772111662963E12"/>
        <n v="1.772111863449E12"/>
        <n v="1.772113575001E12"/>
        <n v="1.772115424326E12"/>
        <n v="1.772116018851E12"/>
        <n v="1.772116124178E12"/>
        <n v="1.772116572814E12"/>
        <n v="1.772117344485E12"/>
        <n v="1.772118215048E12"/>
        <n v="1.772120615087E12"/>
        <n v="1.772120898385E12"/>
        <n v="1.772123307592E12"/>
        <n v="1.772124759261E12"/>
        <n v="1.772129304594E12"/>
        <n v="1.772129739686E12"/>
        <n v="1.772131191159E12"/>
        <n v="1.772131638792E12"/>
        <n v="1.772132077807E12"/>
        <n v="1.772132564129E12"/>
        <n v="1.772133193112E12"/>
        <n v="1.772135125423E12"/>
        <n v="1.772135793211E12"/>
        <n v="1.772135861712E12"/>
        <n v="1.772138223336E12"/>
        <n v="1.772139538832E12"/>
        <n v="1.772139797474E12"/>
        <n v="1.77214145064E12"/>
        <n v="1.77214185742E12"/>
        <n v="1.772142274665E12"/>
        <n v="1.772143019978E12"/>
        <n v="1.772144423268E12"/>
        <n v="1.772148087622E12"/>
        <n v="1.772148270895E12"/>
        <n v="1.772149365275E12"/>
        <n v="1.772149746206E12"/>
        <n v="1.772151221392E12"/>
        <n v="1.772152437317E12"/>
        <n v="1.772153658352E12"/>
        <n v="1.772155379252E12"/>
        <n v="1.772155809807E12"/>
        <n v="1.772156093584E12"/>
        <n v="1.772156276551E12"/>
        <n v="1.772157960361E12"/>
        <n v="1.772158476735E12"/>
        <n v="1.772161368224E12"/>
        <n v="1.772161506292E12"/>
        <n v="1.77216152784E12"/>
        <n v="1.772162618259E12"/>
        <n v="1.772163255253E12"/>
        <n v="1.772163579055E12"/>
        <n v="1.772164098651E12"/>
        <n v="1.772164271857E12"/>
        <n v="1.772165256614E12"/>
        <n v="1.772165850335E12"/>
        <n v="1.772166123358E12"/>
        <n v="1.77216613865E12"/>
        <n v="1.772168893454E12"/>
        <n v="1.772175513142E12"/>
        <n v="1.772175707919E12"/>
        <n v="1.772178331867E12"/>
        <n v="1.77218584111E12"/>
        <n v="1.772188050776E12"/>
        <n v="1.772188993572E12"/>
        <n v="1.772191037933E12"/>
        <n v="1.772191643922E12"/>
        <n v="1.772192559497E12"/>
        <n v="1.772193542257E12"/>
        <n v="1.772194878676E12"/>
        <n v="1.772195315384E12"/>
        <n v="1.772195393805E12"/>
        <n v="1.772195676371E12"/>
        <n v="1.772195751086E12"/>
        <n v="1.772196479807E12"/>
        <n v="1.772196587111E12"/>
        <n v="1.772197139113E12"/>
        <n v="1.772197720728E12"/>
        <n v="1.772197746932E12"/>
        <n v="1.772197869661E12"/>
        <n v="1.772197871696E12"/>
        <n v="1.772198035451E12"/>
        <n v="1.772198175608E12"/>
        <n v="1.772200038562E12"/>
        <n v="1.7722003722E12"/>
        <n v="1.772201607167E12"/>
        <n v="1.772201629571E12"/>
        <n v="1.772201779797E12"/>
        <n v="1.77220273803E12"/>
        <n v="1.772202803182E12"/>
        <n v="1.772203785779E12"/>
        <n v="1.772204078465E12"/>
        <n v="1.772205495192E12"/>
        <n v="1.772206260823E12"/>
        <n v="1.772206624311E12"/>
        <n v="1.772206966846E12"/>
        <n v="1.772207383784E12"/>
        <n v="1.772209261358E12"/>
        <n v="1.772209266861E12"/>
        <n v="1.772209343616E12"/>
        <n v="1.772210269271E12"/>
        <n v="1.772210549026E12"/>
        <n v="1.772214130725E12"/>
        <n v="1.772214863734E12"/>
        <n v="1.772218814409E12"/>
        <n v="1.772219192015E12"/>
        <n v="1.772219368938E12"/>
        <n v="1.772219415372E12"/>
        <n v="1.772219562287E12"/>
        <n v="1.772224240376E12"/>
        <n v="1.772224595888E12"/>
        <n v="1.772225849586E12"/>
        <n v="1.772227738764E12"/>
        <n v="1.772230204908E12"/>
        <n v="1.772231089532E12"/>
        <n v="1.77223121798E12"/>
        <n v="1.772231971793E12"/>
        <n v="1.77223230117E12"/>
        <n v="1.772232687718E12"/>
        <n v="1.772233813289E12"/>
        <n v="1.772233923834E12"/>
        <n v="1.772238423002E12"/>
        <n v="1.77223971099E12"/>
        <n v="1.77223971662E12"/>
        <n v="1.77223991763E12"/>
        <n v="1.7722399457E12"/>
        <n v="1.772241718183E12"/>
        <n v="1.772241718986E12"/>
        <n v="1.772241949138E12"/>
        <n v="1.772242564252E12"/>
        <n v="1.772242590905E12"/>
        <n v="1.772243154184E12"/>
        <n v="1.772243483576E12"/>
        <n v="1.772243962151E12"/>
        <n v="1.772245671963E12"/>
        <n v="1.772246386051E12"/>
        <n v="1.772246717496E12"/>
        <n v="1.772247494222E12"/>
        <n v="1.772249742395E12"/>
        <n v="1.772251688521E12"/>
        <n v="1.772251890252E12"/>
        <n v="1.77225308049E12"/>
        <n v="1.77225464111E12"/>
        <n v="1.772255303821E12"/>
        <n v="1.772260418989E12"/>
        <n v="1.772272215247E12"/>
        <n v="1.772272297303E12"/>
        <n v="1.772275064208E12"/>
        <n v="1.77227511098E12"/>
        <n v="1.772275362567E12"/>
        <n v="1.772276284566E12"/>
        <n v="1.772276611983E12"/>
        <n v="1.77227728043E12"/>
        <n v="1.772277880031E12"/>
        <n v="1.772277987787E12"/>
        <n v="1.772278372311E12"/>
        <n v="1.772278996619E12"/>
        <n v="1.772279131777E12"/>
        <n v="1.772280188887E12"/>
        <n v="1.772281384737E12"/>
        <n v="1.772281489208E12"/>
        <n v="1.772281993339E12"/>
        <n v="1.772282812108E12"/>
        <n v="1.772282812323E12"/>
        <n v="1.772282855662E12"/>
        <n v="1.772282888618E12"/>
        <n v="1.772283001583E12"/>
        <n v="1.772283005123E12"/>
        <n v="1.772283515444E12"/>
        <n v="1.772283507722E12"/>
        <n v="1.77228378014E12"/>
        <n v="1.772284186786E12"/>
        <n v="1.772284420103E12"/>
        <n v="1.772284817835E12"/>
        <n v="1.772284871632E12"/>
        <n v="1.772288096704E12"/>
        <n v="1.772289347539E12"/>
        <n v="1.772289721539E12"/>
        <n v="1.772289878166E12"/>
        <n v="1.77229018203E12"/>
        <n v="1.772291288407E12"/>
        <n v="1.772291452816E12"/>
        <n v="1.772292373056E12"/>
        <n v="1.772295476564E12"/>
        <n v="1.772295915119E12"/>
        <n v="1.7722966478E12"/>
        <n v="1.772296983506E12"/>
        <n v="1.772297372687E12"/>
        <n v="1.772298025141E12"/>
        <n v="1.772298814218E12"/>
        <n v="1.772299141694E12"/>
        <n v="1.772299296875E12"/>
        <n v="1.77230023562E12"/>
        <n v="1.772301205731E12"/>
        <n v="1.772302428139E12"/>
        <n v="1.772302442762E12"/>
        <n v="1.772304477234E12"/>
        <n v="1.772308487826E12"/>
        <n v="1.772309761089E12"/>
        <n v="1.772310768653E12"/>
        <n v="1.772311396469E12"/>
        <n v="1.772313207265E12"/>
        <n v="1.772315039246E12"/>
        <n v="1.772318153524E12"/>
        <n v="1.77231869408E12"/>
        <n v="1.772319571572E12"/>
        <n v="1.77231968939E12"/>
        <n v="1.772320966407E12"/>
        <n v="1.772322416362E12"/>
        <n v="1.772323700169E12"/>
        <n v="1.772324726909E12"/>
        <n v="1.772324836562E12"/>
        <n v="1.77232608946E12"/>
        <n v="1.772326306274E12"/>
        <n v="1.772330112279E12"/>
        <n v="1.772332296947E12"/>
        <n v="1.772332536195E12"/>
        <n v="1.772335500004E12"/>
        <n v="1.772335780464E12"/>
        <n v="1.772336211721E12"/>
        <n v="1.772337016626E12"/>
        <n v="1.772338474718E12"/>
        <n v="1.772339374828E12"/>
        <n v="1.772339388578E12"/>
        <n v="1.772339408156E12"/>
        <n v="1.772339756099E12"/>
        <n v="1.772340347445E12"/>
        <n v="1.772340760174E12"/>
        <n v="1.772340835021E12"/>
        <n v="1.772344044359E12"/>
        <n v="1.7723493574E12"/>
        <n v="1.77235117722E12"/>
        <n v="1.772352593796E12"/>
        <n v="1.77235358811E12"/>
        <n v="1.772353914071E12"/>
        <n v="1.772358279156E12"/>
        <n v="1.772358858626E12"/>
        <n v="1.772361065133E12"/>
        <n v="1.772361701922E12"/>
        <n v="1.772361954955E12"/>
        <n v="1.772364427897E12"/>
        <n v="1.772364514599E12"/>
        <n v="1.772364627431E12"/>
        <n v="1.772365060183E12"/>
        <n v="1.772365213292E12"/>
        <n v="1.772366044326E12"/>
        <n v="1.77236617361E12"/>
        <n v="1.772366219602E12"/>
        <n v="1.772368969172E12"/>
        <n v="1.772368988149E12"/>
        <n v="1.772369325788E12"/>
        <n v="1.772369937683E12"/>
        <n v="1.772371276695E12"/>
        <n v="1.772371759154E12"/>
        <n v="1.772372084771E12"/>
        <n v="1.772372213497E12"/>
        <n v="1.77237239758E12"/>
        <n v="1.772372446082E12"/>
        <n v="1.772373200613E12"/>
        <n v="1.772374469902E12"/>
        <n v="1.772375386497E12"/>
        <n v="1.772376030269E12"/>
        <n v="1.772376151084E12"/>
        <n v="1.772376362882E12"/>
        <n v="1.772377641251E12"/>
        <n v="1.772378029101E12"/>
        <n v="1.772379062085E12"/>
        <n v="1.772379532169E12"/>
        <n v="1.772379799981E12"/>
        <n v="1.772380233851E12"/>
        <n v="1.772380312344E12"/>
        <n v="1.77238097843E12"/>
        <n v="1.772381016785E12"/>
        <n v="1.772381067991E12"/>
        <n v="1.772381278727E12"/>
        <n v="1.772384181046E12"/>
        <n v="1.772385070729E12"/>
        <n v="1.772386279321E12"/>
        <n v="1.772386806928E12"/>
        <n v="1.772388630363E12"/>
        <n v="1.772389199948E12"/>
        <n v="1.772389439171E12"/>
        <n v="1.77239021336E12"/>
        <n v="1.772393580511E12"/>
        <n v="1.772395088683E12"/>
        <n v="1.772395934071E12"/>
        <n v="1.772396523171E12"/>
        <n v="1.772397158031E12"/>
        <n v="1.772397302541E12"/>
        <n v="1.77239756214E12"/>
        <n v="1.772398539169E12"/>
        <n v="1.772398567274E12"/>
        <n v="1.772398584221E12"/>
        <n v="1.772399896151E12"/>
        <n v="1.772402109757E12"/>
        <n v="1.772404131847E12"/>
        <n v="1.772405052103E12"/>
        <n v="1.772406584933E12"/>
        <n v="1.772408511268E12"/>
        <n v="1.772409057371E12"/>
        <n v="1.772412307619E12"/>
        <n v="1.772413499188E12"/>
        <n v="1.77241544618E12"/>
        <n v="1.772416687026E12"/>
        <n v="1.772417028379E12"/>
        <n v="1.772419378915E12"/>
        <n v="1.772419561961E12"/>
        <n v="1.772419647354E12"/>
        <n v="1.772420663404E12"/>
        <n v="1.772421127522E12"/>
        <n v="1.772421685618E12"/>
        <n v="1.772423590028E12"/>
        <n v="1.772425443478E12"/>
        <n v="1.772426445328E12"/>
        <n v="1.772430617781E12"/>
        <n v="1.772430661362E12"/>
        <n v="1.772431002946E12"/>
        <n v="1.772431283928E12"/>
        <n v="1.772433428125E12"/>
        <n v="1.772433666505E12"/>
        <n v="1.77243469828E12"/>
        <n v="1.772435062357E12"/>
        <n v="1.772448248327E12"/>
        <n v="1.772449316551E12"/>
        <n v="1.772450811054E12"/>
        <n v="1.772451064893E12"/>
        <n v="1.772451494056E12"/>
        <n v="1.7724518297E12"/>
        <n v="1.772454570277E12"/>
        <n v="1.772455076115E12"/>
        <n v="1.772455825438E12"/>
        <n v="1.772456273434E12"/>
        <n v="1.772456271857E12"/>
        <n v="1.77245665659E12"/>
        <n v="1.772459035564E12"/>
        <n v="1.772459331662E12"/>
        <n v="1.772460125157E12"/>
        <n v="1.77246108309E12"/>
        <n v="1.772461775054E12"/>
        <n v="1.772464276105E12"/>
        <n v="1.77246494981E12"/>
        <n v="1.77246602024E12"/>
        <n v="1.772467078997E12"/>
        <n v="1.772467166024E12"/>
        <n v="1.772467533579E12"/>
        <n v="1.772467663883E12"/>
        <n v="1.772468028926E12"/>
        <n v="1.772468203762E12"/>
        <n v="1.77246898946E12"/>
        <n v="1.772469062567E12"/>
        <n v="1.772474024862E12"/>
        <n v="1.772474413763E12"/>
        <n v="1.772476232949E12"/>
        <n v="1.772476799053E12"/>
        <n v="1.772477132592E12"/>
        <n v="1.772479179599E12"/>
        <n v="1.772480466916E12"/>
        <n v="1.772482075771E12"/>
        <n v="1.772482300611E12"/>
        <n v="1.772483015278E12"/>
        <n v="1.772484066516E12"/>
        <n v="1.77248427275E12"/>
        <n v="1.772486439349E12"/>
        <n v="1.772487295307E12"/>
        <n v="1.772487805567E12"/>
        <n v="1.772487921916E12"/>
        <n v="1.772488817156E12"/>
        <n v="1.772489108296E12"/>
        <n v="1.77248914351E12"/>
        <n v="1.772489967063E12"/>
        <n v="1.772490209651E12"/>
        <n v="1.772491022789E12"/>
        <n v="1.772492217182E12"/>
        <n v="1.772492756785E12"/>
        <n v="1.772493375222E12"/>
        <n v="1.772494265801E12"/>
        <n v="1.772494283544E12"/>
        <n v="1.772495719059E12"/>
        <n v="1.772495833908E12"/>
        <n v="1.772496646134E12"/>
        <n v="1.772496729985E12"/>
        <n v="1.772497061105E12"/>
        <n v="1.772500423787E12"/>
        <n v="1.772500554591E12"/>
        <n v="1.772500777615E12"/>
        <n v="1.772500940463E12"/>
        <n v="1.772502139416E12"/>
        <n v="1.772502357237E12"/>
        <n v="1.772502875915E12"/>
        <n v="1.77250315391E12"/>
        <n v="1.772503660058E12"/>
        <n v="1.772503995806E12"/>
        <n v="1.772504278984E12"/>
        <n v="1.77250478568E12"/>
        <n v="1.772506030266E12"/>
        <n v="1.772507000837E12"/>
        <n v="1.772507898217E12"/>
        <n v="1.772508029261E12"/>
        <n v="1.772508167088E12"/>
        <n v="1.772508809881E12"/>
        <n v="1.772509269095E12"/>
        <n v="1.772509423817E12"/>
        <n v="1.772509651864E12"/>
        <n v="1.772509847568E12"/>
        <n v="1.772509957815E12"/>
        <n v="1.772510418388E12"/>
        <n v="1.772510817457E12"/>
        <n v="1.772511792454E12"/>
        <n v="1.772512212623E12"/>
        <n v="1.772513393978E12"/>
        <n v="1.772513599617E12"/>
        <n v="1.772513955512E12"/>
        <n v="1.772515910709E12"/>
        <n v="1.772516419762E12"/>
        <n v="1.772516655144E12"/>
        <n v="1.772518221544E12"/>
        <n v="1.772519242635E12"/>
        <n v="1.772522844877E12"/>
        <n v="1.772525322459E12"/>
        <n v="1.772529860519E12"/>
        <n v="1.772530772316E12"/>
        <n v="1.772532771338E12"/>
        <n v="1.772536166241E12"/>
        <n v="1.77253724699E12"/>
        <n v="1.772537816856E12"/>
        <n v="1.772537860712E12"/>
        <n v="1.772537964271E12"/>
        <n v="1.772538603958E12"/>
        <n v="1.772539550606E12"/>
        <n v="1.772539655213E12"/>
        <n v="1.772539797008E12"/>
        <n v="1.772540055611E12"/>
        <n v="1.77254070575E12"/>
        <n v="1.772541762912E12"/>
        <n v="1.77254306311E12"/>
        <n v="1.772543116569E12"/>
        <n v="1.772543330916E12"/>
        <n v="1.772543542735E12"/>
        <n v="1.772543693781E12"/>
        <n v="1.772544218472E12"/>
        <n v="1.772545183539E12"/>
        <n v="1.77254545217E12"/>
        <n v="1.772545720796E12"/>
        <n v="1.772545806915E12"/>
        <n v="1.772546671292E12"/>
        <n v="1.772546823834E12"/>
        <n v="1.77255163802E12"/>
        <n v="1.77255172509E12"/>
        <n v="1.772552236576E12"/>
        <n v="1.772552857867E12"/>
        <n v="1.772554393722E12"/>
        <n v="1.772554677325E12"/>
        <n v="1.772555467631E12"/>
        <n v="1.772555948747E12"/>
        <n v="1.77255676283E12"/>
        <n v="1.772557227232E12"/>
        <n v="1.772558190972E12"/>
        <n v="1.7725585013E12"/>
        <n v="1.77256138074E12"/>
        <n v="1.772561409163E12"/>
        <n v="1.772563429218E12"/>
        <n v="1.772563886463E12"/>
        <n v="1.772563968808E12"/>
        <n v="1.772564962217E12"/>
        <n v="1.772567110726E12"/>
        <n v="1.772567481641E12"/>
        <n v="1.772569999397E12"/>
        <n v="1.772571336939E12"/>
        <n v="1.772571648358E12"/>
        <n v="1.772571771286E12"/>
        <n v="1.772571851361E12"/>
        <n v="1.772572010711E12"/>
        <n v="1.772572297047E12"/>
        <n v="1.772572313111E12"/>
        <n v="1.772572935545E12"/>
        <n v="1.772573936717E12"/>
        <n v="1.77257396108E12"/>
        <n v="1.772574349477E12"/>
        <n v="1.772575831697E12"/>
        <n v="1.77257626803E12"/>
        <n v="1.772577268276E12"/>
        <n v="1.772578148274E12"/>
        <n v="1.772578614207E12"/>
        <n v="1.772579259735E12"/>
        <n v="1.77257990955E12"/>
        <n v="1.772580346587E12"/>
        <n v="1.772582328138E12"/>
        <n v="1.772582645384E12"/>
        <n v="1.772582916691E12"/>
        <n v="1.772584315391E12"/>
        <n v="1.772584603172E12"/>
        <n v="1.772584797956E12"/>
        <n v="1.772586124024E12"/>
        <n v="1.772586815236E12"/>
        <n v="1.772587896402E12"/>
        <n v="1.772588030729E12"/>
        <n v="1.772588654335E12"/>
        <n v="1.772589264292E12"/>
        <n v="1.772590534584E12"/>
        <n v="1.772590552951E12"/>
        <n v="1.772590971879E12"/>
        <n v="1.772591673758E12"/>
        <n v="1.772591686565E12"/>
        <n v="1.772593004767E12"/>
        <n v="1.772594043156E12"/>
        <n v="1.77259479763E12"/>
        <n v="1.772595228998E12"/>
        <n v="1.772595309748E12"/>
        <n v="1.772597280229E12"/>
        <n v="1.772597291669E12"/>
        <n v="1.772598654896E12"/>
        <n v="1.772598983133E12"/>
        <n v="1.772601597374E12"/>
        <n v="1.77260445634E12"/>
        <n v="1.772604896055E12"/>
        <n v="1.772605812365E12"/>
        <n v="1.772605828653E12"/>
        <n v="1.772609960823E12"/>
        <n v="1.772620000092E12"/>
        <n v="1.772621752791E12"/>
        <n v="1.77262222882E12"/>
        <n v="1.772622249998E12"/>
        <n v="1.772622731915E12"/>
        <n v="1.772625533537E12"/>
        <n v="1.772627122555E12"/>
        <n v="1.772627766938E12"/>
        <n v="1.772628298275E12"/>
        <n v="1.772628334841E12"/>
        <n v="1.772628530058E12"/>
        <n v="1.772628674313E12"/>
        <n v="1.772629071774E12"/>
        <n v="1.772629339213E12"/>
        <n v="1.772629609095E12"/>
        <n v="1.772630306799E12"/>
        <n v="1.772630652471E12"/>
        <n v="1.772630947947E12"/>
        <n v="1.772631141819E12"/>
        <n v="1.772631629876E12"/>
        <n v="1.772634731079E12"/>
        <n v="1.772634781635E12"/>
        <n v="1.772634814316E12"/>
        <n v="1.772635651591E12"/>
        <n v="1.772636334025E12"/>
        <n v="1.772636357363E12"/>
        <n v="1.772639161724E12"/>
        <n v="1.772639417993E12"/>
        <n v="1.772639594071E12"/>
        <n v="1.772640121915E12"/>
        <n v="1.772640620301E12"/>
        <n v="1.772641313338E12"/>
        <n v="1.772641527072E12"/>
        <n v="1.772643673863E12"/>
        <n v="1.772644166719E12"/>
        <n v="1.772644682724E12"/>
        <n v="1.772644923449E12"/>
        <n v="1.772645466142E12"/>
        <n v="1.772646349979E12"/>
        <n v="1.772646409923E12"/>
        <n v="1.772648582285E12"/>
        <n v="1.772648826139E12"/>
        <n v="1.772649454208E12"/>
        <n v="1.772650607025E12"/>
        <n v="1.772653256151E12"/>
        <n v="1.77265329293E12"/>
        <n v="1.772653667308E12"/>
        <n v="1.772656801819E12"/>
        <n v="1.772656818979E12"/>
        <n v="1.772657131526E12"/>
        <n v="1.772659419313E12"/>
        <n v="1.772660599895E12"/>
        <n v="1.77266162655E12"/>
        <n v="1.77266189157E12"/>
        <n v="1.772664492403E12"/>
        <n v="1.772665356383E12"/>
        <n v="1.772665687494E12"/>
        <n v="1.772666396122E12"/>
        <n v="1.772667628304E12"/>
        <n v="1.772668484748E12"/>
        <n v="1.772669793313E12"/>
        <n v="1.77267031097E12"/>
        <n v="1.772671048487E12"/>
        <n v="1.772672100654E12"/>
        <n v="1.772674050695E12"/>
        <n v="1.77267494539E12"/>
        <n v="1.772675231006E12"/>
        <n v="1.772675446546E12"/>
        <n v="1.772676355497E12"/>
        <n v="1.772677203205E12"/>
        <n v="1.772677396876E12"/>
        <n v="1.772678570315E12"/>
        <n v="1.772679226567E12"/>
        <n v="1.772679683005E12"/>
        <n v="1.772680753352E12"/>
        <n v="1.772682181397E12"/>
        <n v="1.772682536436E12"/>
        <n v="1.772684038037E12"/>
        <n v="1.772684187369E12"/>
        <n v="1.772684357299E12"/>
        <n v="1.772684661907E12"/>
        <n v="1.772684716765E12"/>
        <n v="1.77268471998E12"/>
        <n v="1.772684970989E12"/>
        <n v="1.772685604618E12"/>
        <n v="1.772685774281E12"/>
        <n v="1.772687228834E12"/>
        <n v="1.772687831387E12"/>
        <n v="1.772688567343E12"/>
        <n v="1.772690324829E12"/>
        <n v="1.77269166848E12"/>
        <n v="1.772695890235E12"/>
        <n v="1.772698996128E12"/>
        <n v="1.7727071634E12"/>
        <n v="1.772711303266E12"/>
        <n v="1.772712910368E12"/>
        <n v="1.772712991688E12"/>
        <n v="1.77271313288E12"/>
        <n v="1.77271442058E12"/>
        <n v="1.772715454674E12"/>
        <n v="1.772715704403E12"/>
        <n v="1.772716392786E12"/>
        <n v="1.772717049927E12"/>
        <n v="1.772717099437E12"/>
        <n v="1.772717580178E12"/>
        <n v="1.772717919002E12"/>
        <n v="1.77271837043E12"/>
        <n v="1.772718764444E12"/>
        <n v="1.772719433874E12"/>
        <n v="1.772719675052E12"/>
        <n v="1.772719742276E12"/>
        <n v="1.772719998436E12"/>
        <n v="1.772720577464E12"/>
        <n v="1.772720849574E12"/>
        <n v="1.772723452353E12"/>
        <n v="1.772725058661E12"/>
        <n v="1.772725871868E12"/>
        <n v="1.772726578161E12"/>
        <n v="1.772728470049E12"/>
        <n v="1.772731458059E12"/>
        <n v="1.772732310587E12"/>
        <n v="1.772733112331E12"/>
        <n v="1.772733256488E12"/>
        <n v="1.772733915155E12"/>
        <n v="1.772734677457E12"/>
        <n v="1.772734902528E12"/>
        <n v="1.772735202616E12"/>
        <n v="1.7727359292E12"/>
        <n v="1.772736124524E12"/>
        <n v="1.772737580439E12"/>
        <n v="1.77273786816E12"/>
        <n v="1.772739088935E12"/>
        <n v="1.772740002421E12"/>
        <n v="1.772745258681E12"/>
        <n v="1.772745628363E12"/>
        <n v="1.772746869907E12"/>
        <n v="1.772752909191E12"/>
        <n v="1.772753227752E12"/>
        <n v="1.772753410893E12"/>
        <n v="1.772755875156E12"/>
        <n v="1.772757567947E12"/>
        <n v="1.772758844777E12"/>
        <n v="1.772759051965E12"/>
        <n v="1.7727598457E12"/>
        <n v="1.772761042149E12"/>
        <n v="1.772761832847E12"/>
        <n v="1.772762099848E12"/>
        <n v="1.772763507882E12"/>
        <n v="1.772764107972E12"/>
        <n v="1.772764736163E12"/>
        <n v="1.772765789646E12"/>
        <n v="1.772766424507E12"/>
        <n v="1.772767084049E12"/>
        <n v="1.772767733296E12"/>
        <n v="1.772768280751E12"/>
        <n v="1.772768388943E12"/>
        <n v="1.772768622103E12"/>
        <n v="1.772769094773E12"/>
        <n v="1.772769140279E12"/>
        <n v="1.772769793924E12"/>
        <n v="1.772770175984E12"/>
        <n v="1.772773041192E12"/>
        <n v="1.772773396867E12"/>
        <n v="1.772774500268E12"/>
        <n v="1.772774519043E12"/>
        <n v="1.772775930039E12"/>
        <n v="1.772777581517E12"/>
        <n v="1.772778549554E12"/>
        <n v="1.772788700356E12"/>
        <n v="1.772790694426E12"/>
        <n v="1.772790883586E12"/>
        <n v="1.772792919034E12"/>
        <n v="1.772793980085E12"/>
        <n v="1.772794624512E12"/>
        <n v="1.772794870546E12"/>
        <n v="1.772795396659E12"/>
        <n v="1.772795941363E12"/>
        <n v="1.772796597822E12"/>
        <n v="1.772797540631E12"/>
        <n v="1.772799848289E12"/>
        <n v="1.772800298633E12"/>
        <n v="1.772800384652E12"/>
        <n v="1.772800682193E12"/>
        <n v="1.772802152096E12"/>
        <n v="1.772803687626E12"/>
        <n v="1.772806593468E12"/>
        <n v="1.77281074842E12"/>
        <n v="1.77281099315E12"/>
        <n v="1.772812073525E12"/>
        <n v="1.772812769106E12"/>
        <n v="1.772814623538E12"/>
        <n v="1.77281464353E12"/>
        <n v="1.772814934693E12"/>
        <n v="1.772819966309E12"/>
        <n v="1.772823312334E12"/>
        <n v="1.772823460955E12"/>
        <n v="1.772823564019E12"/>
        <n v="1.7728238982E12"/>
        <n v="1.772824275771E12"/>
        <n v="1.772825364358E12"/>
        <n v="1.772828414198E12"/>
        <n v="1.772829614477E12"/>
        <n v="1.772830142778E12"/>
        <n v="1.772830256001E12"/>
        <n v="1.7728312467E12"/>
        <n v="1.772831283802E12"/>
        <n v="1.772831383435E12"/>
        <n v="1.772831447584E12"/>
        <n v="1.77283204795E12"/>
        <n v="1.772833228157E12"/>
        <n v="1.772833979424E12"/>
        <n v="1.772837075186E12"/>
        <n v="1.772837538321E12"/>
        <n v="1.772839258789E12"/>
        <n v="1.772839570553E12"/>
        <n v="1.77284100792E12"/>
        <n v="1.772842858788E12"/>
        <n v="1.772843297168E12"/>
        <n v="1.772844219917E12"/>
        <n v="1.772844236185E12"/>
        <n v="1.772845395601E12"/>
        <n v="1.772846557672E12"/>
        <n v="1.772846747458E12"/>
        <n v="1.772847638691E12"/>
        <n v="1.772848030342E12"/>
        <n v="1.772849023716E12"/>
        <n v="1.77284960802E12"/>
        <n v="1.772850905099E12"/>
        <n v="1.772851549927E12"/>
        <n v="1.772851823388E12"/>
        <n v="1.772852742256E12"/>
        <n v="1.772852454624E12"/>
        <n v="1.772853045931E12"/>
        <n v="1.772853063171E12"/>
        <n v="1.772853380992E12"/>
        <n v="1.772854341292E12"/>
        <n v="1.77285518506E12"/>
        <n v="1.772855283869E12"/>
        <n v="1.772858601719E12"/>
        <n v="1.7728594342E12"/>
        <n v="1.772864909937E12"/>
        <n v="1.772872465713E12"/>
        <n v="1.772874311072E12"/>
        <n v="1.772878675441E12"/>
        <n v="1.772879978662E12"/>
        <n v="1.772882587974E12"/>
        <n v="1.772882781447E12"/>
        <n v="1.772882810819E12"/>
        <n v="1.772884802406E12"/>
        <n v="1.772885686564E12"/>
        <n v="1.772885981222E12"/>
        <n v="1.772886323236E12"/>
        <n v="1.772886806151E12"/>
        <n v="1.772886886205E12"/>
        <n v="1.772887419761E12"/>
        <n v="1.772887510615E12"/>
        <n v="1.772887926272E12"/>
        <n v="1.772888077125E12"/>
        <n v="1.772888166043E12"/>
        <n v="1.772888399717E12"/>
        <n v="1.772888592896E12"/>
        <n v="1.772888630306E12"/>
        <n v="1.772889927414E12"/>
        <n v="1.772890141662E12"/>
        <n v="1.772890158582E12"/>
        <n v="1.772890195918E12"/>
        <n v="1.772892601474E12"/>
        <n v="1.772893146982E12"/>
        <n v="1.772893291257E12"/>
        <n v="1.772896053271E12"/>
        <n v="1.77289608572E12"/>
        <n v="1.772898351919E12"/>
        <n v="1.77289840264E12"/>
        <n v="1.772898509105E12"/>
        <n v="1.772898526497E12"/>
        <n v="1.772898989467E12"/>
        <n v="1.772899136468E12"/>
        <n v="1.772900413436E12"/>
        <n v="1.772900850579E12"/>
        <n v="1.772905036373E12"/>
        <n v="1.772906737677E12"/>
        <n v="1.772908675352E12"/>
        <n v="1.772908967881E12"/>
        <n v="1.772910751975E12"/>
        <n v="1.7729116543E12"/>
        <n v="1.772913325711E12"/>
        <n v="1.772916377272E12"/>
        <n v="1.772916520522E12"/>
        <n v="1.772916793066E12"/>
        <n v="1.772917421706E12"/>
        <n v="1.772917907363E12"/>
        <n v="1.772918679404E12"/>
        <n v="1.77291869841E12"/>
        <n v="1.772920816461E12"/>
        <n v="1.772921668429E12"/>
        <n v="1.772921689176E12"/>
        <n v="1.772921731389E12"/>
        <n v="1.772922392431E12"/>
        <n v="1.772923662596E12"/>
        <n v="1.772925402672E12"/>
        <n v="1.772925502053E12"/>
        <n v="1.772925650056E12"/>
        <n v="1.772925870218E12"/>
        <n v="1.772927527491E12"/>
        <n v="1.772928865447E12"/>
        <n v="1.772929239591E12"/>
        <n v="1.772929495519E12"/>
        <n v="1.772931271053E12"/>
        <n v="1.772934279576E12"/>
        <n v="1.772935205284E12"/>
        <n v="1.772936948383E12"/>
        <n v="1.772937090048E12"/>
        <n v="1.772937423632E12"/>
        <n v="1.772938208896E12"/>
        <n v="1.772938242039E12"/>
        <n v="1.772940812134E12"/>
        <n v="1.772941433789E12"/>
        <n v="1.772942067625E12"/>
        <n v="1.772942440544E12"/>
        <n v="1.772942769154E12"/>
        <n v="1.772943744296E12"/>
        <n v="1.77294378854E12"/>
        <n v="1.772944421992E12"/>
        <n v="1.772944519164E12"/>
        <n v="1.772944737141E12"/>
        <n v="1.772944824358E12"/>
        <n v="1.772944945051E12"/>
        <n v="1.772945694221E12"/>
        <n v="1.772945822668E12"/>
        <n v="1.772946614172E12"/>
        <n v="1.772949484981E12"/>
        <n v="1.772949998191E12"/>
        <n v="1.7729508828E12"/>
        <n v="1.772950927579E12"/>
        <n v="1.772952651042E12"/>
        <n v="1.772953471852E12"/>
        <n v="1.772954981563E12"/>
        <n v="1.772955796736E12"/>
        <n v="1.772959003062E12"/>
        <n v="1.772968005342E12"/>
        <n v="1.772969001099E12"/>
        <n v="1.772969516574E12"/>
        <n v="1.772971016475E12"/>
        <n v="1.772972584672E12"/>
        <n v="1.772973247181E12"/>
        <n v="1.77297361813E12"/>
        <n v="1.772974246721E12"/>
        <n v="1.772974460575E12"/>
        <n v="1.772975053742E12"/>
        <n v="1.772976463708E12"/>
        <n v="1.772977153948E12"/>
        <n v="1.772978958872E12"/>
        <n v="1.772979249121E12"/>
        <n v="1.772979722737E12"/>
        <n v="1.772980058507E12"/>
        <n v="1.772980314209E12"/>
        <n v="1.772980825847E12"/>
        <n v="1.772981133982E12"/>
        <n v="1.772981867347E12"/>
        <n v="1.772982371909E12"/>
        <n v="1.772982476227E12"/>
        <n v="1.772982576988E12"/>
        <n v="1.772982754534E12"/>
        <n v="1.772983152172E12"/>
        <n v="1.772983156522E12"/>
        <n v="1.772983423998E12"/>
        <n v="1.772983425838E12"/>
        <n v="1.772983856901E12"/>
        <n v="1.772985096583E12"/>
        <n v="1.772985232864E12"/>
        <n v="1.77298626338E12"/>
        <n v="1.772986855941E12"/>
        <n v="1.772987630092E12"/>
        <n v="1.772988123792E12"/>
        <n v="1.772988521149E12"/>
        <n v="1.772988732486E12"/>
        <n v="1.772989938272E12"/>
        <n v="1.77299040697E12"/>
        <n v="1.772990511453E12"/>
        <n v="1.772990793968E12"/>
        <n v="1.772991672826E12"/>
        <n v="1.772992042338E12"/>
        <n v="1.772995254269E12"/>
        <n v="1.772996098986E12"/>
        <n v="1.77299663767E12"/>
        <n v="1.772996686487E12"/>
        <n v="1.772997984126E12"/>
        <n v="1.772998125842E12"/>
        <n v="1.772998199571E12"/>
        <n v="1.77300075264E12"/>
        <n v="1.773000813049E12"/>
        <n v="1.773001756877E12"/>
        <n v="1.7730036548E12"/>
        <n v="1.773004489059E12"/>
        <n v="1.773005880155E12"/>
        <n v="1.77300818362E12"/>
        <n v="1.773008713217E12"/>
        <n v="1.773009483483E12"/>
        <n v="1.773010059221E12"/>
        <n v="1.773010813301E12"/>
        <n v="1.773011628275E12"/>
        <n v="1.773012569054E12"/>
        <n v="1.773014060272E12"/>
        <n v="1.773014891531E12"/>
        <n v="1.773015893399E12"/>
        <n v="1.773016577543E12"/>
        <n v="1.773017131525E12"/>
        <n v="1.773018365228E12"/>
        <n v="1.77301855157E12"/>
        <n v="1.773019886173E12"/>
        <n v="1.773021501668E12"/>
        <n v="1.773022174682E12"/>
        <n v="1.773022265027E12"/>
        <n v="1.77302230434E12"/>
        <n v="1.773022994248E12"/>
        <n v="1.773023018069E12"/>
        <n v="1.773023690894E12"/>
        <n v="1.773024137586E12"/>
        <n v="1.773024692969E12"/>
        <n v="1.773025529356E12"/>
        <n v="1.773025745423E12"/>
        <n v="1.773025889235E12"/>
        <n v="1.773026705284E12"/>
        <n v="1.773026846726E12"/>
        <n v="1.77302706624E12"/>
        <n v="1.77302820555E12"/>
        <n v="1.773028242334E12"/>
        <n v="1.773028528198E12"/>
        <n v="1.773028775888E12"/>
        <n v="1.773028992984E12"/>
        <n v="1.773029523486E12"/>
        <n v="1.773031143791E12"/>
        <n v="1.773031547202E12"/>
        <n v="1.773031562317E12"/>
        <n v="1.773031572225E12"/>
        <n v="1.773033951218E12"/>
        <n v="1.773034336287E12"/>
        <n v="1.773034670406E12"/>
        <n v="1.773035485707E12"/>
        <n v="1.773037475535E12"/>
        <n v="1.77304337791E12"/>
        <n v="1.773043637289E12"/>
        <n v="1.773046605445E12"/>
        <n v="1.773046691382E12"/>
        <n v="1.773050668096E12"/>
        <n v="1.773051985049E12"/>
        <n v="1.773052728076E12"/>
        <n v="1.773056431978E12"/>
        <n v="1.77305675838E12"/>
        <n v="1.773057965885E12"/>
        <n v="1.77305810968E12"/>
        <n v="1.773058560379E12"/>
        <n v="1.773059131431E12"/>
        <n v="1.773059971752E12"/>
        <n v="1.773060634541E12"/>
        <n v="1.773060818873E12"/>
        <n v="1.773061062303E12"/>
        <n v="1.773061050834E12"/>
        <n v="1.773061946794E12"/>
        <n v="1.77306235635E12"/>
        <n v="1.773062608995E12"/>
        <n v="1.773063058074E12"/>
        <n v="1.77306314554E12"/>
        <n v="1.773064211896E12"/>
        <n v="1.773064546711E12"/>
        <n v="1.773065297438E12"/>
        <n v="1.773066169446E12"/>
        <n v="1.773066416207E12"/>
        <n v="1.773066521506E12"/>
        <n v="1.773067121489E12"/>
        <n v="1.77306813633E12"/>
        <n v="1.773068749185E12"/>
        <n v="1.773068859328E12"/>
        <n v="1.773070788717E12"/>
        <n v="1.773072342523E12"/>
        <n v="1.773072622439E12"/>
        <n v="1.773072755197E12"/>
        <n v="1.773075525479E12"/>
        <n v="1.773075822257E12"/>
        <n v="1.773075908126E12"/>
        <n v="1.773076253613E12"/>
        <n v="1.77307633471E12"/>
        <n v="1.773076607631E12"/>
        <n v="1.773078810898E12"/>
        <n v="1.773080205746E12"/>
        <n v="1.773080540866E12"/>
        <n v="1.773080888221E12"/>
        <n v="1.773082631114E12"/>
        <n v="1.773086170985E12"/>
        <n v="1.77308625096E12"/>
        <n v="1.773087387576E12"/>
        <n v="1.773088080658E12"/>
        <n v="1.773088961856E12"/>
        <n v="1.773089602165E12"/>
        <n v="1.773092409296E12"/>
        <n v="1.773092943024E12"/>
        <n v="1.773093251417E12"/>
        <n v="1.773093332936E12"/>
        <n v="1.773093415808E12"/>
        <n v="1.773094071067E12"/>
        <n v="1.77309453915E12"/>
        <n v="1.773094626062E12"/>
        <n v="1.773094932107E12"/>
        <n v="1.773096165627E12"/>
        <n v="1.773097513409E12"/>
        <n v="1.773098170235E12"/>
        <n v="1.773098414668E12"/>
        <n v="1.773099467534E12"/>
        <n v="1.77310018972E12"/>
        <n v="1.77310055311E12"/>
        <n v="1.773101239716E12"/>
        <n v="1.773101568893E12"/>
        <n v="1.773102192706E12"/>
        <n v="1.773102340376E12"/>
        <n v="1.773103130615E12"/>
        <n v="1.773104247356E12"/>
        <n v="1.773105955069E12"/>
        <n v="1.773106616923E12"/>
        <n v="1.773107560513E12"/>
        <n v="1.773107824561E12"/>
        <n v="1.773108291552E12"/>
        <n v="1.773108730351E12"/>
        <n v="1.773110104844E12"/>
        <n v="1.773110425291E12"/>
        <n v="1.773110818244E12"/>
        <n v="1.773111102387E12"/>
        <n v="1.773111155732E12"/>
        <n v="1.773111457333E12"/>
        <n v="1.773112957085E12"/>
        <n v="1.773113213905E12"/>
        <n v="1.773113959421E12"/>
        <n v="1.773114012169E12"/>
        <n v="1.773114066317E12"/>
        <n v="1.773114429037E12"/>
        <n v="1.773115179833E12"/>
        <n v="1.773115636228E12"/>
        <n v="1.773115804201E12"/>
        <n v="1.773115884969E12"/>
        <n v="1.773116774348E12"/>
        <n v="1.773117930384E12"/>
        <n v="1.773118390861E12"/>
        <n v="1.773119459779E12"/>
        <n v="1.773121840838E12"/>
        <n v="1.773122090318E12"/>
        <n v="1.773123825318E12"/>
        <n v="1.773125769803E12"/>
        <n v="1.773130723896E12"/>
        <n v="1.773140420007E12"/>
        <n v="1.773142111426E12"/>
        <n v="1.773144164365E12"/>
        <n v="1.773144660394E12"/>
        <n v="1.773144883226E12"/>
        <n v="1.773144957585E12"/>
        <n v="1.773145388435E12"/>
        <n v="1.773145747597E12"/>
        <n v="1.773146146876E12"/>
        <n v="1.77314641503E12"/>
        <n v="1.773146599281E12"/>
        <n v="1.773146725174E12"/>
        <n v="1.773146848405E12"/>
        <n v="1.773146927106E12"/>
        <n v="1.773147715593E12"/>
        <n v="1.773148954001E12"/>
        <n v="1.773149755678E12"/>
        <n v="1.773150071763E12"/>
        <n v="1.773150755359E12"/>
        <n v="1.77315075253E12"/>
        <n v="1.773151305214E12"/>
        <n v="1.773151996427E12"/>
        <n v="1.773153206406E12"/>
        <n v="1.773153408115E12"/>
        <n v="1.773154417075E12"/>
        <n v="1.773156196148E12"/>
        <n v="1.773156272639E12"/>
        <n v="1.773157261642E12"/>
        <n v="1.773157811899E12"/>
        <n v="1.773157940609E12"/>
        <n v="1.773159592047E12"/>
        <n v="1.773159931851E12"/>
        <n v="1.773160445695E12"/>
        <n v="1.773160710402E12"/>
        <n v="1.773161251395E12"/>
        <n v="1.773161908663E12"/>
        <n v="1.773162078023E12"/>
        <n v="1.773162545206E12"/>
        <n v="1.773162613507E12"/>
        <n v="1.773164593411E12"/>
        <n v="1.773164664251E12"/>
        <n v="1.77316646462E12"/>
        <n v="1.773166577657E12"/>
        <n v="1.773166742901E12"/>
        <n v="1.773167330703E12"/>
        <n v="1.773167485356E12"/>
        <n v="1.773168431882E12"/>
        <n v="1.773169441516E12"/>
        <n v="1.773170198579E12"/>
        <n v="1.773170319062E12"/>
        <n v="1.773172101261E12"/>
        <n v="1.773172140876E12"/>
        <n v="1.773172541613E12"/>
        <n v="1.77317378829E12"/>
        <n v="1.773174061346E12"/>
        <n v="1.773174398608E12"/>
        <n v="1.773175784285E12"/>
        <n v="1.773178380494E12"/>
        <n v="1.773178432216E12"/>
        <n v="1.773180114132E12"/>
        <n v="1.773181031256E12"/>
        <n v="1.773182331497E12"/>
        <n v="1.773183581496E12"/>
        <n v="1.773183859981E12"/>
        <n v="1.773187348975E12"/>
        <n v="1.773187625742E12"/>
        <n v="1.773188508141E12"/>
        <n v="1.773188670161E12"/>
        <n v="1.773189262812E12"/>
        <n v="1.773190207111E12"/>
        <n v="1.77319062438E12"/>
        <n v="1.773192828842E12"/>
        <n v="1.773193284706E12"/>
        <n v="1.773194808972E12"/>
        <n v="1.773195494805E12"/>
        <n v="1.773196222589E12"/>
        <n v="1.773196330966E12"/>
        <n v="1.773196881504E12"/>
        <n v="1.77319698696E12"/>
        <n v="1.773197108878E12"/>
        <n v="1.77319810631E12"/>
        <n v="1.773201037692E12"/>
        <n v="1.77320130143E12"/>
        <n v="1.773201703851E12"/>
        <n v="1.773201745327E12"/>
        <n v="1.773202296655E12"/>
        <n v="1.773202690616E12"/>
        <n v="1.77320491956E12"/>
        <n v="1.77320518135E12"/>
        <n v="1.773205026643E12"/>
        <n v="1.773206181859E12"/>
        <n v="1.773209030776E12"/>
        <n v="1.773209214537E12"/>
        <n v="1.773209959512E12"/>
        <n v="1.773210648837E12"/>
        <n v="1.773212631298E12"/>
        <n v="1.773216279866E12"/>
        <n v="1.773217434885E12"/>
        <n v="1.773222558342E12"/>
        <n v="1.7732259746E12"/>
        <n v="1.773226412784E12"/>
        <n v="1.773226425296E12"/>
        <n v="1.773228138206E12"/>
        <n v="1.773228592033E12"/>
        <n v="1.773229239121E12"/>
        <n v="1.773230431117E12"/>
        <n v="1.773231518083E12"/>
        <n v="1.773231664715E12"/>
        <n v="1.773232492178E12"/>
        <n v="1.773233158958E1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ources" cacheId="0" dataCaption="" compact="0" compactData="0">
  <location ref="A3:I70" firstHeaderRow="0" firstDataRow="2" firstDataCol="1" rowPageCount="1" colPageCount="1"/>
  <pivotFields>
    <pivotField name="Id de registr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t="default"/>
      </items>
    </pivotField>
    <pivotField name="Celul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t="default"/>
      </items>
    </pivotField>
    <pivotField name="Prioridade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prietário" axis="axisCol" compact="0" outline="0" multipleItemSelectionAllowed="1" showAll="0" sortType="descending">
      <items>
        <item x="4"/>
        <item x="5"/>
        <item x="0"/>
        <item x="1"/>
        <item x="2"/>
        <item x="3"/>
        <item t="default"/>
      </items>
    </pivotField>
    <pivotField name="Indúst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# de Ped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nais de ven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Por onde encontrou?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TM&#10;sourc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TM&#10;campaing" axis="axisRow" compact="0" outline="0" multipleItemSelectionAllowed="1" showAll="0" sortType="ascending">
      <items>
        <item x="2"/>
        <item x="17"/>
        <item x="21"/>
        <item x="53"/>
        <item x="12"/>
        <item x="4"/>
        <item x="39"/>
        <item x="1"/>
        <item x="11"/>
        <item x="46"/>
        <item x="18"/>
        <item x="25"/>
        <item x="43"/>
        <item x="40"/>
        <item x="48"/>
        <item x="10"/>
        <item x="20"/>
        <item x="34"/>
        <item x="37"/>
        <item x="35"/>
        <item x="36"/>
        <item x="42"/>
        <item x="28"/>
        <item x="9"/>
        <item x="49"/>
        <item x="13"/>
        <item x="27"/>
        <item x="26"/>
        <item x="3"/>
        <item x="45"/>
        <item x="44"/>
        <item x="22"/>
        <item x="5"/>
        <item x="0"/>
        <item x="50"/>
        <item x="32"/>
        <item x="33"/>
        <item x="51"/>
        <item x="6"/>
        <item x="7"/>
        <item x="38"/>
        <item x="24"/>
        <item x="29"/>
        <item x="23"/>
        <item x="31"/>
        <item x="8"/>
        <item x="30"/>
        <item x="19"/>
        <item x="15"/>
        <item x="41"/>
        <item x="16"/>
        <item x="47"/>
        <item x="52"/>
        <item x="14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t="default"/>
      </items>
    </pivotField>
  </pivotFields>
  <rowFields>
    <field x="9"/>
    <field x="10"/>
  </rowFields>
  <colFields>
    <field x="4"/>
  </colFields>
  <pageFields>
    <pageField fld="3"/>
  </pageFields>
  <dataFields>
    <dataField name="COUNTA of Id de registro" fld="0" subtotal="count" baseField="0"/>
  </dataFields>
</pivotTableDefinition>
</file>

<file path=xl/pivotTables/pivotTable2.xml><?xml version="1.0" encoding="utf-8"?>
<pivotTableDefinition xmlns="http://schemas.openxmlformats.org/spreadsheetml/2006/main" name="sources PQLs" cacheId="0" dataCaption="" compact="0" compactData="0">
  <location ref="A3:I39" firstHeaderRow="0" firstDataRow="2" firstDataCol="1" rowPageCount="1" colPageCount="1"/>
  <pivotFields>
    <pivotField name="Id de registr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t="default"/>
      </items>
    </pivotField>
    <pivotField name="Celul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t="default"/>
      </items>
    </pivotField>
    <pivotField name="Prioridade" axis="axisPage" compact="0" outline="0" multipleItemSelectionAllowed="1" showAll="0">
      <items>
        <item h="1" x="0"/>
        <item x="1"/>
        <item h="1" x="2"/>
        <item x="3"/>
        <item h="1" x="4"/>
        <item t="default"/>
      </items>
    </pivotField>
    <pivotField name="Proprietário" axis="axisCol" compact="0" outline="0" multipleItemSelectionAllowed="1" showAll="0" sortType="descending">
      <items>
        <item x="4"/>
        <item x="5"/>
        <item x="0"/>
        <item x="1"/>
        <item x="2"/>
        <item x="3"/>
        <item t="default"/>
      </items>
    </pivotField>
    <pivotField name="Indúst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# de Ped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nais de ven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Por onde encontrou?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TM&#10;sourc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TM&#10;campaing" axis="axisRow" compact="0" outline="0" multipleItemSelectionAllowed="1" showAll="0" sortType="ascending">
      <items>
        <item x="2"/>
        <item x="17"/>
        <item x="21"/>
        <item x="53"/>
        <item x="12"/>
        <item x="4"/>
        <item x="39"/>
        <item x="1"/>
        <item x="11"/>
        <item x="46"/>
        <item x="18"/>
        <item x="25"/>
        <item x="43"/>
        <item x="40"/>
        <item x="48"/>
        <item x="10"/>
        <item x="20"/>
        <item x="34"/>
        <item x="37"/>
        <item x="35"/>
        <item x="36"/>
        <item x="42"/>
        <item x="28"/>
        <item x="9"/>
        <item x="49"/>
        <item x="13"/>
        <item x="27"/>
        <item x="26"/>
        <item x="3"/>
        <item x="45"/>
        <item x="44"/>
        <item x="22"/>
        <item x="5"/>
        <item x="0"/>
        <item x="50"/>
        <item x="32"/>
        <item x="33"/>
        <item x="51"/>
        <item x="6"/>
        <item x="7"/>
        <item x="38"/>
        <item x="24"/>
        <item x="29"/>
        <item x="23"/>
        <item x="31"/>
        <item x="8"/>
        <item x="30"/>
        <item x="19"/>
        <item x="15"/>
        <item x="41"/>
        <item x="16"/>
        <item x="47"/>
        <item x="52"/>
        <item x="14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t="default"/>
      </items>
    </pivotField>
  </pivotFields>
  <rowFields>
    <field x="9"/>
    <field x="10"/>
  </rowFields>
  <colFields>
    <field x="4"/>
  </colFields>
  <pageFields>
    <pageField fld="3"/>
  </pageFields>
  <dataFields>
    <dataField name="COUNTA of Id de registro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22T15:53:25.00" personId="{efa69b55-5005-4cac-9d6f-4b4084bb6cea}" id="{5fe53d36-558b-48e4-b752-063d8997b712}" done="0">
    <x18tc:text xml:space="preserve">RAFA's user</x18tc:text>
  </x18tc:threadedComment>
  <x18tc:threadedComment ref="A1" dT="2025-12-09T13:06:36.00" personId="{efa69b55-5005-4cac-9d6f-4b4084bb6cea}" id="{f9504c48-7f74-41c9-8f2a-3e1d1e1bc016}" done="1">
    <x18tc:text xml:space="preserve">Rafa (BR)</x18tc:text>
  </x18tc:threadedComment>
  <x18tc:threadedComment ref="A1" dT="2026-01-06T15:48:23.00" personId="{efa69b55-5005-4cac-9d6f-4b4084bb6cea}" id="{941acb1b-cacc-405a-bc30-b59782e6109c}" done="0">
    <x18tc:text xml:space="preserve">ID
Luis	122937812
Jorge chu	85569856
Pablo	80566583
Rafa	79360573
Sebas	1660577231
Diego	1626259938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" dT="2026-01-06T15:48:49.00" personId="{efa69b55-5005-4cac-9d6f-4b4084bb6cea}" id="{48885dee-f3ae-4300-a054-6a152207f018}" done="0">
    <x18tc:text xml:space="preserve">ID
Luis	122937812
Jorge chu	85569856
Pablo	80566583
Rafa	79360573
Sebas	1660577231
Diego	1626259938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uth0.yavendio.com/" TargetMode="External"/><Relationship Id="rId42" Type="http://schemas.openxmlformats.org/officeDocument/2006/relationships/hyperlink" Target="http://auth0.yavendio.com/" TargetMode="External"/><Relationship Id="rId41" Type="http://schemas.openxmlformats.org/officeDocument/2006/relationships/hyperlink" Target="http://auth0.yavendio.com/" TargetMode="External"/><Relationship Id="rId44" Type="http://schemas.openxmlformats.org/officeDocument/2006/relationships/hyperlink" Target="http://auth0.yavendio.com/" TargetMode="External"/><Relationship Id="rId43" Type="http://schemas.openxmlformats.org/officeDocument/2006/relationships/hyperlink" Target="http://auth0.yavendio.com/" TargetMode="External"/><Relationship Id="rId46" Type="http://schemas.openxmlformats.org/officeDocument/2006/relationships/hyperlink" Target="http://auth0.yavendio.com/" TargetMode="External"/><Relationship Id="rId45" Type="http://schemas.openxmlformats.org/officeDocument/2006/relationships/hyperlink" Target="http://auth0.yavendio.com/" TargetMode="External"/><Relationship Id="rId107" Type="http://schemas.openxmlformats.org/officeDocument/2006/relationships/hyperlink" Target="http://auth0.yavendio.com/" TargetMode="External"/><Relationship Id="rId106" Type="http://schemas.openxmlformats.org/officeDocument/2006/relationships/hyperlink" Target="http://auth0.yavendio.com/" TargetMode="External"/><Relationship Id="rId105" Type="http://schemas.openxmlformats.org/officeDocument/2006/relationships/hyperlink" Target="http://auth0.yavendio.com/" TargetMode="External"/><Relationship Id="rId104" Type="http://schemas.openxmlformats.org/officeDocument/2006/relationships/hyperlink" Target="http://auth0.yavendio.com/" TargetMode="External"/><Relationship Id="rId109" Type="http://schemas.openxmlformats.org/officeDocument/2006/relationships/hyperlink" Target="http://auth0.yavendio.com/" TargetMode="External"/><Relationship Id="rId108" Type="http://schemas.openxmlformats.org/officeDocument/2006/relationships/hyperlink" Target="http://auth0.yavendio.com/" TargetMode="External"/><Relationship Id="rId48" Type="http://schemas.openxmlformats.org/officeDocument/2006/relationships/hyperlink" Target="http://auth0.yavendio.com/" TargetMode="External"/><Relationship Id="rId47" Type="http://schemas.openxmlformats.org/officeDocument/2006/relationships/hyperlink" Target="http://auth0.yavendio.com/" TargetMode="External"/><Relationship Id="rId49" Type="http://schemas.openxmlformats.org/officeDocument/2006/relationships/hyperlink" Target="http://auth0.yavendio.com/" TargetMode="External"/><Relationship Id="rId103" Type="http://schemas.openxmlformats.org/officeDocument/2006/relationships/hyperlink" Target="http://auth0.yavendio.com/" TargetMode="External"/><Relationship Id="rId102" Type="http://schemas.openxmlformats.org/officeDocument/2006/relationships/hyperlink" Target="http://auth0.yavendio.com/" TargetMode="External"/><Relationship Id="rId101" Type="http://schemas.openxmlformats.org/officeDocument/2006/relationships/hyperlink" Target="http://auth0.yavendio.com/" TargetMode="External"/><Relationship Id="rId100" Type="http://schemas.openxmlformats.org/officeDocument/2006/relationships/hyperlink" Target="http://auth0.yavendio.com/" TargetMode="External"/><Relationship Id="rId31" Type="http://schemas.openxmlformats.org/officeDocument/2006/relationships/hyperlink" Target="http://auth0.yavendio.com/" TargetMode="External"/><Relationship Id="rId30" Type="http://schemas.openxmlformats.org/officeDocument/2006/relationships/hyperlink" Target="http://acceso.protocoloia.com/" TargetMode="External"/><Relationship Id="rId33" Type="http://schemas.openxmlformats.org/officeDocument/2006/relationships/hyperlink" Target="http://auth0.yavendio.com/" TargetMode="External"/><Relationship Id="rId32" Type="http://schemas.openxmlformats.org/officeDocument/2006/relationships/hyperlink" Target="http://auth0.yavendio.com/" TargetMode="External"/><Relationship Id="rId35" Type="http://schemas.openxmlformats.org/officeDocument/2006/relationships/hyperlink" Target="http://auth0.yavendio.com/" TargetMode="External"/><Relationship Id="rId34" Type="http://schemas.openxmlformats.org/officeDocument/2006/relationships/hyperlink" Target="http://auth0.yavendio.com/" TargetMode="External"/><Relationship Id="rId37" Type="http://schemas.openxmlformats.org/officeDocument/2006/relationships/hyperlink" Target="http://auth0.yavendio.com/" TargetMode="External"/><Relationship Id="rId36" Type="http://schemas.openxmlformats.org/officeDocument/2006/relationships/hyperlink" Target="http://auth0.yavendio.com/" TargetMode="External"/><Relationship Id="rId39" Type="http://schemas.openxmlformats.org/officeDocument/2006/relationships/hyperlink" Target="http://auth0.yavendio.com/" TargetMode="External"/><Relationship Id="rId38" Type="http://schemas.openxmlformats.org/officeDocument/2006/relationships/hyperlink" Target="http://auth0.yavendio.com/" TargetMode="External"/><Relationship Id="rId20" Type="http://schemas.openxmlformats.org/officeDocument/2006/relationships/hyperlink" Target="http://auth0.yavendio.com/" TargetMode="External"/><Relationship Id="rId22" Type="http://schemas.openxmlformats.org/officeDocument/2006/relationships/hyperlink" Target="http://auth0.yavendio.com/" TargetMode="External"/><Relationship Id="rId21" Type="http://schemas.openxmlformats.org/officeDocument/2006/relationships/hyperlink" Target="http://auth0.yavendio.com/" TargetMode="External"/><Relationship Id="rId24" Type="http://schemas.openxmlformats.org/officeDocument/2006/relationships/hyperlink" Target="http://auth0.yavendio.com/" TargetMode="External"/><Relationship Id="rId23" Type="http://schemas.openxmlformats.org/officeDocument/2006/relationships/hyperlink" Target="http://auth0.yavendio.com/" TargetMode="External"/><Relationship Id="rId129" Type="http://schemas.openxmlformats.org/officeDocument/2006/relationships/hyperlink" Target="http://auth0.yavendio.com/" TargetMode="External"/><Relationship Id="rId128" Type="http://schemas.openxmlformats.org/officeDocument/2006/relationships/hyperlink" Target="http://auth0.yavendio.com/" TargetMode="External"/><Relationship Id="rId127" Type="http://schemas.openxmlformats.org/officeDocument/2006/relationships/hyperlink" Target="http://auth0.yavendio.com/" TargetMode="External"/><Relationship Id="rId126" Type="http://schemas.openxmlformats.org/officeDocument/2006/relationships/hyperlink" Target="http://auth0.yavendio.com/" TargetMode="External"/><Relationship Id="rId26" Type="http://schemas.openxmlformats.org/officeDocument/2006/relationships/hyperlink" Target="http://auth0.yavendio.com/" TargetMode="External"/><Relationship Id="rId121" Type="http://schemas.openxmlformats.org/officeDocument/2006/relationships/hyperlink" Target="http://auth0.yavendio.com/" TargetMode="External"/><Relationship Id="rId25" Type="http://schemas.openxmlformats.org/officeDocument/2006/relationships/hyperlink" Target="http://auth0.yavendio.com/" TargetMode="External"/><Relationship Id="rId120" Type="http://schemas.openxmlformats.org/officeDocument/2006/relationships/hyperlink" Target="http://auth0.yavendio.com/" TargetMode="External"/><Relationship Id="rId28" Type="http://schemas.openxmlformats.org/officeDocument/2006/relationships/hyperlink" Target="http://auth0.yavendio.com/" TargetMode="External"/><Relationship Id="rId27" Type="http://schemas.openxmlformats.org/officeDocument/2006/relationships/hyperlink" Target="http://auth0.yavendio.com/" TargetMode="External"/><Relationship Id="rId125" Type="http://schemas.openxmlformats.org/officeDocument/2006/relationships/hyperlink" Target="http://auth0.yavendio.com/" TargetMode="External"/><Relationship Id="rId29" Type="http://schemas.openxmlformats.org/officeDocument/2006/relationships/hyperlink" Target="http://auth0.yavendio.com/" TargetMode="External"/><Relationship Id="rId124" Type="http://schemas.openxmlformats.org/officeDocument/2006/relationships/hyperlink" Target="http://auth0.yavendio.com/" TargetMode="External"/><Relationship Id="rId123" Type="http://schemas.openxmlformats.org/officeDocument/2006/relationships/hyperlink" Target="http://auth0.yavendio.com/" TargetMode="External"/><Relationship Id="rId122" Type="http://schemas.openxmlformats.org/officeDocument/2006/relationships/hyperlink" Target="http://auth0.yavendio.com/" TargetMode="External"/><Relationship Id="rId95" Type="http://schemas.openxmlformats.org/officeDocument/2006/relationships/hyperlink" Target="http://auth0.yavendio.com/" TargetMode="External"/><Relationship Id="rId94" Type="http://schemas.openxmlformats.org/officeDocument/2006/relationships/hyperlink" Target="http://auth0.yavendio.com/" TargetMode="External"/><Relationship Id="rId97" Type="http://schemas.openxmlformats.org/officeDocument/2006/relationships/hyperlink" Target="http://auth0.yavendio.com/" TargetMode="External"/><Relationship Id="rId96" Type="http://schemas.openxmlformats.org/officeDocument/2006/relationships/hyperlink" Target="http://auth0.yavendio.com/" TargetMode="External"/><Relationship Id="rId11" Type="http://schemas.openxmlformats.org/officeDocument/2006/relationships/hyperlink" Target="http://auth0.yavendio.com/" TargetMode="External"/><Relationship Id="rId99" Type="http://schemas.openxmlformats.org/officeDocument/2006/relationships/hyperlink" Target="http://auth0.yavendio.com/" TargetMode="External"/><Relationship Id="rId10" Type="http://schemas.openxmlformats.org/officeDocument/2006/relationships/hyperlink" Target="http://auth0.yavendio.com/" TargetMode="External"/><Relationship Id="rId98" Type="http://schemas.openxmlformats.org/officeDocument/2006/relationships/hyperlink" Target="http://auth0.yavendio.com/" TargetMode="External"/><Relationship Id="rId13" Type="http://schemas.openxmlformats.org/officeDocument/2006/relationships/hyperlink" Target="http://auth0.yavendio.com/" TargetMode="External"/><Relationship Id="rId12" Type="http://schemas.openxmlformats.org/officeDocument/2006/relationships/hyperlink" Target="http://auth0.yavendio.com/" TargetMode="External"/><Relationship Id="rId91" Type="http://schemas.openxmlformats.org/officeDocument/2006/relationships/hyperlink" Target="http://auth0.yavendio.com/" TargetMode="External"/><Relationship Id="rId90" Type="http://schemas.openxmlformats.org/officeDocument/2006/relationships/hyperlink" Target="http://auth0.yavendio.com/" TargetMode="External"/><Relationship Id="rId93" Type="http://schemas.openxmlformats.org/officeDocument/2006/relationships/hyperlink" Target="http://auth0.yavendio.com/" TargetMode="External"/><Relationship Id="rId92" Type="http://schemas.openxmlformats.org/officeDocument/2006/relationships/hyperlink" Target="http://auth0.yavendio.com/" TargetMode="External"/><Relationship Id="rId118" Type="http://schemas.openxmlformats.org/officeDocument/2006/relationships/hyperlink" Target="http://auth0.yavendio.com/" TargetMode="External"/><Relationship Id="rId117" Type="http://schemas.openxmlformats.org/officeDocument/2006/relationships/hyperlink" Target="http://auth0.yavendio.com/" TargetMode="External"/><Relationship Id="rId116" Type="http://schemas.openxmlformats.org/officeDocument/2006/relationships/hyperlink" Target="http://auth0.yavendio.com/" TargetMode="External"/><Relationship Id="rId115" Type="http://schemas.openxmlformats.org/officeDocument/2006/relationships/hyperlink" Target="http://auth0.yavendio.com/" TargetMode="External"/><Relationship Id="rId119" Type="http://schemas.openxmlformats.org/officeDocument/2006/relationships/hyperlink" Target="http://auth0.yavendio.com/" TargetMode="External"/><Relationship Id="rId15" Type="http://schemas.openxmlformats.org/officeDocument/2006/relationships/hyperlink" Target="http://auth0.yavendio.com/" TargetMode="External"/><Relationship Id="rId110" Type="http://schemas.openxmlformats.org/officeDocument/2006/relationships/hyperlink" Target="http://auth0.yavendio.com/" TargetMode="External"/><Relationship Id="rId14" Type="http://schemas.openxmlformats.org/officeDocument/2006/relationships/hyperlink" Target="http://acceso.protocoloia.com/" TargetMode="External"/><Relationship Id="rId17" Type="http://schemas.openxmlformats.org/officeDocument/2006/relationships/hyperlink" Target="http://auth0.yavendio.com/" TargetMode="External"/><Relationship Id="rId16" Type="http://schemas.openxmlformats.org/officeDocument/2006/relationships/hyperlink" Target="http://auth0.yavendio.com/" TargetMode="External"/><Relationship Id="rId19" Type="http://schemas.openxmlformats.org/officeDocument/2006/relationships/hyperlink" Target="http://auth0.yavendio.com/" TargetMode="External"/><Relationship Id="rId114" Type="http://schemas.openxmlformats.org/officeDocument/2006/relationships/hyperlink" Target="http://auth0.yavendio.com/" TargetMode="External"/><Relationship Id="rId18" Type="http://schemas.openxmlformats.org/officeDocument/2006/relationships/hyperlink" Target="http://auth0.yavendio.com/" TargetMode="External"/><Relationship Id="rId113" Type="http://schemas.openxmlformats.org/officeDocument/2006/relationships/hyperlink" Target="http://auth0.yavendio.com/" TargetMode="External"/><Relationship Id="rId112" Type="http://schemas.openxmlformats.org/officeDocument/2006/relationships/hyperlink" Target="http://auth0.yavendio.com/" TargetMode="External"/><Relationship Id="rId111" Type="http://schemas.openxmlformats.org/officeDocument/2006/relationships/hyperlink" Target="http://auth0.yavendio.com/" TargetMode="External"/><Relationship Id="rId84" Type="http://schemas.openxmlformats.org/officeDocument/2006/relationships/hyperlink" Target="http://auth0.yavendio.com/" TargetMode="External"/><Relationship Id="rId83" Type="http://schemas.openxmlformats.org/officeDocument/2006/relationships/hyperlink" Target="http://auth0.yavendio.com/" TargetMode="External"/><Relationship Id="rId86" Type="http://schemas.openxmlformats.org/officeDocument/2006/relationships/hyperlink" Target="http://auth0.yavendio.com/" TargetMode="External"/><Relationship Id="rId85" Type="http://schemas.openxmlformats.org/officeDocument/2006/relationships/hyperlink" Target="http://auth0.yavendio.com/" TargetMode="External"/><Relationship Id="rId88" Type="http://schemas.openxmlformats.org/officeDocument/2006/relationships/hyperlink" Target="http://auth0.yavendio.com/" TargetMode="External"/><Relationship Id="rId87" Type="http://schemas.openxmlformats.org/officeDocument/2006/relationships/hyperlink" Target="http://auth0.yavendio.com/" TargetMode="External"/><Relationship Id="rId89" Type="http://schemas.openxmlformats.org/officeDocument/2006/relationships/hyperlink" Target="http://auth0.yavendio.com/" TargetMode="External"/><Relationship Id="rId80" Type="http://schemas.openxmlformats.org/officeDocument/2006/relationships/hyperlink" Target="http://auth0.yavendio.com/" TargetMode="External"/><Relationship Id="rId82" Type="http://schemas.openxmlformats.org/officeDocument/2006/relationships/hyperlink" Target="http://auth0.yavendio.com/" TargetMode="External"/><Relationship Id="rId81" Type="http://schemas.openxmlformats.org/officeDocument/2006/relationships/hyperlink" Target="http://auth0.yavendio.com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auth0.yavendio.com/" TargetMode="External"/><Relationship Id="rId9" Type="http://schemas.openxmlformats.org/officeDocument/2006/relationships/hyperlink" Target="http://auth0.yavendio.com/" TargetMode="External"/><Relationship Id="rId143" Type="http://schemas.openxmlformats.org/officeDocument/2006/relationships/hyperlink" Target="http://auth0.yavendio.com/" TargetMode="External"/><Relationship Id="rId142" Type="http://schemas.openxmlformats.org/officeDocument/2006/relationships/hyperlink" Target="http://auth0.yavendio.com/" TargetMode="External"/><Relationship Id="rId141" Type="http://schemas.openxmlformats.org/officeDocument/2006/relationships/hyperlink" Target="http://auth0.yavendio.com/" TargetMode="External"/><Relationship Id="rId140" Type="http://schemas.openxmlformats.org/officeDocument/2006/relationships/hyperlink" Target="http://auth0.yavendio.com/" TargetMode="External"/><Relationship Id="rId5" Type="http://schemas.openxmlformats.org/officeDocument/2006/relationships/hyperlink" Target="http://auth0.yavendio.com/" TargetMode="External"/><Relationship Id="rId147" Type="http://schemas.openxmlformats.org/officeDocument/2006/relationships/vmlDrawing" Target="../drawings/vmlDrawing1.vml"/><Relationship Id="rId6" Type="http://schemas.openxmlformats.org/officeDocument/2006/relationships/hyperlink" Target="http://auth0.yavendio.com/" TargetMode="External"/><Relationship Id="rId146" Type="http://schemas.openxmlformats.org/officeDocument/2006/relationships/drawing" Target="../drawings/drawing1.xml"/><Relationship Id="rId7" Type="http://schemas.openxmlformats.org/officeDocument/2006/relationships/hyperlink" Target="http://auth0.yavendio.com/" TargetMode="External"/><Relationship Id="rId145" Type="http://schemas.openxmlformats.org/officeDocument/2006/relationships/hyperlink" Target="http://auth0.yavendio.com/" TargetMode="External"/><Relationship Id="rId8" Type="http://schemas.openxmlformats.org/officeDocument/2006/relationships/hyperlink" Target="http://auth0.yavendio.com/" TargetMode="External"/><Relationship Id="rId144" Type="http://schemas.openxmlformats.org/officeDocument/2006/relationships/hyperlink" Target="http://auth0.yavendio.com/" TargetMode="External"/><Relationship Id="rId73" Type="http://schemas.openxmlformats.org/officeDocument/2006/relationships/hyperlink" Target="http://auth0.yavendio.com/" TargetMode="External"/><Relationship Id="rId72" Type="http://schemas.openxmlformats.org/officeDocument/2006/relationships/hyperlink" Target="http://auth0.yavendio.com/" TargetMode="External"/><Relationship Id="rId75" Type="http://schemas.openxmlformats.org/officeDocument/2006/relationships/hyperlink" Target="http://auth0.yavendio.com/" TargetMode="External"/><Relationship Id="rId74" Type="http://schemas.openxmlformats.org/officeDocument/2006/relationships/hyperlink" Target="http://auth0.yavendio.com/" TargetMode="External"/><Relationship Id="rId77" Type="http://schemas.openxmlformats.org/officeDocument/2006/relationships/hyperlink" Target="http://auth0.yavendio.com/" TargetMode="External"/><Relationship Id="rId76" Type="http://schemas.openxmlformats.org/officeDocument/2006/relationships/hyperlink" Target="http://auth0.yavendio.com/" TargetMode="External"/><Relationship Id="rId79" Type="http://schemas.openxmlformats.org/officeDocument/2006/relationships/hyperlink" Target="http://auth0.yavendio.com/" TargetMode="External"/><Relationship Id="rId78" Type="http://schemas.openxmlformats.org/officeDocument/2006/relationships/hyperlink" Target="http://auth0.yavendio.com/" TargetMode="External"/><Relationship Id="rId71" Type="http://schemas.openxmlformats.org/officeDocument/2006/relationships/hyperlink" Target="http://auth0.yavendio.com/" TargetMode="External"/><Relationship Id="rId70" Type="http://schemas.openxmlformats.org/officeDocument/2006/relationships/hyperlink" Target="http://auth0.yavendio.com/" TargetMode="External"/><Relationship Id="rId139" Type="http://schemas.openxmlformats.org/officeDocument/2006/relationships/hyperlink" Target="http://auth0.yavendio.com/" TargetMode="External"/><Relationship Id="rId138" Type="http://schemas.openxmlformats.org/officeDocument/2006/relationships/hyperlink" Target="http://auth0.yavendio.com/" TargetMode="External"/><Relationship Id="rId137" Type="http://schemas.openxmlformats.org/officeDocument/2006/relationships/hyperlink" Target="http://auth0.yavendio.com/" TargetMode="External"/><Relationship Id="rId132" Type="http://schemas.openxmlformats.org/officeDocument/2006/relationships/hyperlink" Target="http://auth0.yavendio.com/" TargetMode="External"/><Relationship Id="rId131" Type="http://schemas.openxmlformats.org/officeDocument/2006/relationships/hyperlink" Target="http://auth0.yavendio.com/" TargetMode="External"/><Relationship Id="rId130" Type="http://schemas.openxmlformats.org/officeDocument/2006/relationships/hyperlink" Target="http://auth0.yavendio.com/" TargetMode="External"/><Relationship Id="rId136" Type="http://schemas.openxmlformats.org/officeDocument/2006/relationships/hyperlink" Target="http://auth0.yavendio.com/" TargetMode="External"/><Relationship Id="rId135" Type="http://schemas.openxmlformats.org/officeDocument/2006/relationships/hyperlink" Target="http://auth0.yavendio.com/" TargetMode="External"/><Relationship Id="rId134" Type="http://schemas.openxmlformats.org/officeDocument/2006/relationships/hyperlink" Target="http://auth0.yavendio.com/" TargetMode="External"/><Relationship Id="rId133" Type="http://schemas.openxmlformats.org/officeDocument/2006/relationships/hyperlink" Target="http://auth0.yavendio.com/" TargetMode="External"/><Relationship Id="rId62" Type="http://schemas.openxmlformats.org/officeDocument/2006/relationships/hyperlink" Target="http://auth0.yavendio.com/" TargetMode="External"/><Relationship Id="rId61" Type="http://schemas.openxmlformats.org/officeDocument/2006/relationships/hyperlink" Target="http://auth0.yavendio.com/" TargetMode="External"/><Relationship Id="rId64" Type="http://schemas.openxmlformats.org/officeDocument/2006/relationships/hyperlink" Target="http://auth0.yavendio.com/" TargetMode="External"/><Relationship Id="rId63" Type="http://schemas.openxmlformats.org/officeDocument/2006/relationships/hyperlink" Target="http://auth0.yavendio.com/" TargetMode="External"/><Relationship Id="rId66" Type="http://schemas.openxmlformats.org/officeDocument/2006/relationships/hyperlink" Target="http://auth0.yavendio.com/" TargetMode="External"/><Relationship Id="rId65" Type="http://schemas.openxmlformats.org/officeDocument/2006/relationships/hyperlink" Target="http://auth0.yavendio.com/" TargetMode="External"/><Relationship Id="rId68" Type="http://schemas.openxmlformats.org/officeDocument/2006/relationships/hyperlink" Target="http://auth0.yavendio.com/" TargetMode="External"/><Relationship Id="rId67" Type="http://schemas.openxmlformats.org/officeDocument/2006/relationships/hyperlink" Target="http://auth0.yavendio.com/" TargetMode="External"/><Relationship Id="rId60" Type="http://schemas.openxmlformats.org/officeDocument/2006/relationships/hyperlink" Target="http://auth0.yavendio.com/" TargetMode="External"/><Relationship Id="rId69" Type="http://schemas.openxmlformats.org/officeDocument/2006/relationships/hyperlink" Target="http://auth0.yavendio.com/" TargetMode="External"/><Relationship Id="rId51" Type="http://schemas.openxmlformats.org/officeDocument/2006/relationships/hyperlink" Target="http://auth0.yavendio.com/" TargetMode="External"/><Relationship Id="rId50" Type="http://schemas.openxmlformats.org/officeDocument/2006/relationships/hyperlink" Target="http://auth0.yavendio.com/" TargetMode="External"/><Relationship Id="rId53" Type="http://schemas.openxmlformats.org/officeDocument/2006/relationships/hyperlink" Target="http://auth0.yavendio.com/" TargetMode="External"/><Relationship Id="rId52" Type="http://schemas.openxmlformats.org/officeDocument/2006/relationships/hyperlink" Target="http://auth0.yavendio.com/" TargetMode="External"/><Relationship Id="rId55" Type="http://schemas.openxmlformats.org/officeDocument/2006/relationships/hyperlink" Target="http://auth0.yavendio.com/" TargetMode="External"/><Relationship Id="rId54" Type="http://schemas.openxmlformats.org/officeDocument/2006/relationships/hyperlink" Target="http://auth0.yavendio.com/" TargetMode="External"/><Relationship Id="rId57" Type="http://schemas.openxmlformats.org/officeDocument/2006/relationships/hyperlink" Target="http://acceso.protocoloia.com/" TargetMode="External"/><Relationship Id="rId56" Type="http://schemas.openxmlformats.org/officeDocument/2006/relationships/hyperlink" Target="http://auth0.yavendio.com/" TargetMode="External"/><Relationship Id="rId59" Type="http://schemas.openxmlformats.org/officeDocument/2006/relationships/hyperlink" Target="http://auth0.yavendio.com/" TargetMode="External"/><Relationship Id="rId58" Type="http://schemas.openxmlformats.org/officeDocument/2006/relationships/hyperlink" Target="http://auth0.yavendio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pivotTable" Target="../pivotTables/pivotTable1.xml"/><Relationship Id="rId5" Type="http://schemas.openxmlformats.org/officeDocument/2006/relationships/hyperlink" Target="http://acceso.protocoloia.com/" TargetMode="External"/><Relationship Id="rId6" Type="http://schemas.openxmlformats.org/officeDocument/2006/relationships/hyperlink" Target="http://auth0.yavendio.com/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hyperlink" Target="http://acceso.protocoloia.com/" TargetMode="External"/><Relationship Id="rId3" Type="http://schemas.openxmlformats.org/officeDocument/2006/relationships/hyperlink" Target="http://auth0.yavendio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30.25"/>
    <col customWidth="1" min="3" max="4" width="12.5"/>
    <col customWidth="1" min="5" max="5" width="13.5"/>
    <col customWidth="1" min="6" max="7" width="12.5"/>
    <col customWidth="1" min="8" max="8" width="15.38"/>
    <col customWidth="1" min="9" max="9" width="12.5"/>
    <col customWidth="1" min="11" max="11" width="16.75"/>
    <col customWidth="1" min="12" max="12" width="14.75"/>
  </cols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</row>
    <row r="2" ht="22.5" customHeight="1">
      <c r="A2" s="5">
        <v>1.9824398963E11</v>
      </c>
      <c r="B2" s="5" t="s">
        <v>12</v>
      </c>
      <c r="C2" s="5">
        <v>51931386313</v>
      </c>
      <c r="D2" s="5" t="s">
        <v>13</v>
      </c>
      <c r="E2" s="5">
        <v>8.060572E7</v>
      </c>
      <c r="F2" s="5" t="s">
        <v>14</v>
      </c>
      <c r="G2" s="5" t="s">
        <v>15</v>
      </c>
      <c r="H2" s="5" t="s">
        <v>16</v>
      </c>
      <c r="I2" s="6" t="s">
        <v>17</v>
      </c>
      <c r="J2" s="7" t="s">
        <v>18</v>
      </c>
      <c r="K2" s="7" t="s">
        <v>19</v>
      </c>
      <c r="L2" s="8">
        <v>1.769904015511E12</v>
      </c>
      <c r="M2" s="9" t="s">
        <v>20</v>
      </c>
      <c r="N2" s="10"/>
      <c r="O2" s="10"/>
      <c r="P2" s="10"/>
      <c r="Q2" s="10"/>
      <c r="R2" s="10"/>
      <c r="S2" s="10"/>
      <c r="T2" s="10"/>
      <c r="U2" s="10"/>
      <c r="V2" s="10"/>
    </row>
    <row r="3" ht="22.5" customHeight="1">
      <c r="A3" s="5">
        <v>1.98256320407E11</v>
      </c>
      <c r="B3" s="5" t="s">
        <v>21</v>
      </c>
      <c r="C3" s="5">
        <v>51922266495</v>
      </c>
      <c r="D3" s="5" t="s">
        <v>22</v>
      </c>
      <c r="E3" s="5">
        <v>8.0566583E7</v>
      </c>
      <c r="F3" s="5" t="s">
        <v>23</v>
      </c>
      <c r="G3" s="5">
        <v>50</v>
      </c>
      <c r="H3" s="5" t="s">
        <v>24</v>
      </c>
      <c r="I3" s="6" t="s">
        <v>17</v>
      </c>
      <c r="J3" s="7" t="s">
        <v>25</v>
      </c>
      <c r="K3" s="7" t="s">
        <v>26</v>
      </c>
      <c r="L3" s="8">
        <v>1.769906002163E12</v>
      </c>
      <c r="M3" s="9" t="s">
        <v>20</v>
      </c>
      <c r="N3" s="10"/>
      <c r="O3" s="10"/>
      <c r="P3" s="10"/>
      <c r="Q3" s="10"/>
      <c r="R3" s="10"/>
      <c r="S3" s="10"/>
      <c r="T3" s="10"/>
      <c r="U3" s="10"/>
      <c r="V3" s="10"/>
    </row>
    <row r="4" ht="22.5" customHeight="1">
      <c r="A4" s="5">
        <v>1.4273872466E11</v>
      </c>
      <c r="B4" s="5" t="s">
        <v>27</v>
      </c>
      <c r="C4" s="5">
        <v>51979224856</v>
      </c>
      <c r="D4" s="5" t="s">
        <v>13</v>
      </c>
      <c r="E4" s="5">
        <v>8.060572E7</v>
      </c>
      <c r="F4" s="5" t="s">
        <v>28</v>
      </c>
      <c r="G4" s="5" t="s">
        <v>15</v>
      </c>
      <c r="H4" s="5" t="s">
        <v>29</v>
      </c>
      <c r="I4" s="6" t="s">
        <v>17</v>
      </c>
      <c r="J4" s="7" t="s">
        <v>18</v>
      </c>
      <c r="K4" s="7" t="s">
        <v>19</v>
      </c>
      <c r="L4" s="8">
        <v>1.769909296051E12</v>
      </c>
      <c r="M4" s="9" t="s">
        <v>20</v>
      </c>
      <c r="N4" s="10"/>
      <c r="O4" s="10"/>
      <c r="P4" s="10"/>
      <c r="Q4" s="10"/>
      <c r="R4" s="10"/>
      <c r="S4" s="10"/>
      <c r="T4" s="10"/>
      <c r="U4" s="10"/>
      <c r="V4" s="10"/>
    </row>
    <row r="5" ht="22.5" customHeight="1">
      <c r="A5" s="5">
        <v>1.98255622519E11</v>
      </c>
      <c r="B5" s="5" t="s">
        <v>30</v>
      </c>
      <c r="C5" s="5">
        <v>5533998636823</v>
      </c>
      <c r="D5" s="5" t="s">
        <v>13</v>
      </c>
      <c r="E5" s="5">
        <v>7.9360573E7</v>
      </c>
      <c r="F5" s="5" t="s">
        <v>31</v>
      </c>
      <c r="G5" s="5" t="s">
        <v>32</v>
      </c>
      <c r="H5" s="5" t="s">
        <v>33</v>
      </c>
      <c r="I5" s="6" t="s">
        <v>17</v>
      </c>
      <c r="J5" s="7" t="s">
        <v>34</v>
      </c>
      <c r="K5" s="7"/>
      <c r="L5" s="8">
        <v>1.76991052173E12</v>
      </c>
      <c r="M5" s="9" t="s">
        <v>20</v>
      </c>
      <c r="N5" s="10"/>
      <c r="O5" s="10"/>
      <c r="P5" s="10"/>
      <c r="Q5" s="10"/>
      <c r="R5" s="10"/>
      <c r="S5" s="10"/>
      <c r="T5" s="10"/>
      <c r="U5" s="10"/>
      <c r="V5" s="10"/>
    </row>
    <row r="6" ht="22.5" customHeight="1">
      <c r="A6" s="5">
        <v>1.98255475205E11</v>
      </c>
      <c r="B6" s="5" t="s">
        <v>35</v>
      </c>
      <c r="C6" s="5">
        <v>5527997799292</v>
      </c>
      <c r="D6" s="5" t="s">
        <v>13</v>
      </c>
      <c r="E6" s="5">
        <v>7.9360573E7</v>
      </c>
      <c r="F6" s="5" t="s">
        <v>23</v>
      </c>
      <c r="G6" s="5" t="s">
        <v>15</v>
      </c>
      <c r="H6" s="5" t="s">
        <v>24</v>
      </c>
      <c r="I6" s="6" t="s">
        <v>36</v>
      </c>
      <c r="J6" s="7" t="s">
        <v>34</v>
      </c>
      <c r="K6" s="7"/>
      <c r="L6" s="8">
        <v>1.769911231331E12</v>
      </c>
      <c r="M6" s="9" t="s">
        <v>20</v>
      </c>
      <c r="N6" s="10"/>
      <c r="O6" s="10"/>
      <c r="P6" s="10"/>
      <c r="Q6" s="10"/>
      <c r="R6" s="10"/>
      <c r="S6" s="10"/>
      <c r="T6" s="10"/>
      <c r="U6" s="10"/>
      <c r="V6" s="10"/>
    </row>
    <row r="7" ht="22.5" customHeight="1">
      <c r="A7" s="5">
        <v>1.64002674072E11</v>
      </c>
      <c r="B7" s="5" t="s">
        <v>37</v>
      </c>
      <c r="C7" s="5">
        <v>51967380067</v>
      </c>
      <c r="D7" s="5" t="s">
        <v>38</v>
      </c>
      <c r="E7" s="5"/>
      <c r="F7" s="5"/>
      <c r="G7" s="5"/>
      <c r="H7" s="5"/>
      <c r="I7" s="6"/>
      <c r="J7" s="7" t="s">
        <v>25</v>
      </c>
      <c r="K7" s="7"/>
      <c r="L7" s="8">
        <v>1.769912498661E12</v>
      </c>
      <c r="M7" s="9" t="s">
        <v>20</v>
      </c>
      <c r="N7" s="10"/>
      <c r="O7" s="10"/>
      <c r="P7" s="10"/>
      <c r="Q7" s="10"/>
      <c r="R7" s="10"/>
      <c r="S7" s="10"/>
      <c r="T7" s="10"/>
      <c r="U7" s="10"/>
      <c r="V7" s="10"/>
    </row>
    <row r="8" ht="22.5" customHeight="1">
      <c r="A8" s="5">
        <v>1.64002674072E11</v>
      </c>
      <c r="B8" s="5" t="s">
        <v>37</v>
      </c>
      <c r="C8" s="5">
        <v>51967380067</v>
      </c>
      <c r="D8" s="5" t="s">
        <v>13</v>
      </c>
      <c r="E8" s="5">
        <v>8.060572E7</v>
      </c>
      <c r="F8" s="5" t="s">
        <v>39</v>
      </c>
      <c r="G8" s="5" t="s">
        <v>15</v>
      </c>
      <c r="H8" s="5" t="s">
        <v>40</v>
      </c>
      <c r="I8" s="6" t="s">
        <v>17</v>
      </c>
      <c r="J8" s="7" t="s">
        <v>25</v>
      </c>
      <c r="K8" s="7"/>
      <c r="L8" s="8">
        <v>1.769912667966E12</v>
      </c>
      <c r="M8" s="9" t="s">
        <v>20</v>
      </c>
      <c r="N8" s="10"/>
      <c r="O8" s="10"/>
      <c r="P8" s="10"/>
      <c r="Q8" s="10"/>
      <c r="R8" s="10"/>
      <c r="S8" s="10"/>
      <c r="T8" s="10"/>
      <c r="U8" s="10"/>
      <c r="V8" s="10"/>
    </row>
    <row r="9" ht="22.5" customHeight="1">
      <c r="A9" s="5">
        <v>1.98268556573E11</v>
      </c>
      <c r="B9" s="5" t="s">
        <v>41</v>
      </c>
      <c r="C9" s="5">
        <v>51922126304</v>
      </c>
      <c r="D9" s="5" t="s">
        <v>13</v>
      </c>
      <c r="E9" s="5">
        <v>8.060572E7</v>
      </c>
      <c r="F9" s="5" t="s">
        <v>42</v>
      </c>
      <c r="G9" s="5" t="s">
        <v>32</v>
      </c>
      <c r="H9" s="5" t="s">
        <v>16</v>
      </c>
      <c r="I9" s="6" t="s">
        <v>17</v>
      </c>
      <c r="J9" s="7" t="s">
        <v>34</v>
      </c>
      <c r="K9" s="7"/>
      <c r="L9" s="8">
        <v>1.769913039832E12</v>
      </c>
      <c r="M9" s="9" t="s">
        <v>20</v>
      </c>
      <c r="N9" s="10"/>
      <c r="O9" s="10"/>
      <c r="P9" s="10"/>
      <c r="Q9" s="10"/>
      <c r="R9" s="10"/>
      <c r="S9" s="10"/>
      <c r="T9" s="10"/>
      <c r="U9" s="10"/>
      <c r="V9" s="10"/>
    </row>
    <row r="10" ht="22.5" customHeight="1">
      <c r="A10" s="5">
        <v>1.9827108614E11</v>
      </c>
      <c r="B10" s="5" t="s">
        <v>43</v>
      </c>
      <c r="C10" s="5">
        <v>5566996369990</v>
      </c>
      <c r="D10" s="5" t="s">
        <v>22</v>
      </c>
      <c r="E10" s="5">
        <v>7.9360573E7</v>
      </c>
      <c r="F10" s="5" t="s">
        <v>28</v>
      </c>
      <c r="G10" s="5" t="s">
        <v>44</v>
      </c>
      <c r="H10" s="5" t="s">
        <v>24</v>
      </c>
      <c r="I10" s="6" t="s">
        <v>17</v>
      </c>
      <c r="J10" s="7" t="s">
        <v>18</v>
      </c>
      <c r="K10" s="7" t="s">
        <v>45</v>
      </c>
      <c r="L10" s="8">
        <v>1.769914305072E12</v>
      </c>
      <c r="M10" s="9" t="s">
        <v>20</v>
      </c>
      <c r="N10" s="10"/>
      <c r="O10" s="10"/>
      <c r="P10" s="10"/>
      <c r="Q10" s="10"/>
      <c r="R10" s="10"/>
      <c r="S10" s="10"/>
      <c r="T10" s="10"/>
      <c r="U10" s="10"/>
      <c r="V10" s="10"/>
    </row>
    <row r="11" ht="22.5" customHeight="1">
      <c r="A11" s="5">
        <v>1.98266616451E11</v>
      </c>
      <c r="B11" s="5" t="s">
        <v>46</v>
      </c>
      <c r="C11" s="5">
        <v>51995432948</v>
      </c>
      <c r="D11" s="5" t="s">
        <v>22</v>
      </c>
      <c r="E11" s="5">
        <v>8.0566583E7</v>
      </c>
      <c r="F11" s="5" t="s">
        <v>42</v>
      </c>
      <c r="G11" s="5" t="s">
        <v>32</v>
      </c>
      <c r="H11" s="5" t="s">
        <v>16</v>
      </c>
      <c r="I11" s="6" t="s">
        <v>17</v>
      </c>
      <c r="J11" s="7" t="s">
        <v>18</v>
      </c>
      <c r="K11" s="7" t="s">
        <v>19</v>
      </c>
      <c r="L11" s="8">
        <v>1.769916097988E12</v>
      </c>
      <c r="M11" s="9" t="s">
        <v>20</v>
      </c>
      <c r="N11" s="10"/>
      <c r="O11" s="10"/>
      <c r="P11" s="10"/>
      <c r="Q11" s="10"/>
      <c r="R11" s="10"/>
      <c r="S11" s="10"/>
      <c r="T11" s="10"/>
      <c r="U11" s="10"/>
      <c r="V11" s="10"/>
    </row>
    <row r="12" ht="22.5" customHeight="1">
      <c r="A12" s="5">
        <v>1.98273072278E11</v>
      </c>
      <c r="B12" s="5" t="s">
        <v>47</v>
      </c>
      <c r="C12" s="5">
        <v>5571999962332</v>
      </c>
      <c r="D12" s="5" t="s">
        <v>22</v>
      </c>
      <c r="E12" s="5">
        <v>7.9360573E7</v>
      </c>
      <c r="F12" s="5" t="s">
        <v>23</v>
      </c>
      <c r="G12" s="5" t="s">
        <v>44</v>
      </c>
      <c r="H12" s="5" t="s">
        <v>48</v>
      </c>
      <c r="I12" s="6" t="s">
        <v>49</v>
      </c>
      <c r="J12" s="7" t="s">
        <v>34</v>
      </c>
      <c r="K12" s="7"/>
      <c r="L12" s="8">
        <v>1.769916350165E12</v>
      </c>
      <c r="M12" s="9" t="s">
        <v>20</v>
      </c>
      <c r="N12" s="10"/>
      <c r="O12" s="10"/>
      <c r="P12" s="10"/>
      <c r="Q12" s="10"/>
      <c r="R12" s="10"/>
      <c r="S12" s="10"/>
      <c r="T12" s="10"/>
      <c r="U12" s="10"/>
      <c r="V12" s="10"/>
    </row>
    <row r="13" ht="22.5" customHeight="1">
      <c r="A13" s="5">
        <v>1.98270960422E11</v>
      </c>
      <c r="B13" s="5" t="s">
        <v>50</v>
      </c>
      <c r="C13" s="5">
        <v>5599982760066</v>
      </c>
      <c r="D13" s="5" t="s">
        <v>13</v>
      </c>
      <c r="E13" s="5">
        <v>7.9360573E7</v>
      </c>
      <c r="F13" s="5" t="s">
        <v>28</v>
      </c>
      <c r="G13" s="5" t="s">
        <v>15</v>
      </c>
      <c r="H13" s="5" t="s">
        <v>51</v>
      </c>
      <c r="I13" s="6" t="s">
        <v>17</v>
      </c>
      <c r="J13" s="7" t="s">
        <v>34</v>
      </c>
      <c r="K13" s="7"/>
      <c r="L13" s="8">
        <v>1.769917311522E12</v>
      </c>
      <c r="M13" s="9" t="s">
        <v>20</v>
      </c>
      <c r="N13" s="10"/>
      <c r="O13" s="10"/>
      <c r="P13" s="10"/>
      <c r="Q13" s="10"/>
      <c r="R13" s="10"/>
      <c r="S13" s="10"/>
      <c r="T13" s="10"/>
      <c r="U13" s="10"/>
      <c r="V13" s="10"/>
    </row>
    <row r="14" ht="22.5" customHeight="1">
      <c r="A14" s="5">
        <v>1.98281270817E11</v>
      </c>
      <c r="B14" s="5" t="s">
        <v>52</v>
      </c>
      <c r="C14" s="5">
        <v>51991676367</v>
      </c>
      <c r="D14" s="5" t="s">
        <v>13</v>
      </c>
      <c r="E14" s="5">
        <v>8.060572E7</v>
      </c>
      <c r="F14" s="5" t="s">
        <v>14</v>
      </c>
      <c r="G14" s="5">
        <v>50</v>
      </c>
      <c r="H14" s="5" t="s">
        <v>53</v>
      </c>
      <c r="I14" s="6" t="s">
        <v>17</v>
      </c>
      <c r="J14" s="7" t="s">
        <v>25</v>
      </c>
      <c r="K14" s="7" t="s">
        <v>26</v>
      </c>
      <c r="L14" s="8">
        <v>1.769917774212E12</v>
      </c>
      <c r="M14" s="9" t="s">
        <v>20</v>
      </c>
      <c r="N14" s="10"/>
      <c r="O14" s="10"/>
      <c r="P14" s="10"/>
      <c r="Q14" s="10"/>
      <c r="R14" s="10"/>
      <c r="S14" s="10"/>
      <c r="T14" s="10"/>
      <c r="U14" s="10"/>
      <c r="V14" s="10"/>
    </row>
    <row r="15" ht="22.5" customHeight="1">
      <c r="A15" s="5">
        <v>1.98281559461E11</v>
      </c>
      <c r="B15" s="5" t="s">
        <v>54</v>
      </c>
      <c r="C15" s="5">
        <v>51934918445</v>
      </c>
      <c r="D15" s="5" t="s">
        <v>13</v>
      </c>
      <c r="E15" s="5">
        <v>8.060572E7</v>
      </c>
      <c r="F15" s="5" t="s">
        <v>39</v>
      </c>
      <c r="G15" s="5" t="s">
        <v>15</v>
      </c>
      <c r="H15" s="5" t="s">
        <v>51</v>
      </c>
      <c r="I15" s="6" t="s">
        <v>17</v>
      </c>
      <c r="J15" s="7" t="s">
        <v>18</v>
      </c>
      <c r="K15" s="7" t="s">
        <v>19</v>
      </c>
      <c r="L15" s="8">
        <v>1.769918709599E12</v>
      </c>
      <c r="M15" s="9" t="s">
        <v>20</v>
      </c>
      <c r="N15" s="10"/>
      <c r="O15" s="10"/>
      <c r="P15" s="10"/>
      <c r="Q15" s="10"/>
      <c r="R15" s="10"/>
      <c r="S15" s="10"/>
      <c r="T15" s="10"/>
      <c r="U15" s="10"/>
      <c r="V15" s="10"/>
    </row>
    <row r="16" ht="22.5" customHeight="1">
      <c r="A16" s="5">
        <v>1.98270960422E11</v>
      </c>
      <c r="B16" s="5" t="s">
        <v>50</v>
      </c>
      <c r="C16" s="5">
        <v>5599982760066</v>
      </c>
      <c r="D16" s="5" t="s">
        <v>13</v>
      </c>
      <c r="E16" s="5">
        <v>7.9360573E7</v>
      </c>
      <c r="F16" s="5" t="s">
        <v>39</v>
      </c>
      <c r="G16" s="5" t="s">
        <v>32</v>
      </c>
      <c r="H16" s="5" t="s">
        <v>55</v>
      </c>
      <c r="I16" s="6" t="s">
        <v>17</v>
      </c>
      <c r="J16" s="7" t="s">
        <v>34</v>
      </c>
      <c r="K16" s="7"/>
      <c r="L16" s="8">
        <v>1.76991908014E12</v>
      </c>
      <c r="M16" s="9" t="s">
        <v>20</v>
      </c>
      <c r="N16" s="10"/>
      <c r="O16" s="10"/>
      <c r="P16" s="10"/>
      <c r="Q16" s="10"/>
      <c r="R16" s="10"/>
      <c r="S16" s="10"/>
      <c r="T16" s="10"/>
      <c r="U16" s="10"/>
      <c r="V16" s="10"/>
    </row>
    <row r="17" ht="22.5" customHeight="1">
      <c r="A17" s="5">
        <v>1.98272911994E11</v>
      </c>
      <c r="B17" s="5" t="s">
        <v>56</v>
      </c>
      <c r="C17" s="5">
        <v>51997686525</v>
      </c>
      <c r="D17" s="5" t="s">
        <v>13</v>
      </c>
      <c r="E17" s="5">
        <v>8.060572E7</v>
      </c>
      <c r="F17" s="5" t="s">
        <v>28</v>
      </c>
      <c r="G17" s="5" t="s">
        <v>15</v>
      </c>
      <c r="H17" s="5" t="s">
        <v>16</v>
      </c>
      <c r="I17" s="6" t="s">
        <v>17</v>
      </c>
      <c r="J17" s="7" t="s">
        <v>18</v>
      </c>
      <c r="K17" s="7" t="s">
        <v>19</v>
      </c>
      <c r="L17" s="8">
        <v>1.769919100678E12</v>
      </c>
      <c r="M17" s="9" t="s">
        <v>20</v>
      </c>
      <c r="N17" s="10"/>
      <c r="O17" s="10"/>
      <c r="P17" s="10"/>
      <c r="Q17" s="10"/>
      <c r="R17" s="10"/>
      <c r="S17" s="10"/>
      <c r="T17" s="10"/>
      <c r="U17" s="10"/>
      <c r="V17" s="10"/>
    </row>
    <row r="18" ht="22.5" customHeight="1">
      <c r="A18" s="5">
        <v>1.98272936256E11</v>
      </c>
      <c r="B18" s="5" t="s">
        <v>57</v>
      </c>
      <c r="C18" s="5">
        <v>51918484541</v>
      </c>
      <c r="D18" s="5" t="s">
        <v>38</v>
      </c>
      <c r="E18" s="5">
        <v>8.060572E7</v>
      </c>
      <c r="F18" s="5"/>
      <c r="G18" s="5"/>
      <c r="H18" s="5"/>
      <c r="I18" s="6"/>
      <c r="J18" s="7" t="s">
        <v>58</v>
      </c>
      <c r="K18" s="11" t="s">
        <v>59</v>
      </c>
      <c r="L18" s="8">
        <v>1.769919711973E12</v>
      </c>
      <c r="M18" s="9" t="s">
        <v>20</v>
      </c>
      <c r="N18" s="10"/>
      <c r="O18" s="10"/>
      <c r="P18" s="10"/>
      <c r="Q18" s="10"/>
      <c r="R18" s="10"/>
      <c r="S18" s="10"/>
      <c r="T18" s="10"/>
      <c r="U18" s="10"/>
      <c r="V18" s="10"/>
    </row>
    <row r="19" ht="22.5" customHeight="1">
      <c r="A19" s="5">
        <v>1.98276572487E11</v>
      </c>
      <c r="B19" s="5" t="s">
        <v>60</v>
      </c>
      <c r="C19" s="5">
        <v>526624609444</v>
      </c>
      <c r="D19" s="5" t="s">
        <v>13</v>
      </c>
      <c r="E19" s="5">
        <v>8.060572E7</v>
      </c>
      <c r="F19" s="5" t="s">
        <v>28</v>
      </c>
      <c r="G19" s="5" t="s">
        <v>32</v>
      </c>
      <c r="H19" s="5" t="s">
        <v>16</v>
      </c>
      <c r="I19" s="6" t="s">
        <v>17</v>
      </c>
      <c r="J19" s="7" t="s">
        <v>18</v>
      </c>
      <c r="K19" s="7" t="s">
        <v>61</v>
      </c>
      <c r="L19" s="8">
        <v>1.76992195197E12</v>
      </c>
      <c r="M19" s="9" t="s">
        <v>20</v>
      </c>
      <c r="N19" s="10"/>
      <c r="O19" s="10"/>
      <c r="P19" s="10"/>
      <c r="Q19" s="10"/>
      <c r="R19" s="10"/>
      <c r="S19" s="10"/>
      <c r="T19" s="10"/>
      <c r="U19" s="10"/>
      <c r="V19" s="10"/>
    </row>
    <row r="20" ht="22.5" customHeight="1">
      <c r="A20" s="5">
        <v>1.98278483972E11</v>
      </c>
      <c r="B20" s="5" t="s">
        <v>62</v>
      </c>
      <c r="C20" s="5">
        <v>51943670371</v>
      </c>
      <c r="D20" s="5" t="s">
        <v>13</v>
      </c>
      <c r="E20" s="5">
        <v>8.060572E7</v>
      </c>
      <c r="F20" s="5" t="s">
        <v>14</v>
      </c>
      <c r="G20" s="5" t="s">
        <v>32</v>
      </c>
      <c r="H20" s="5" t="s">
        <v>16</v>
      </c>
      <c r="I20" s="6" t="s">
        <v>63</v>
      </c>
      <c r="J20" s="7" t="s">
        <v>34</v>
      </c>
      <c r="K20" s="7"/>
      <c r="L20" s="8">
        <v>1.769922297806E12</v>
      </c>
      <c r="M20" s="9" t="s">
        <v>20</v>
      </c>
      <c r="N20" s="10"/>
      <c r="O20" s="10"/>
      <c r="P20" s="10"/>
      <c r="Q20" s="10"/>
      <c r="R20" s="10"/>
      <c r="S20" s="10"/>
      <c r="T20" s="10"/>
      <c r="U20" s="10"/>
      <c r="V20" s="10"/>
    </row>
    <row r="21" ht="22.5" customHeight="1">
      <c r="A21" s="5">
        <v>1.98283084121E11</v>
      </c>
      <c r="B21" s="5" t="s">
        <v>64</v>
      </c>
      <c r="C21" s="5">
        <v>51983483154</v>
      </c>
      <c r="D21" s="5" t="s">
        <v>13</v>
      </c>
      <c r="E21" s="5">
        <v>8.060572E7</v>
      </c>
      <c r="F21" s="5" t="s">
        <v>65</v>
      </c>
      <c r="G21" s="5" t="s">
        <v>15</v>
      </c>
      <c r="H21" s="5" t="s">
        <v>66</v>
      </c>
      <c r="I21" s="6" t="s">
        <v>36</v>
      </c>
      <c r="J21" s="7" t="s">
        <v>18</v>
      </c>
      <c r="K21" s="7" t="s">
        <v>19</v>
      </c>
      <c r="L21" s="8">
        <v>1.769923176641E12</v>
      </c>
      <c r="M21" s="9" t="s">
        <v>20</v>
      </c>
      <c r="N21" s="10"/>
      <c r="O21" s="10"/>
      <c r="P21" s="10"/>
      <c r="Q21" s="10"/>
      <c r="R21" s="10"/>
      <c r="S21" s="10"/>
      <c r="T21" s="10"/>
      <c r="U21" s="10"/>
      <c r="V21" s="10"/>
    </row>
    <row r="22" ht="22.5" customHeight="1">
      <c r="A22" s="5">
        <v>1.98290484371E11</v>
      </c>
      <c r="B22" s="5" t="s">
        <v>67</v>
      </c>
      <c r="C22" s="5">
        <v>51942001716</v>
      </c>
      <c r="D22" s="5" t="s">
        <v>13</v>
      </c>
      <c r="E22" s="5">
        <v>8.060572E7</v>
      </c>
      <c r="F22" s="5" t="s">
        <v>39</v>
      </c>
      <c r="G22" s="5" t="s">
        <v>15</v>
      </c>
      <c r="H22" s="5" t="s">
        <v>16</v>
      </c>
      <c r="I22" s="6" t="s">
        <v>17</v>
      </c>
      <c r="J22" s="7" t="s">
        <v>34</v>
      </c>
      <c r="K22" s="7"/>
      <c r="L22" s="8">
        <v>1.769928969891E12</v>
      </c>
      <c r="M22" s="9" t="s">
        <v>20</v>
      </c>
      <c r="N22" s="10"/>
      <c r="O22" s="10"/>
      <c r="P22" s="10"/>
      <c r="Q22" s="10"/>
      <c r="R22" s="10"/>
      <c r="S22" s="10"/>
      <c r="T22" s="10"/>
      <c r="U22" s="10"/>
      <c r="V22" s="10"/>
    </row>
    <row r="23" ht="22.5" customHeight="1">
      <c r="A23" s="5">
        <v>1.98299135757E11</v>
      </c>
      <c r="B23" s="5" t="s">
        <v>68</v>
      </c>
      <c r="C23" s="5">
        <v>523315290263</v>
      </c>
      <c r="D23" s="5" t="s">
        <v>13</v>
      </c>
      <c r="E23" s="5">
        <v>8.060572E7</v>
      </c>
      <c r="F23" s="5" t="s">
        <v>28</v>
      </c>
      <c r="G23" s="5" t="s">
        <v>32</v>
      </c>
      <c r="H23" s="5" t="s">
        <v>69</v>
      </c>
      <c r="I23" s="6" t="s">
        <v>17</v>
      </c>
      <c r="J23" s="7" t="s">
        <v>18</v>
      </c>
      <c r="K23" s="7" t="s">
        <v>61</v>
      </c>
      <c r="L23" s="8">
        <v>1.769930414668E12</v>
      </c>
      <c r="M23" s="9" t="s">
        <v>20</v>
      </c>
      <c r="N23" s="10"/>
      <c r="O23" s="10"/>
      <c r="P23" s="10"/>
      <c r="Q23" s="10"/>
      <c r="R23" s="10"/>
      <c r="S23" s="10"/>
      <c r="T23" s="10"/>
      <c r="U23" s="10"/>
      <c r="V23" s="10"/>
    </row>
    <row r="24" ht="22.5" customHeight="1">
      <c r="A24" s="5">
        <v>1.98297228298E11</v>
      </c>
      <c r="B24" s="5" t="s">
        <v>70</v>
      </c>
      <c r="C24" s="5">
        <v>51944917688</v>
      </c>
      <c r="D24" s="5" t="s">
        <v>22</v>
      </c>
      <c r="E24" s="5">
        <v>8.060572E7</v>
      </c>
      <c r="F24" s="5" t="s">
        <v>39</v>
      </c>
      <c r="G24" s="5" t="s">
        <v>44</v>
      </c>
      <c r="H24" s="5" t="s">
        <v>33</v>
      </c>
      <c r="I24" s="6" t="s">
        <v>17</v>
      </c>
      <c r="J24" s="7" t="s">
        <v>34</v>
      </c>
      <c r="K24" s="7"/>
      <c r="L24" s="8">
        <v>1.769930802528E12</v>
      </c>
      <c r="M24" s="9" t="s">
        <v>20</v>
      </c>
      <c r="N24" s="10"/>
      <c r="O24" s="10"/>
      <c r="P24" s="10"/>
      <c r="Q24" s="10"/>
      <c r="R24" s="10"/>
      <c r="S24" s="10"/>
      <c r="T24" s="10"/>
      <c r="U24" s="10"/>
      <c r="V24" s="10"/>
    </row>
    <row r="25" ht="22.5" customHeight="1">
      <c r="A25" s="5">
        <v>1.98312079699E11</v>
      </c>
      <c r="B25" s="5" t="s">
        <v>71</v>
      </c>
      <c r="C25" s="5">
        <v>5534992157506</v>
      </c>
      <c r="D25" s="5" t="s">
        <v>13</v>
      </c>
      <c r="E25" s="5">
        <v>7.9360573E7</v>
      </c>
      <c r="F25" s="5"/>
      <c r="G25" s="5"/>
      <c r="H25" s="5" t="s">
        <v>72</v>
      </c>
      <c r="I25" s="6" t="s">
        <v>17</v>
      </c>
      <c r="J25" s="7" t="s">
        <v>34</v>
      </c>
      <c r="K25" s="7"/>
      <c r="L25" s="8">
        <v>1.769940988138E12</v>
      </c>
      <c r="M25" s="9" t="s">
        <v>20</v>
      </c>
      <c r="N25" s="10"/>
      <c r="O25" s="10"/>
      <c r="P25" s="10"/>
      <c r="Q25" s="10"/>
      <c r="R25" s="10"/>
      <c r="S25" s="10"/>
      <c r="T25" s="10"/>
      <c r="U25" s="10"/>
      <c r="V25" s="10"/>
    </row>
    <row r="26" ht="22.5" customHeight="1">
      <c r="A26" s="5">
        <v>1.98320959833E11</v>
      </c>
      <c r="B26" s="5" t="s">
        <v>73</v>
      </c>
      <c r="C26" s="5">
        <v>51942627660</v>
      </c>
      <c r="D26" s="5" t="s">
        <v>13</v>
      </c>
      <c r="E26" s="5">
        <v>8.060572E7</v>
      </c>
      <c r="F26" s="5" t="s">
        <v>28</v>
      </c>
      <c r="G26" s="5" t="s">
        <v>15</v>
      </c>
      <c r="H26" s="5" t="s">
        <v>74</v>
      </c>
      <c r="I26" s="6" t="s">
        <v>17</v>
      </c>
      <c r="J26" s="7" t="s">
        <v>18</v>
      </c>
      <c r="K26" s="7" t="s">
        <v>19</v>
      </c>
      <c r="L26" s="8">
        <v>1.769943424455E12</v>
      </c>
      <c r="M26" s="9" t="s">
        <v>20</v>
      </c>
      <c r="N26" s="10"/>
      <c r="O26" s="10"/>
      <c r="P26" s="10"/>
      <c r="Q26" s="10"/>
      <c r="R26" s="10"/>
      <c r="S26" s="10"/>
      <c r="T26" s="10"/>
      <c r="U26" s="10"/>
      <c r="V26" s="10"/>
    </row>
    <row r="27" ht="22.5" customHeight="1">
      <c r="A27" s="5">
        <v>1.98322004395E11</v>
      </c>
      <c r="B27" s="5" t="s">
        <v>75</v>
      </c>
      <c r="C27" s="5">
        <v>528120734660</v>
      </c>
      <c r="D27" s="5" t="s">
        <v>13</v>
      </c>
      <c r="E27" s="5">
        <v>8.060572E7</v>
      </c>
      <c r="F27" s="5" t="s">
        <v>28</v>
      </c>
      <c r="G27" s="5">
        <v>50</v>
      </c>
      <c r="H27" s="5" t="s">
        <v>33</v>
      </c>
      <c r="I27" s="6" t="s">
        <v>17</v>
      </c>
      <c r="J27" s="7" t="s">
        <v>18</v>
      </c>
      <c r="K27" s="7" t="s">
        <v>76</v>
      </c>
      <c r="L27" s="8">
        <v>1.769943594756E12</v>
      </c>
      <c r="M27" s="9" t="s">
        <v>20</v>
      </c>
      <c r="N27" s="10"/>
      <c r="O27" s="10"/>
      <c r="P27" s="10"/>
      <c r="Q27" s="10"/>
      <c r="R27" s="10"/>
      <c r="S27" s="10"/>
      <c r="T27" s="10"/>
      <c r="U27" s="10"/>
      <c r="V27" s="10"/>
    </row>
    <row r="28" ht="22.5" customHeight="1">
      <c r="A28" s="5">
        <v>1.98332342867E11</v>
      </c>
      <c r="B28" s="5" t="s">
        <v>77</v>
      </c>
      <c r="C28" s="5">
        <v>5521982446714</v>
      </c>
      <c r="D28" s="5" t="s">
        <v>13</v>
      </c>
      <c r="E28" s="5">
        <v>7.9360573E7</v>
      </c>
      <c r="F28" s="5" t="s">
        <v>28</v>
      </c>
      <c r="G28" s="5" t="s">
        <v>15</v>
      </c>
      <c r="H28" s="5" t="s">
        <v>16</v>
      </c>
      <c r="I28" s="6" t="s">
        <v>17</v>
      </c>
      <c r="J28" s="7" t="s">
        <v>34</v>
      </c>
      <c r="K28" s="7"/>
      <c r="L28" s="8">
        <v>1.769948403558E12</v>
      </c>
      <c r="M28" s="9" t="s">
        <v>20</v>
      </c>
      <c r="N28" s="10"/>
      <c r="O28" s="10"/>
      <c r="P28" s="10"/>
      <c r="Q28" s="10"/>
      <c r="R28" s="10"/>
      <c r="S28" s="10"/>
      <c r="T28" s="10"/>
      <c r="U28" s="10"/>
      <c r="V28" s="10"/>
    </row>
    <row r="29" ht="22.5" customHeight="1">
      <c r="A29" s="5">
        <v>1.98335997858E11</v>
      </c>
      <c r="B29" s="5" t="s">
        <v>78</v>
      </c>
      <c r="C29" s="5">
        <v>51934002912</v>
      </c>
      <c r="D29" s="5" t="s">
        <v>13</v>
      </c>
      <c r="E29" s="5">
        <v>8.060572E7</v>
      </c>
      <c r="F29" s="5" t="s">
        <v>65</v>
      </c>
      <c r="G29" s="5" t="s">
        <v>79</v>
      </c>
      <c r="H29" s="5" t="s">
        <v>80</v>
      </c>
      <c r="I29" s="6" t="s">
        <v>17</v>
      </c>
      <c r="J29" s="7" t="s">
        <v>18</v>
      </c>
      <c r="K29" s="7" t="s">
        <v>19</v>
      </c>
      <c r="L29" s="8">
        <v>1.769950099034E12</v>
      </c>
      <c r="M29" s="9" t="s">
        <v>20</v>
      </c>
      <c r="N29" s="10"/>
      <c r="O29" s="10"/>
      <c r="P29" s="10"/>
      <c r="Q29" s="10"/>
      <c r="R29" s="10"/>
      <c r="S29" s="10"/>
      <c r="T29" s="10"/>
      <c r="U29" s="10"/>
      <c r="V29" s="10"/>
    </row>
    <row r="30" ht="22.5" customHeight="1">
      <c r="A30" s="5">
        <v>1.98339064194E11</v>
      </c>
      <c r="B30" s="5" t="s">
        <v>81</v>
      </c>
      <c r="C30" s="5">
        <v>51964049675</v>
      </c>
      <c r="D30" s="5" t="s">
        <v>13</v>
      </c>
      <c r="E30" s="5">
        <v>8.060572E7</v>
      </c>
      <c r="F30" s="5" t="s">
        <v>82</v>
      </c>
      <c r="G30" s="5" t="s">
        <v>15</v>
      </c>
      <c r="H30" s="5" t="s">
        <v>24</v>
      </c>
      <c r="I30" s="6" t="s">
        <v>17</v>
      </c>
      <c r="J30" s="7" t="s">
        <v>18</v>
      </c>
      <c r="K30" s="7" t="s">
        <v>19</v>
      </c>
      <c r="L30" s="8">
        <v>1.769950835583E12</v>
      </c>
      <c r="M30" s="9" t="s">
        <v>20</v>
      </c>
      <c r="N30" s="10"/>
      <c r="O30" s="10"/>
      <c r="P30" s="10"/>
      <c r="Q30" s="10"/>
      <c r="R30" s="10"/>
      <c r="S30" s="10"/>
      <c r="T30" s="10"/>
      <c r="U30" s="10"/>
      <c r="V30" s="10"/>
    </row>
    <row r="31" ht="22.5" customHeight="1">
      <c r="A31" s="5">
        <v>1.98312079699E11</v>
      </c>
      <c r="B31" s="5" t="s">
        <v>71</v>
      </c>
      <c r="C31" s="5">
        <v>5534992157506</v>
      </c>
      <c r="D31" s="5" t="s">
        <v>13</v>
      </c>
      <c r="E31" s="5">
        <v>7.9360573E7</v>
      </c>
      <c r="F31" s="5"/>
      <c r="G31" s="5"/>
      <c r="H31" s="5" t="s">
        <v>72</v>
      </c>
      <c r="I31" s="6" t="s">
        <v>17</v>
      </c>
      <c r="J31" s="7" t="s">
        <v>34</v>
      </c>
      <c r="K31" s="7"/>
      <c r="L31" s="8">
        <v>1.769952714964E12</v>
      </c>
      <c r="M31" s="9" t="s">
        <v>20</v>
      </c>
      <c r="N31" s="10"/>
      <c r="O31" s="10"/>
      <c r="P31" s="10"/>
      <c r="Q31" s="10"/>
      <c r="R31" s="10"/>
      <c r="S31" s="10"/>
      <c r="T31" s="10"/>
      <c r="U31" s="10"/>
      <c r="V31" s="10"/>
    </row>
    <row r="32" ht="22.5" customHeight="1">
      <c r="A32" s="5">
        <v>1.98359606096E11</v>
      </c>
      <c r="B32" s="5" t="s">
        <v>83</v>
      </c>
      <c r="C32" s="5">
        <v>522381513804</v>
      </c>
      <c r="D32" s="5" t="s">
        <v>13</v>
      </c>
      <c r="E32" s="5">
        <v>8.060572E7</v>
      </c>
      <c r="F32" s="5" t="s">
        <v>65</v>
      </c>
      <c r="G32" s="5" t="s">
        <v>32</v>
      </c>
      <c r="H32" s="5" t="s">
        <v>66</v>
      </c>
      <c r="I32" s="6"/>
      <c r="J32" s="7" t="s">
        <v>18</v>
      </c>
      <c r="K32" s="7" t="s">
        <v>61</v>
      </c>
      <c r="L32" s="8">
        <v>1.769954061502E12</v>
      </c>
      <c r="M32" s="9" t="s">
        <v>20</v>
      </c>
      <c r="N32" s="10"/>
      <c r="O32" s="10"/>
      <c r="P32" s="10"/>
      <c r="Q32" s="10"/>
      <c r="R32" s="10"/>
      <c r="S32" s="10"/>
      <c r="T32" s="10"/>
      <c r="U32" s="10"/>
      <c r="V32" s="10"/>
    </row>
    <row r="33" ht="22.5" customHeight="1">
      <c r="A33" s="5">
        <v>1.98372954752E11</v>
      </c>
      <c r="B33" s="5" t="s">
        <v>84</v>
      </c>
      <c r="C33" s="5">
        <v>51987821794</v>
      </c>
      <c r="D33" s="5" t="s">
        <v>13</v>
      </c>
      <c r="E33" s="5">
        <v>8.060572E7</v>
      </c>
      <c r="F33" s="5" t="s">
        <v>31</v>
      </c>
      <c r="G33" s="5" t="s">
        <v>32</v>
      </c>
      <c r="H33" s="5" t="s">
        <v>51</v>
      </c>
      <c r="I33" s="6" t="s">
        <v>17</v>
      </c>
      <c r="J33" s="7" t="s">
        <v>18</v>
      </c>
      <c r="K33" s="7" t="s">
        <v>19</v>
      </c>
      <c r="L33" s="8">
        <v>1.769955218701E12</v>
      </c>
      <c r="M33" s="9" t="s">
        <v>20</v>
      </c>
      <c r="N33" s="10"/>
      <c r="O33" s="10"/>
      <c r="P33" s="10"/>
      <c r="Q33" s="10"/>
      <c r="R33" s="10"/>
      <c r="S33" s="10"/>
      <c r="T33" s="10"/>
      <c r="U33" s="10"/>
      <c r="V33" s="10"/>
    </row>
    <row r="34" ht="22.5" customHeight="1">
      <c r="A34" s="5">
        <v>1.98365408091E11</v>
      </c>
      <c r="B34" s="5" t="s">
        <v>85</v>
      </c>
      <c r="C34" s="5">
        <v>523223719779</v>
      </c>
      <c r="D34" s="5" t="s">
        <v>13</v>
      </c>
      <c r="E34" s="5">
        <v>8.060572E7</v>
      </c>
      <c r="F34" s="5" t="s">
        <v>23</v>
      </c>
      <c r="G34" s="5" t="s">
        <v>15</v>
      </c>
      <c r="H34" s="5" t="s">
        <v>86</v>
      </c>
      <c r="I34" s="6" t="s">
        <v>17</v>
      </c>
      <c r="J34" s="7" t="s">
        <v>18</v>
      </c>
      <c r="K34" s="7" t="s">
        <v>61</v>
      </c>
      <c r="L34" s="8">
        <v>1.769955289495E12</v>
      </c>
      <c r="M34" s="9" t="s">
        <v>20</v>
      </c>
      <c r="N34" s="10"/>
      <c r="O34" s="10"/>
      <c r="P34" s="10"/>
      <c r="Q34" s="10"/>
      <c r="R34" s="10"/>
      <c r="S34" s="10"/>
      <c r="T34" s="10"/>
      <c r="U34" s="10"/>
      <c r="V34" s="10"/>
    </row>
    <row r="35" ht="22.5" customHeight="1">
      <c r="A35" s="5">
        <v>1.9836494346E11</v>
      </c>
      <c r="B35" s="5" t="s">
        <v>87</v>
      </c>
      <c r="C35" s="5">
        <v>51900084373</v>
      </c>
      <c r="D35" s="5" t="s">
        <v>13</v>
      </c>
      <c r="E35" s="5">
        <v>8.060572E7</v>
      </c>
      <c r="F35" s="5" t="s">
        <v>31</v>
      </c>
      <c r="G35" s="5" t="s">
        <v>15</v>
      </c>
      <c r="H35" s="5" t="s">
        <v>88</v>
      </c>
      <c r="I35" s="6" t="s">
        <v>89</v>
      </c>
      <c r="J35" s="7" t="s">
        <v>18</v>
      </c>
      <c r="K35" s="7" t="s">
        <v>19</v>
      </c>
      <c r="L35" s="8">
        <v>1.76995614322E12</v>
      </c>
      <c r="M35" s="9" t="s">
        <v>20</v>
      </c>
      <c r="N35" s="10"/>
      <c r="O35" s="10"/>
      <c r="P35" s="10"/>
      <c r="Q35" s="10"/>
      <c r="R35" s="10"/>
      <c r="S35" s="10"/>
      <c r="T35" s="10"/>
      <c r="U35" s="10"/>
      <c r="V35" s="10"/>
    </row>
    <row r="36" ht="22.5" customHeight="1">
      <c r="A36" s="5">
        <v>1.98375156635E11</v>
      </c>
      <c r="B36" s="5" t="s">
        <v>90</v>
      </c>
      <c r="C36" s="5">
        <v>5562992753805</v>
      </c>
      <c r="D36" s="5" t="s">
        <v>38</v>
      </c>
      <c r="E36" s="5">
        <v>7.9360573E7</v>
      </c>
      <c r="F36" s="5"/>
      <c r="G36" s="5"/>
      <c r="H36" s="5"/>
      <c r="I36" s="6"/>
      <c r="J36" s="7" t="s">
        <v>34</v>
      </c>
      <c r="K36" s="7"/>
      <c r="L36" s="8">
        <v>1.769956436329E12</v>
      </c>
      <c r="M36" s="9" t="s">
        <v>20</v>
      </c>
      <c r="N36" s="10"/>
      <c r="O36" s="10"/>
      <c r="P36" s="10"/>
      <c r="Q36" s="10"/>
      <c r="R36" s="10"/>
      <c r="S36" s="10"/>
      <c r="T36" s="10"/>
      <c r="U36" s="10"/>
      <c r="V36" s="10"/>
    </row>
    <row r="37" ht="22.5" customHeight="1">
      <c r="A37" s="5">
        <v>1.86614573466E11</v>
      </c>
      <c r="B37" s="5" t="s">
        <v>91</v>
      </c>
      <c r="C37" s="5">
        <v>51930807106</v>
      </c>
      <c r="D37" s="5" t="s">
        <v>13</v>
      </c>
      <c r="E37" s="5">
        <v>8.060572E7</v>
      </c>
      <c r="F37" s="5" t="s">
        <v>28</v>
      </c>
      <c r="G37" s="5" t="s">
        <v>15</v>
      </c>
      <c r="H37" s="5" t="s">
        <v>69</v>
      </c>
      <c r="I37" s="6" t="s">
        <v>17</v>
      </c>
      <c r="J37" s="7" t="s">
        <v>18</v>
      </c>
      <c r="K37" s="7" t="s">
        <v>19</v>
      </c>
      <c r="L37" s="8">
        <v>1.769956610524E12</v>
      </c>
      <c r="M37" s="9" t="s">
        <v>20</v>
      </c>
      <c r="N37" s="10"/>
      <c r="O37" s="10"/>
      <c r="P37" s="10"/>
      <c r="Q37" s="10"/>
      <c r="R37" s="10"/>
      <c r="S37" s="10"/>
      <c r="T37" s="10"/>
      <c r="U37" s="10"/>
      <c r="V37" s="10"/>
    </row>
    <row r="38" ht="22.5" customHeight="1">
      <c r="A38" s="5">
        <v>1.98367815567E11</v>
      </c>
      <c r="B38" s="5" t="s">
        <v>92</v>
      </c>
      <c r="C38" s="5">
        <v>5541998193312</v>
      </c>
      <c r="D38" s="5" t="s">
        <v>13</v>
      </c>
      <c r="E38" s="5">
        <v>7.9360573E7</v>
      </c>
      <c r="F38" s="5" t="s">
        <v>93</v>
      </c>
      <c r="G38" s="5" t="s">
        <v>32</v>
      </c>
      <c r="H38" s="5" t="s">
        <v>55</v>
      </c>
      <c r="I38" s="6" t="s">
        <v>49</v>
      </c>
      <c r="J38" s="7" t="s">
        <v>34</v>
      </c>
      <c r="K38" s="7"/>
      <c r="L38" s="8">
        <v>1.769957787463E12</v>
      </c>
      <c r="M38" s="9" t="s">
        <v>20</v>
      </c>
      <c r="N38" s="10"/>
      <c r="O38" s="10"/>
      <c r="P38" s="10"/>
      <c r="Q38" s="10"/>
      <c r="R38" s="10"/>
      <c r="S38" s="10"/>
      <c r="T38" s="10"/>
      <c r="U38" s="10"/>
      <c r="V38" s="10"/>
    </row>
    <row r="39" ht="22.5" customHeight="1">
      <c r="A39" s="5">
        <v>1.98375930882E11</v>
      </c>
      <c r="B39" s="5" t="s">
        <v>94</v>
      </c>
      <c r="C39" s="5">
        <v>528713150068</v>
      </c>
      <c r="D39" s="5" t="s">
        <v>38</v>
      </c>
      <c r="E39" s="5">
        <v>8.060572E7</v>
      </c>
      <c r="F39" s="5" t="s">
        <v>28</v>
      </c>
      <c r="G39" s="5" t="s">
        <v>15</v>
      </c>
      <c r="H39" s="5" t="s">
        <v>16</v>
      </c>
      <c r="I39" s="6" t="s">
        <v>17</v>
      </c>
      <c r="J39" s="7" t="s">
        <v>18</v>
      </c>
      <c r="K39" s="7" t="s">
        <v>61</v>
      </c>
      <c r="L39" s="8">
        <v>1.769958437066E12</v>
      </c>
      <c r="M39" s="9" t="s">
        <v>20</v>
      </c>
      <c r="N39" s="10"/>
      <c r="O39" s="10"/>
      <c r="P39" s="10"/>
      <c r="Q39" s="10"/>
      <c r="R39" s="10"/>
      <c r="S39" s="10"/>
      <c r="T39" s="10"/>
      <c r="U39" s="10"/>
      <c r="V39" s="10"/>
    </row>
    <row r="40" ht="22.5" customHeight="1">
      <c r="A40" s="5">
        <v>1.97708489753E11</v>
      </c>
      <c r="B40" s="5" t="s">
        <v>95</v>
      </c>
      <c r="C40" s="5">
        <v>5519920032074</v>
      </c>
      <c r="D40" s="5" t="s">
        <v>13</v>
      </c>
      <c r="E40" s="5">
        <v>7.9360573E7</v>
      </c>
      <c r="F40" s="5" t="s">
        <v>28</v>
      </c>
      <c r="G40" s="5" t="s">
        <v>15</v>
      </c>
      <c r="H40" s="5" t="s">
        <v>24</v>
      </c>
      <c r="I40" s="6" t="s">
        <v>17</v>
      </c>
      <c r="J40" s="7" t="s">
        <v>34</v>
      </c>
      <c r="K40" s="7"/>
      <c r="L40" s="8">
        <v>1.769960153868E12</v>
      </c>
      <c r="M40" s="9" t="s">
        <v>20</v>
      </c>
      <c r="N40" s="10"/>
      <c r="O40" s="10"/>
      <c r="P40" s="10"/>
      <c r="Q40" s="10"/>
      <c r="R40" s="10"/>
      <c r="S40" s="10"/>
      <c r="T40" s="10"/>
      <c r="U40" s="10"/>
      <c r="V40" s="10"/>
    </row>
    <row r="41" ht="22.5" customHeight="1">
      <c r="A41" s="5">
        <v>1.9838239801E11</v>
      </c>
      <c r="B41" s="5" t="s">
        <v>96</v>
      </c>
      <c r="C41" s="5">
        <v>522461502675</v>
      </c>
      <c r="D41" s="5" t="s">
        <v>22</v>
      </c>
      <c r="E41" s="5">
        <v>8.060572E7</v>
      </c>
      <c r="F41" s="5" t="s">
        <v>28</v>
      </c>
      <c r="G41" s="5">
        <v>50</v>
      </c>
      <c r="H41" s="5" t="s">
        <v>80</v>
      </c>
      <c r="I41" s="6" t="s">
        <v>17</v>
      </c>
      <c r="J41" s="7" t="s">
        <v>18</v>
      </c>
      <c r="K41" s="7" t="s">
        <v>61</v>
      </c>
      <c r="L41" s="8">
        <v>1.769963500034E12</v>
      </c>
      <c r="M41" s="9" t="s">
        <v>20</v>
      </c>
      <c r="N41" s="10"/>
      <c r="O41" s="10"/>
      <c r="P41" s="10"/>
      <c r="Q41" s="10"/>
      <c r="R41" s="10"/>
      <c r="S41" s="10"/>
      <c r="T41" s="10"/>
      <c r="U41" s="10"/>
      <c r="V41" s="10"/>
    </row>
    <row r="42" ht="22.5" customHeight="1">
      <c r="A42" s="5">
        <v>1.98383968163E11</v>
      </c>
      <c r="B42" s="5" t="s">
        <v>97</v>
      </c>
      <c r="C42" s="5">
        <v>525529206464</v>
      </c>
      <c r="D42" s="5" t="s">
        <v>13</v>
      </c>
      <c r="E42" s="5">
        <v>8.060572E7</v>
      </c>
      <c r="F42" s="5" t="s">
        <v>14</v>
      </c>
      <c r="G42" s="5" t="s">
        <v>15</v>
      </c>
      <c r="H42" s="5" t="s">
        <v>51</v>
      </c>
      <c r="I42" s="6" t="s">
        <v>17</v>
      </c>
      <c r="J42" s="7" t="s">
        <v>18</v>
      </c>
      <c r="K42" s="7" t="s">
        <v>61</v>
      </c>
      <c r="L42" s="8">
        <v>1.769963920214E12</v>
      </c>
      <c r="M42" s="9" t="s">
        <v>20</v>
      </c>
      <c r="N42" s="10"/>
      <c r="O42" s="10"/>
      <c r="P42" s="10"/>
      <c r="Q42" s="10"/>
      <c r="R42" s="10"/>
      <c r="S42" s="10"/>
      <c r="T42" s="10"/>
      <c r="U42" s="10"/>
      <c r="V42" s="10"/>
    </row>
    <row r="43" ht="22.5" customHeight="1">
      <c r="A43" s="5">
        <v>1.98396333992E11</v>
      </c>
      <c r="B43" s="5" t="s">
        <v>98</v>
      </c>
      <c r="C43" s="5">
        <v>51959642441</v>
      </c>
      <c r="D43" s="5" t="s">
        <v>13</v>
      </c>
      <c r="E43" s="5">
        <v>8.060572E7</v>
      </c>
      <c r="F43" s="5" t="s">
        <v>28</v>
      </c>
      <c r="G43" s="5" t="s">
        <v>15</v>
      </c>
      <c r="H43" s="5" t="s">
        <v>16</v>
      </c>
      <c r="I43" s="6" t="s">
        <v>17</v>
      </c>
      <c r="J43" s="7" t="s">
        <v>25</v>
      </c>
      <c r="K43" s="7" t="s">
        <v>26</v>
      </c>
      <c r="L43" s="8">
        <v>1.7699640392E12</v>
      </c>
      <c r="M43" s="9" t="s">
        <v>20</v>
      </c>
      <c r="N43" s="10"/>
      <c r="O43" s="10"/>
      <c r="P43" s="10"/>
      <c r="Q43" s="10"/>
      <c r="R43" s="10"/>
      <c r="S43" s="10"/>
      <c r="T43" s="10"/>
      <c r="U43" s="10"/>
      <c r="V43" s="10"/>
    </row>
    <row r="44" ht="22.5" customHeight="1">
      <c r="A44" s="5">
        <v>1.9838514509E11</v>
      </c>
      <c r="B44" s="5" t="s">
        <v>99</v>
      </c>
      <c r="C44" s="5">
        <v>525554925067</v>
      </c>
      <c r="D44" s="5" t="s">
        <v>13</v>
      </c>
      <c r="E44" s="5">
        <v>8.060572E7</v>
      </c>
      <c r="F44" s="5" t="s">
        <v>39</v>
      </c>
      <c r="G44" s="5" t="s">
        <v>15</v>
      </c>
      <c r="H44" s="5" t="s">
        <v>100</v>
      </c>
      <c r="I44" s="6" t="s">
        <v>17</v>
      </c>
      <c r="J44" s="7" t="s">
        <v>18</v>
      </c>
      <c r="K44" s="7" t="s">
        <v>61</v>
      </c>
      <c r="L44" s="8">
        <v>1.769964587758E12</v>
      </c>
      <c r="M44" s="9" t="s">
        <v>20</v>
      </c>
      <c r="N44" s="10"/>
      <c r="O44" s="10"/>
      <c r="P44" s="10"/>
      <c r="Q44" s="10"/>
      <c r="R44" s="10"/>
      <c r="S44" s="10"/>
      <c r="T44" s="10"/>
      <c r="U44" s="10"/>
      <c r="V44" s="10"/>
    </row>
    <row r="45" ht="22.5" customHeight="1">
      <c r="A45" s="5">
        <v>1.98394792736E11</v>
      </c>
      <c r="B45" s="5" t="s">
        <v>101</v>
      </c>
      <c r="C45" s="5">
        <v>584128711325</v>
      </c>
      <c r="D45" s="5" t="s">
        <v>13</v>
      </c>
      <c r="E45" s="5">
        <v>8.060572E7</v>
      </c>
      <c r="F45" s="5" t="s">
        <v>28</v>
      </c>
      <c r="G45" s="5"/>
      <c r="H45" s="5"/>
      <c r="I45" s="6"/>
      <c r="J45" s="7" t="s">
        <v>34</v>
      </c>
      <c r="K45" s="7"/>
      <c r="L45" s="8">
        <v>1.769964993719E12</v>
      </c>
      <c r="M45" s="9" t="s">
        <v>20</v>
      </c>
      <c r="N45" s="10"/>
      <c r="O45" s="10"/>
      <c r="P45" s="10"/>
      <c r="Q45" s="10"/>
      <c r="R45" s="10"/>
      <c r="S45" s="10"/>
      <c r="T45" s="10"/>
      <c r="U45" s="10"/>
      <c r="V45" s="10"/>
    </row>
    <row r="46" ht="22.5" customHeight="1">
      <c r="A46" s="5">
        <v>1.98384791336E11</v>
      </c>
      <c r="B46" s="5" t="s">
        <v>102</v>
      </c>
      <c r="C46" s="5">
        <v>51923401012</v>
      </c>
      <c r="D46" s="5" t="s">
        <v>103</v>
      </c>
      <c r="E46" s="5">
        <v>8.060572E7</v>
      </c>
      <c r="F46" s="5" t="s">
        <v>93</v>
      </c>
      <c r="G46" s="5" t="s">
        <v>104</v>
      </c>
      <c r="H46" s="5" t="s">
        <v>55</v>
      </c>
      <c r="I46" s="6" t="s">
        <v>49</v>
      </c>
      <c r="J46" s="7" t="s">
        <v>34</v>
      </c>
      <c r="K46" s="7"/>
      <c r="L46" s="8">
        <v>1.769965114545E12</v>
      </c>
      <c r="M46" s="9" t="s">
        <v>20</v>
      </c>
      <c r="N46" s="10"/>
      <c r="O46" s="10"/>
      <c r="P46" s="10"/>
      <c r="Q46" s="10"/>
      <c r="R46" s="10"/>
      <c r="S46" s="10"/>
      <c r="T46" s="10"/>
      <c r="U46" s="10"/>
      <c r="V46" s="10"/>
    </row>
    <row r="47" ht="22.5" customHeight="1">
      <c r="A47" s="5">
        <v>1.98385166242E11</v>
      </c>
      <c r="B47" s="5" t="s">
        <v>105</v>
      </c>
      <c r="C47" s="5">
        <v>5531971904050</v>
      </c>
      <c r="D47" s="5" t="s">
        <v>13</v>
      </c>
      <c r="E47" s="5">
        <v>7.9360573E7</v>
      </c>
      <c r="F47" s="5" t="s">
        <v>28</v>
      </c>
      <c r="G47" s="5" t="s">
        <v>15</v>
      </c>
      <c r="H47" s="5" t="s">
        <v>33</v>
      </c>
      <c r="I47" s="6"/>
      <c r="J47" s="7" t="s">
        <v>34</v>
      </c>
      <c r="K47" s="7"/>
      <c r="L47" s="8">
        <v>1.769965121993E12</v>
      </c>
      <c r="M47" s="9" t="s">
        <v>20</v>
      </c>
      <c r="N47" s="10"/>
      <c r="O47" s="10"/>
      <c r="P47" s="10"/>
      <c r="Q47" s="10"/>
      <c r="R47" s="10"/>
      <c r="S47" s="10"/>
      <c r="T47" s="10"/>
      <c r="U47" s="10"/>
      <c r="V47" s="10"/>
    </row>
    <row r="48" ht="22.5" customHeight="1">
      <c r="A48" s="5">
        <v>1.98399396998E11</v>
      </c>
      <c r="B48" s="5" t="s">
        <v>106</v>
      </c>
      <c r="C48" s="5">
        <v>51982496639</v>
      </c>
      <c r="D48" s="5" t="s">
        <v>38</v>
      </c>
      <c r="E48" s="5">
        <v>8.060572E7</v>
      </c>
      <c r="F48" s="5"/>
      <c r="G48" s="5"/>
      <c r="H48" s="5"/>
      <c r="I48" s="6"/>
      <c r="J48" s="7" t="s">
        <v>34</v>
      </c>
      <c r="K48" s="7"/>
      <c r="L48" s="8">
        <v>1.769965728421E12</v>
      </c>
      <c r="M48" s="9" t="s">
        <v>20</v>
      </c>
      <c r="N48" s="10"/>
      <c r="O48" s="10"/>
      <c r="P48" s="10"/>
      <c r="Q48" s="10"/>
      <c r="R48" s="10"/>
      <c r="S48" s="10"/>
      <c r="T48" s="10"/>
      <c r="U48" s="10"/>
      <c r="V48" s="10"/>
    </row>
    <row r="49" ht="22.5" customHeight="1">
      <c r="A49" s="5">
        <v>1.98399410864E11</v>
      </c>
      <c r="B49" s="5" t="s">
        <v>107</v>
      </c>
      <c r="C49" s="5">
        <v>51941457934</v>
      </c>
      <c r="D49" s="5" t="s">
        <v>13</v>
      </c>
      <c r="E49" s="5">
        <v>8.060572E7</v>
      </c>
      <c r="F49" s="5" t="s">
        <v>39</v>
      </c>
      <c r="G49" s="5" t="s">
        <v>15</v>
      </c>
      <c r="H49" s="5" t="s">
        <v>51</v>
      </c>
      <c r="I49" s="6" t="s">
        <v>17</v>
      </c>
      <c r="J49" s="7" t="s">
        <v>18</v>
      </c>
      <c r="K49" s="7" t="s">
        <v>19</v>
      </c>
      <c r="L49" s="8">
        <v>1.769965977274E12</v>
      </c>
      <c r="M49" s="9" t="s">
        <v>20</v>
      </c>
      <c r="N49" s="10"/>
      <c r="O49" s="10"/>
      <c r="P49" s="10"/>
      <c r="Q49" s="10"/>
      <c r="R49" s="10"/>
      <c r="S49" s="10"/>
      <c r="T49" s="10"/>
      <c r="U49" s="10"/>
      <c r="V49" s="10"/>
    </row>
    <row r="50" ht="22.5" customHeight="1">
      <c r="A50" s="5">
        <v>1.98388149162E11</v>
      </c>
      <c r="B50" s="5" t="s">
        <v>108</v>
      </c>
      <c r="C50" s="5">
        <v>51996531907</v>
      </c>
      <c r="D50" s="5" t="s">
        <v>13</v>
      </c>
      <c r="E50" s="5">
        <v>8.060572E7</v>
      </c>
      <c r="F50" s="5" t="s">
        <v>28</v>
      </c>
      <c r="G50" s="5" t="s">
        <v>15</v>
      </c>
      <c r="H50" s="5" t="s">
        <v>51</v>
      </c>
      <c r="I50" s="6" t="s">
        <v>17</v>
      </c>
      <c r="J50" s="7" t="s">
        <v>18</v>
      </c>
      <c r="K50" s="7" t="s">
        <v>19</v>
      </c>
      <c r="L50" s="8">
        <v>1.769966996336E12</v>
      </c>
      <c r="M50" s="9" t="s">
        <v>20</v>
      </c>
      <c r="N50" s="10"/>
      <c r="O50" s="10"/>
      <c r="P50" s="10"/>
      <c r="Q50" s="10"/>
      <c r="R50" s="10"/>
      <c r="S50" s="10"/>
      <c r="T50" s="10"/>
      <c r="U50" s="10"/>
      <c r="V50" s="10"/>
    </row>
    <row r="51" ht="22.5" customHeight="1">
      <c r="A51" s="5">
        <v>1.98387476009E11</v>
      </c>
      <c r="B51" s="5" t="s">
        <v>109</v>
      </c>
      <c r="C51" s="5">
        <v>5519974170754</v>
      </c>
      <c r="D51" s="5" t="s">
        <v>13</v>
      </c>
      <c r="E51" s="5">
        <v>7.9360573E7</v>
      </c>
      <c r="F51" s="5" t="s">
        <v>65</v>
      </c>
      <c r="G51" s="5" t="s">
        <v>32</v>
      </c>
      <c r="H51" s="5" t="s">
        <v>16</v>
      </c>
      <c r="I51" s="6" t="s">
        <v>17</v>
      </c>
      <c r="J51" s="7" t="s">
        <v>34</v>
      </c>
      <c r="K51" s="7"/>
      <c r="L51" s="8">
        <v>1.769967470335E12</v>
      </c>
      <c r="M51" s="9" t="s">
        <v>20</v>
      </c>
      <c r="N51" s="10"/>
      <c r="O51" s="10"/>
      <c r="P51" s="10"/>
      <c r="Q51" s="10"/>
      <c r="R51" s="10"/>
      <c r="S51" s="10"/>
      <c r="T51" s="10"/>
      <c r="U51" s="10"/>
      <c r="V51" s="10"/>
    </row>
    <row r="52" ht="22.5" customHeight="1">
      <c r="A52" s="5">
        <v>1.98407269914E11</v>
      </c>
      <c r="B52" s="5" t="s">
        <v>110</v>
      </c>
      <c r="C52" s="5">
        <v>5531993566035</v>
      </c>
      <c r="D52" s="5" t="s">
        <v>22</v>
      </c>
      <c r="E52" s="5">
        <v>7.9360573E7</v>
      </c>
      <c r="F52" s="5" t="s">
        <v>23</v>
      </c>
      <c r="G52" s="5" t="s">
        <v>44</v>
      </c>
      <c r="H52" s="5" t="s">
        <v>48</v>
      </c>
      <c r="I52" s="6" t="s">
        <v>17</v>
      </c>
      <c r="J52" s="7" t="s">
        <v>34</v>
      </c>
      <c r="K52" s="7"/>
      <c r="L52" s="8">
        <v>1.769972519871E12</v>
      </c>
      <c r="M52" s="9" t="s">
        <v>20</v>
      </c>
      <c r="N52" s="10"/>
      <c r="O52" s="10"/>
      <c r="P52" s="10"/>
      <c r="Q52" s="10"/>
      <c r="R52" s="10"/>
      <c r="S52" s="10"/>
      <c r="T52" s="10"/>
      <c r="U52" s="10"/>
      <c r="V52" s="10"/>
    </row>
    <row r="53" ht="22.5" customHeight="1">
      <c r="A53" s="5">
        <v>1.95763181218E11</v>
      </c>
      <c r="B53" s="5" t="s">
        <v>111</v>
      </c>
      <c r="C53" s="5">
        <v>522414076573</v>
      </c>
      <c r="D53" s="5" t="s">
        <v>13</v>
      </c>
      <c r="E53" s="5">
        <v>8.060572E7</v>
      </c>
      <c r="F53" s="5" t="s">
        <v>28</v>
      </c>
      <c r="G53" s="5" t="s">
        <v>44</v>
      </c>
      <c r="H53" s="5" t="s">
        <v>112</v>
      </c>
      <c r="I53" s="6" t="s">
        <v>17</v>
      </c>
      <c r="J53" s="7" t="s">
        <v>18</v>
      </c>
      <c r="K53" s="7" t="s">
        <v>61</v>
      </c>
      <c r="L53" s="8">
        <v>1.769972832801E12</v>
      </c>
      <c r="M53" s="9" t="s">
        <v>20</v>
      </c>
      <c r="N53" s="10"/>
      <c r="O53" s="10"/>
      <c r="P53" s="10"/>
      <c r="Q53" s="10"/>
      <c r="R53" s="10"/>
      <c r="S53" s="10"/>
      <c r="T53" s="10"/>
      <c r="U53" s="10"/>
      <c r="V53" s="10"/>
    </row>
    <row r="54" ht="22.5" customHeight="1">
      <c r="A54" s="5">
        <v>1.98418409843E11</v>
      </c>
      <c r="B54" s="5" t="s">
        <v>113</v>
      </c>
      <c r="C54" s="5">
        <v>51925683269</v>
      </c>
      <c r="D54" s="5" t="s">
        <v>13</v>
      </c>
      <c r="E54" s="5">
        <v>8.060572E7</v>
      </c>
      <c r="F54" s="5" t="s">
        <v>82</v>
      </c>
      <c r="G54" s="5" t="s">
        <v>15</v>
      </c>
      <c r="H54" s="5" t="s">
        <v>114</v>
      </c>
      <c r="I54" s="6" t="s">
        <v>17</v>
      </c>
      <c r="J54" s="7" t="s">
        <v>18</v>
      </c>
      <c r="K54" s="7" t="s">
        <v>19</v>
      </c>
      <c r="L54" s="8">
        <v>1.769974808477E12</v>
      </c>
      <c r="M54" s="9" t="s">
        <v>20</v>
      </c>
      <c r="N54" s="10"/>
      <c r="O54" s="10"/>
      <c r="P54" s="10"/>
      <c r="Q54" s="10"/>
      <c r="R54" s="10"/>
      <c r="S54" s="10"/>
      <c r="T54" s="10"/>
      <c r="U54" s="10"/>
      <c r="V54" s="10"/>
    </row>
    <row r="55" ht="22.5" customHeight="1">
      <c r="A55" s="5">
        <v>1.98420147505E11</v>
      </c>
      <c r="B55" s="5" t="s">
        <v>115</v>
      </c>
      <c r="C55" s="5">
        <v>51993508117</v>
      </c>
      <c r="D55" s="5" t="s">
        <v>13</v>
      </c>
      <c r="E55" s="5">
        <v>8.060572E7</v>
      </c>
      <c r="F55" s="5" t="s">
        <v>42</v>
      </c>
      <c r="G55" s="5" t="s">
        <v>15</v>
      </c>
      <c r="H55" s="5" t="s">
        <v>33</v>
      </c>
      <c r="I55" s="6" t="s">
        <v>17</v>
      </c>
      <c r="J55" s="7" t="s">
        <v>18</v>
      </c>
      <c r="K55" s="7" t="s">
        <v>116</v>
      </c>
      <c r="L55" s="8">
        <v>1.769976873435E12</v>
      </c>
      <c r="M55" s="9" t="s">
        <v>20</v>
      </c>
      <c r="N55" s="10"/>
      <c r="O55" s="10"/>
      <c r="P55" s="10"/>
      <c r="Q55" s="10"/>
      <c r="R55" s="10"/>
      <c r="S55" s="10"/>
      <c r="T55" s="10"/>
      <c r="U55" s="10"/>
      <c r="V55" s="10"/>
    </row>
    <row r="56" ht="22.5" customHeight="1">
      <c r="A56" s="5">
        <v>1.40658987035E11</v>
      </c>
      <c r="B56" s="5" t="s">
        <v>117</v>
      </c>
      <c r="C56" s="5">
        <v>51989421236</v>
      </c>
      <c r="D56" s="5" t="s">
        <v>13</v>
      </c>
      <c r="E56" s="5">
        <v>8.060572E7</v>
      </c>
      <c r="F56" s="5" t="s">
        <v>28</v>
      </c>
      <c r="G56" s="5" t="s">
        <v>15</v>
      </c>
      <c r="H56" s="5" t="s">
        <v>66</v>
      </c>
      <c r="I56" s="6" t="s">
        <v>17</v>
      </c>
      <c r="J56" s="7" t="s">
        <v>25</v>
      </c>
      <c r="K56" s="7"/>
      <c r="L56" s="8">
        <v>1.769977441706E12</v>
      </c>
      <c r="M56" s="9" t="s">
        <v>20</v>
      </c>
      <c r="N56" s="10"/>
      <c r="O56" s="10"/>
      <c r="P56" s="10"/>
      <c r="Q56" s="10"/>
      <c r="R56" s="10"/>
      <c r="S56" s="10"/>
      <c r="T56" s="10"/>
      <c r="U56" s="10"/>
      <c r="V56" s="10"/>
    </row>
    <row r="57" ht="22.5" customHeight="1">
      <c r="A57" s="5">
        <v>1.62493931694E11</v>
      </c>
      <c r="B57" s="5" t="s">
        <v>118</v>
      </c>
      <c r="C57" s="5">
        <v>5511900000900</v>
      </c>
      <c r="D57" s="5" t="s">
        <v>13</v>
      </c>
      <c r="E57" s="5">
        <v>7.9360573E7</v>
      </c>
      <c r="F57" s="5" t="s">
        <v>93</v>
      </c>
      <c r="G57" s="5">
        <v>50</v>
      </c>
      <c r="H57" s="5" t="s">
        <v>51</v>
      </c>
      <c r="I57" s="6" t="s">
        <v>63</v>
      </c>
      <c r="J57" s="7" t="s">
        <v>34</v>
      </c>
      <c r="K57" s="7"/>
      <c r="L57" s="8">
        <v>1.769978758555E12</v>
      </c>
      <c r="M57" s="9" t="s">
        <v>20</v>
      </c>
      <c r="N57" s="10"/>
      <c r="O57" s="10"/>
      <c r="P57" s="10"/>
      <c r="Q57" s="10"/>
      <c r="R57" s="10"/>
      <c r="S57" s="10"/>
      <c r="T57" s="10"/>
      <c r="U57" s="10"/>
      <c r="V57" s="10"/>
    </row>
    <row r="58" ht="22.5" customHeight="1">
      <c r="A58" s="5">
        <v>1.97012482854E11</v>
      </c>
      <c r="B58" s="5" t="s">
        <v>119</v>
      </c>
      <c r="C58" s="5">
        <v>522292031395</v>
      </c>
      <c r="D58" s="5" t="s">
        <v>13</v>
      </c>
      <c r="E58" s="5">
        <v>8.060572E7</v>
      </c>
      <c r="F58" s="5" t="s">
        <v>31</v>
      </c>
      <c r="G58" s="5" t="s">
        <v>15</v>
      </c>
      <c r="H58" s="5" t="s">
        <v>33</v>
      </c>
      <c r="I58" s="6" t="s">
        <v>17</v>
      </c>
      <c r="J58" s="7" t="s">
        <v>34</v>
      </c>
      <c r="K58" s="7"/>
      <c r="L58" s="8">
        <v>1.769979505575E12</v>
      </c>
      <c r="M58" s="9" t="s">
        <v>20</v>
      </c>
      <c r="N58" s="10"/>
      <c r="O58" s="10"/>
      <c r="P58" s="10"/>
      <c r="Q58" s="10"/>
      <c r="R58" s="10"/>
      <c r="S58" s="10"/>
      <c r="T58" s="10"/>
      <c r="U58" s="10"/>
      <c r="V58" s="10"/>
    </row>
    <row r="59" ht="22.5" customHeight="1">
      <c r="A59" s="5">
        <v>1.98424446297E11</v>
      </c>
      <c r="B59" s="5" t="s">
        <v>120</v>
      </c>
      <c r="C59" s="5">
        <v>5527999979109</v>
      </c>
      <c r="D59" s="5" t="s">
        <v>13</v>
      </c>
      <c r="E59" s="5">
        <v>7.9360573E7</v>
      </c>
      <c r="F59" s="5" t="s">
        <v>39</v>
      </c>
      <c r="G59" s="5" t="s">
        <v>15</v>
      </c>
      <c r="H59" s="5" t="s">
        <v>33</v>
      </c>
      <c r="I59" s="6" t="s">
        <v>17</v>
      </c>
      <c r="J59" s="7" t="s">
        <v>34</v>
      </c>
      <c r="K59" s="7"/>
      <c r="L59" s="8">
        <v>1.769981097894E12</v>
      </c>
      <c r="M59" s="9" t="s">
        <v>20</v>
      </c>
      <c r="N59" s="10"/>
      <c r="O59" s="10"/>
      <c r="P59" s="10"/>
      <c r="Q59" s="10"/>
      <c r="R59" s="10"/>
      <c r="S59" s="10"/>
      <c r="T59" s="10"/>
      <c r="U59" s="10"/>
      <c r="V59" s="10"/>
    </row>
    <row r="60" ht="22.5" customHeight="1">
      <c r="A60" s="5">
        <v>1.98453966626E11</v>
      </c>
      <c r="B60" s="5" t="s">
        <v>121</v>
      </c>
      <c r="C60" s="5">
        <v>51939026898</v>
      </c>
      <c r="D60" s="5" t="s">
        <v>22</v>
      </c>
      <c r="E60" s="5">
        <v>8.0566583E7</v>
      </c>
      <c r="F60" s="5" t="s">
        <v>23</v>
      </c>
      <c r="G60" s="5" t="s">
        <v>44</v>
      </c>
      <c r="H60" s="5" t="s">
        <v>114</v>
      </c>
      <c r="I60" s="6" t="s">
        <v>17</v>
      </c>
      <c r="J60" s="7" t="s">
        <v>34</v>
      </c>
      <c r="K60" s="7"/>
      <c r="L60" s="8">
        <v>1.769982157108E12</v>
      </c>
      <c r="M60" s="9" t="s">
        <v>20</v>
      </c>
      <c r="N60" s="10"/>
      <c r="O60" s="10"/>
      <c r="P60" s="10"/>
      <c r="Q60" s="10"/>
      <c r="R60" s="10"/>
      <c r="S60" s="10"/>
      <c r="T60" s="10"/>
      <c r="U60" s="10"/>
      <c r="V60" s="10"/>
    </row>
    <row r="61" ht="22.5" customHeight="1">
      <c r="A61" s="5">
        <v>1.98453829391E11</v>
      </c>
      <c r="B61" s="5" t="s">
        <v>122</v>
      </c>
      <c r="C61" s="5">
        <v>51935888337</v>
      </c>
      <c r="D61" s="5" t="s">
        <v>13</v>
      </c>
      <c r="E61" s="5">
        <v>8.060572E7</v>
      </c>
      <c r="F61" s="5" t="s">
        <v>31</v>
      </c>
      <c r="G61" s="5" t="s">
        <v>15</v>
      </c>
      <c r="H61" s="5" t="s">
        <v>16</v>
      </c>
      <c r="I61" s="6" t="s">
        <v>17</v>
      </c>
      <c r="J61" s="7" t="s">
        <v>18</v>
      </c>
      <c r="K61" s="7" t="s">
        <v>19</v>
      </c>
      <c r="L61" s="8">
        <v>1.769982621293E12</v>
      </c>
      <c r="M61" s="9" t="s">
        <v>20</v>
      </c>
      <c r="N61" s="10"/>
      <c r="O61" s="10"/>
      <c r="P61" s="10"/>
      <c r="Q61" s="10"/>
      <c r="R61" s="10"/>
      <c r="S61" s="10"/>
      <c r="T61" s="10"/>
      <c r="U61" s="10"/>
      <c r="V61" s="10"/>
    </row>
    <row r="62" ht="22.5" customHeight="1">
      <c r="A62" s="5">
        <v>1.98476551187E11</v>
      </c>
      <c r="B62" s="5" t="s">
        <v>123</v>
      </c>
      <c r="C62" s="5">
        <v>51969836472</v>
      </c>
      <c r="D62" s="5" t="s">
        <v>13</v>
      </c>
      <c r="E62" s="5">
        <v>8.060572E7</v>
      </c>
      <c r="F62" s="5" t="s">
        <v>28</v>
      </c>
      <c r="G62" s="5" t="s">
        <v>15</v>
      </c>
      <c r="H62" s="5" t="s">
        <v>69</v>
      </c>
      <c r="I62" s="6" t="s">
        <v>17</v>
      </c>
      <c r="J62" s="7" t="s">
        <v>124</v>
      </c>
      <c r="K62" s="7" t="s">
        <v>125</v>
      </c>
      <c r="L62" s="8">
        <v>1.769985125693E12</v>
      </c>
      <c r="M62" s="9" t="s">
        <v>20</v>
      </c>
      <c r="N62" s="10"/>
      <c r="O62" s="10"/>
      <c r="P62" s="10"/>
      <c r="Q62" s="10"/>
      <c r="R62" s="10"/>
      <c r="S62" s="10"/>
      <c r="T62" s="10"/>
      <c r="U62" s="10"/>
      <c r="V62" s="10"/>
    </row>
    <row r="63" ht="22.5" customHeight="1">
      <c r="A63" s="5">
        <v>1.98432389003E11</v>
      </c>
      <c r="B63" s="5" t="s">
        <v>126</v>
      </c>
      <c r="C63" s="5">
        <v>51959655112</v>
      </c>
      <c r="D63" s="5" t="s">
        <v>13</v>
      </c>
      <c r="E63" s="5">
        <v>8.060572E7</v>
      </c>
      <c r="F63" s="5" t="s">
        <v>28</v>
      </c>
      <c r="G63" s="5" t="s">
        <v>15</v>
      </c>
      <c r="H63" s="5" t="s">
        <v>51</v>
      </c>
      <c r="I63" s="6" t="s">
        <v>17</v>
      </c>
      <c r="J63" s="7" t="s">
        <v>18</v>
      </c>
      <c r="K63" s="7" t="s">
        <v>19</v>
      </c>
      <c r="L63" s="8">
        <v>1.769988076433E12</v>
      </c>
      <c r="M63" s="9" t="s">
        <v>20</v>
      </c>
      <c r="N63" s="10"/>
      <c r="O63" s="10"/>
      <c r="P63" s="10"/>
      <c r="Q63" s="10"/>
      <c r="R63" s="10"/>
      <c r="S63" s="10"/>
      <c r="T63" s="10"/>
      <c r="U63" s="10"/>
      <c r="V63" s="10"/>
    </row>
    <row r="64" ht="22.5" customHeight="1">
      <c r="A64" s="5">
        <v>1.98487889468E11</v>
      </c>
      <c r="B64" s="5" t="s">
        <v>127</v>
      </c>
      <c r="C64" s="5">
        <v>51966397464</v>
      </c>
      <c r="D64" s="5" t="s">
        <v>13</v>
      </c>
      <c r="E64" s="5">
        <v>8.060572E7</v>
      </c>
      <c r="F64" s="5" t="s">
        <v>28</v>
      </c>
      <c r="G64" s="5" t="s">
        <v>32</v>
      </c>
      <c r="H64" s="5" t="s">
        <v>128</v>
      </c>
      <c r="I64" s="6" t="s">
        <v>17</v>
      </c>
      <c r="J64" s="7" t="s">
        <v>18</v>
      </c>
      <c r="K64" s="7" t="s">
        <v>19</v>
      </c>
      <c r="L64" s="8">
        <v>1.769988178668E12</v>
      </c>
      <c r="M64" s="9" t="s">
        <v>20</v>
      </c>
      <c r="N64" s="10"/>
      <c r="O64" s="10"/>
      <c r="P64" s="10"/>
      <c r="Q64" s="10"/>
      <c r="R64" s="10"/>
      <c r="S64" s="10"/>
      <c r="T64" s="10"/>
      <c r="U64" s="10"/>
      <c r="V64" s="10"/>
    </row>
    <row r="65" ht="22.5" customHeight="1">
      <c r="A65" s="5">
        <v>1.98485658957E11</v>
      </c>
      <c r="B65" s="5" t="s">
        <v>129</v>
      </c>
      <c r="C65" s="5">
        <v>5511977969274</v>
      </c>
      <c r="D65" s="5" t="s">
        <v>13</v>
      </c>
      <c r="E65" s="5">
        <v>7.9360573E7</v>
      </c>
      <c r="F65" s="5"/>
      <c r="G65" s="5"/>
      <c r="H65" s="5" t="s">
        <v>24</v>
      </c>
      <c r="I65" s="6"/>
      <c r="J65" s="7" t="s">
        <v>34</v>
      </c>
      <c r="K65" s="7"/>
      <c r="L65" s="8">
        <v>1.769988882022E12</v>
      </c>
      <c r="M65" s="9" t="s">
        <v>20</v>
      </c>
      <c r="N65" s="10"/>
      <c r="O65" s="10"/>
      <c r="P65" s="10"/>
      <c r="Q65" s="10"/>
      <c r="R65" s="10"/>
      <c r="S65" s="10"/>
      <c r="T65" s="10"/>
      <c r="U65" s="10"/>
      <c r="V65" s="10"/>
    </row>
    <row r="66" ht="22.5" customHeight="1">
      <c r="A66" s="5">
        <v>1.97557734989E11</v>
      </c>
      <c r="B66" s="5" t="s">
        <v>130</v>
      </c>
      <c r="C66" s="5">
        <v>51950765966</v>
      </c>
      <c r="D66" s="5" t="s">
        <v>22</v>
      </c>
      <c r="E66" s="5">
        <v>8.0566583E7</v>
      </c>
      <c r="F66" s="5" t="s">
        <v>39</v>
      </c>
      <c r="G66" s="5" t="s">
        <v>44</v>
      </c>
      <c r="H66" s="5" t="s">
        <v>16</v>
      </c>
      <c r="I66" s="6" t="s">
        <v>17</v>
      </c>
      <c r="J66" s="7" t="s">
        <v>34</v>
      </c>
      <c r="K66" s="7"/>
      <c r="L66" s="8">
        <v>1.769990495565E12</v>
      </c>
      <c r="M66" s="9" t="s">
        <v>20</v>
      </c>
      <c r="N66" s="10"/>
      <c r="O66" s="10"/>
      <c r="P66" s="10"/>
      <c r="Q66" s="10"/>
      <c r="R66" s="10"/>
      <c r="S66" s="10"/>
      <c r="T66" s="10"/>
      <c r="U66" s="10"/>
      <c r="V66" s="10"/>
    </row>
    <row r="67" ht="22.5" customHeight="1">
      <c r="A67" s="5">
        <v>1.98435714345E11</v>
      </c>
      <c r="B67" s="5" t="s">
        <v>131</v>
      </c>
      <c r="C67" s="5">
        <v>51990331364</v>
      </c>
      <c r="D67" s="5" t="s">
        <v>22</v>
      </c>
      <c r="E67" s="5">
        <v>8.0566583E7</v>
      </c>
      <c r="F67" s="5" t="s">
        <v>39</v>
      </c>
      <c r="G67" s="5" t="s">
        <v>44</v>
      </c>
      <c r="H67" s="5" t="s">
        <v>24</v>
      </c>
      <c r="I67" s="6" t="s">
        <v>17</v>
      </c>
      <c r="J67" s="7" t="s">
        <v>34</v>
      </c>
      <c r="K67" s="7"/>
      <c r="L67" s="8">
        <v>1.769992609466E12</v>
      </c>
      <c r="M67" s="9" t="s">
        <v>20</v>
      </c>
      <c r="N67" s="10"/>
      <c r="O67" s="10"/>
      <c r="P67" s="10"/>
      <c r="Q67" s="10"/>
      <c r="R67" s="10"/>
      <c r="S67" s="10"/>
      <c r="T67" s="10"/>
      <c r="U67" s="10"/>
      <c r="V67" s="10"/>
    </row>
    <row r="68" ht="22.5" customHeight="1">
      <c r="A68" s="5">
        <v>1.90245242241E11</v>
      </c>
      <c r="B68" s="5" t="s">
        <v>132</v>
      </c>
      <c r="C68" s="5">
        <v>51963250005</v>
      </c>
      <c r="D68" s="5" t="s">
        <v>22</v>
      </c>
      <c r="E68" s="5">
        <v>8.060572E7</v>
      </c>
      <c r="F68" s="5" t="s">
        <v>23</v>
      </c>
      <c r="G68" s="5" t="s">
        <v>44</v>
      </c>
      <c r="H68" s="5" t="s">
        <v>114</v>
      </c>
      <c r="I68" s="6" t="s">
        <v>17</v>
      </c>
      <c r="J68" s="7" t="s">
        <v>18</v>
      </c>
      <c r="K68" s="7" t="s">
        <v>19</v>
      </c>
      <c r="L68" s="8">
        <v>1.769993203128E12</v>
      </c>
      <c r="M68" s="9" t="s">
        <v>20</v>
      </c>
      <c r="N68" s="10"/>
      <c r="O68" s="10"/>
      <c r="P68" s="10"/>
      <c r="Q68" s="10"/>
      <c r="R68" s="10"/>
      <c r="S68" s="10"/>
      <c r="T68" s="10"/>
      <c r="U68" s="10"/>
      <c r="V68" s="10"/>
    </row>
    <row r="69" ht="22.5" customHeight="1">
      <c r="A69" s="5">
        <v>1.98437699488E11</v>
      </c>
      <c r="B69" s="5" t="s">
        <v>133</v>
      </c>
      <c r="C69" s="5">
        <v>5515998520133</v>
      </c>
      <c r="D69" s="5" t="s">
        <v>13</v>
      </c>
      <c r="E69" s="5">
        <v>7.9360573E7</v>
      </c>
      <c r="F69" s="5" t="s">
        <v>39</v>
      </c>
      <c r="G69" s="5" t="s">
        <v>15</v>
      </c>
      <c r="H69" s="5" t="s">
        <v>55</v>
      </c>
      <c r="I69" s="6" t="s">
        <v>17</v>
      </c>
      <c r="J69" s="7" t="s">
        <v>34</v>
      </c>
      <c r="K69" s="7"/>
      <c r="L69" s="8">
        <v>1.769993986098E12</v>
      </c>
      <c r="M69" s="9" t="s">
        <v>20</v>
      </c>
      <c r="N69" s="10"/>
      <c r="O69" s="10"/>
      <c r="P69" s="10"/>
      <c r="Q69" s="10"/>
      <c r="R69" s="10"/>
      <c r="S69" s="10"/>
      <c r="T69" s="10"/>
      <c r="U69" s="10"/>
      <c r="V69" s="10"/>
    </row>
    <row r="70" ht="22.5" customHeight="1">
      <c r="A70" s="5">
        <v>1.98528749436E11</v>
      </c>
      <c r="B70" s="5" t="s">
        <v>134</v>
      </c>
      <c r="C70" s="5">
        <v>51989232023</v>
      </c>
      <c r="D70" s="5" t="s">
        <v>13</v>
      </c>
      <c r="E70" s="5">
        <v>8.060572E7</v>
      </c>
      <c r="F70" s="5" t="s">
        <v>39</v>
      </c>
      <c r="G70" s="5" t="s">
        <v>15</v>
      </c>
      <c r="H70" s="5" t="s">
        <v>69</v>
      </c>
      <c r="I70" s="6" t="s">
        <v>17</v>
      </c>
      <c r="J70" s="7" t="s">
        <v>18</v>
      </c>
      <c r="K70" s="7" t="s">
        <v>19</v>
      </c>
      <c r="L70" s="8">
        <v>1.770001114109E12</v>
      </c>
      <c r="M70" s="9" t="s">
        <v>20</v>
      </c>
      <c r="N70" s="10"/>
      <c r="O70" s="10"/>
      <c r="P70" s="10"/>
      <c r="Q70" s="10"/>
      <c r="R70" s="10"/>
      <c r="S70" s="10"/>
      <c r="T70" s="10"/>
      <c r="U70" s="10"/>
      <c r="V70" s="10"/>
    </row>
    <row r="71" ht="22.5" customHeight="1">
      <c r="A71" s="5">
        <v>1.98530613311E11</v>
      </c>
      <c r="B71" s="5" t="s">
        <v>135</v>
      </c>
      <c r="C71" s="5">
        <v>5514991823412</v>
      </c>
      <c r="D71" s="5" t="s">
        <v>13</v>
      </c>
      <c r="E71" s="5">
        <v>7.9360573E7</v>
      </c>
      <c r="F71" s="5" t="s">
        <v>23</v>
      </c>
      <c r="G71" s="5" t="s">
        <v>15</v>
      </c>
      <c r="H71" s="5" t="s">
        <v>66</v>
      </c>
      <c r="I71" s="6" t="s">
        <v>17</v>
      </c>
      <c r="J71" s="7" t="s">
        <v>34</v>
      </c>
      <c r="K71" s="7"/>
      <c r="L71" s="8">
        <v>1.770001964631E12</v>
      </c>
      <c r="M71" s="9" t="s">
        <v>20</v>
      </c>
      <c r="N71" s="10"/>
      <c r="O71" s="10"/>
      <c r="P71" s="10"/>
      <c r="Q71" s="10"/>
      <c r="R71" s="10"/>
      <c r="S71" s="10"/>
      <c r="T71" s="10"/>
      <c r="U71" s="10"/>
      <c r="V71" s="10"/>
    </row>
    <row r="72" ht="22.5" customHeight="1">
      <c r="A72" s="5">
        <v>1.98529483372E11</v>
      </c>
      <c r="B72" s="5" t="s">
        <v>136</v>
      </c>
      <c r="C72" s="5">
        <v>51902616030</v>
      </c>
      <c r="D72" s="5" t="s">
        <v>13</v>
      </c>
      <c r="E72" s="5">
        <v>8.060572E7</v>
      </c>
      <c r="F72" s="5" t="s">
        <v>31</v>
      </c>
      <c r="G72" s="5" t="s">
        <v>15</v>
      </c>
      <c r="H72" s="5" t="s">
        <v>66</v>
      </c>
      <c r="I72" s="6" t="s">
        <v>17</v>
      </c>
      <c r="J72" s="7" t="s">
        <v>18</v>
      </c>
      <c r="K72" s="7" t="s">
        <v>116</v>
      </c>
      <c r="L72" s="8">
        <v>1.770002414169E12</v>
      </c>
      <c r="M72" s="9" t="s">
        <v>20</v>
      </c>
      <c r="N72" s="10"/>
      <c r="O72" s="10"/>
      <c r="P72" s="10"/>
      <c r="Q72" s="10"/>
      <c r="R72" s="10"/>
      <c r="S72" s="10"/>
      <c r="T72" s="10"/>
      <c r="U72" s="10"/>
      <c r="V72" s="10"/>
    </row>
    <row r="73" ht="22.5" customHeight="1">
      <c r="A73" s="5">
        <v>1.98538829647E11</v>
      </c>
      <c r="B73" s="5" t="s">
        <v>137</v>
      </c>
      <c r="C73" s="5">
        <v>51937602103</v>
      </c>
      <c r="D73" s="5" t="s">
        <v>13</v>
      </c>
      <c r="E73" s="5">
        <v>8.060572E7</v>
      </c>
      <c r="F73" s="5" t="s">
        <v>93</v>
      </c>
      <c r="G73" s="5" t="s">
        <v>15</v>
      </c>
      <c r="H73" s="5" t="s">
        <v>51</v>
      </c>
      <c r="I73" s="6" t="s">
        <v>17</v>
      </c>
      <c r="J73" s="7" t="s">
        <v>18</v>
      </c>
      <c r="K73" s="7" t="s">
        <v>19</v>
      </c>
      <c r="L73" s="8">
        <v>1.77000281628E12</v>
      </c>
      <c r="M73" s="9" t="s">
        <v>20</v>
      </c>
      <c r="N73" s="10"/>
      <c r="O73" s="10"/>
      <c r="P73" s="10"/>
      <c r="Q73" s="10"/>
      <c r="R73" s="10"/>
      <c r="S73" s="10"/>
      <c r="T73" s="10"/>
      <c r="U73" s="10"/>
      <c r="V73" s="10"/>
    </row>
    <row r="74" ht="22.5" customHeight="1">
      <c r="A74" s="5">
        <v>1.98522655842E11</v>
      </c>
      <c r="B74" s="5" t="s">
        <v>138</v>
      </c>
      <c r="C74" s="5">
        <v>5524988214586</v>
      </c>
      <c r="D74" s="5" t="s">
        <v>13</v>
      </c>
      <c r="E74" s="5">
        <v>7.9360573E7</v>
      </c>
      <c r="F74" s="5" t="s">
        <v>31</v>
      </c>
      <c r="G74" s="5" t="s">
        <v>15</v>
      </c>
      <c r="H74" s="5" t="s">
        <v>24</v>
      </c>
      <c r="I74" s="6" t="s">
        <v>89</v>
      </c>
      <c r="J74" s="7" t="s">
        <v>18</v>
      </c>
      <c r="K74" s="7" t="s">
        <v>45</v>
      </c>
      <c r="L74" s="8">
        <v>1.770005077326E12</v>
      </c>
      <c r="M74" s="9" t="s">
        <v>20</v>
      </c>
      <c r="N74" s="10"/>
      <c r="O74" s="10"/>
      <c r="P74" s="10"/>
      <c r="Q74" s="10"/>
      <c r="R74" s="10"/>
      <c r="S74" s="10"/>
      <c r="T74" s="10"/>
      <c r="U74" s="10"/>
      <c r="V74" s="10"/>
    </row>
    <row r="75" ht="22.5" customHeight="1">
      <c r="A75" s="5">
        <v>1.98560200259E11</v>
      </c>
      <c r="B75" s="5" t="s">
        <v>139</v>
      </c>
      <c r="C75" s="5">
        <v>51952948101</v>
      </c>
      <c r="D75" s="5" t="s">
        <v>13</v>
      </c>
      <c r="E75" s="5">
        <v>8.060572E7</v>
      </c>
      <c r="F75" s="5" t="s">
        <v>14</v>
      </c>
      <c r="G75" s="5" t="s">
        <v>15</v>
      </c>
      <c r="H75" s="5" t="s">
        <v>16</v>
      </c>
      <c r="I75" s="6" t="s">
        <v>17</v>
      </c>
      <c r="J75" s="7" t="s">
        <v>18</v>
      </c>
      <c r="K75" s="7" t="s">
        <v>19</v>
      </c>
      <c r="L75" s="8">
        <v>1.770006386572E12</v>
      </c>
      <c r="M75" s="9" t="s">
        <v>20</v>
      </c>
      <c r="N75" s="10"/>
      <c r="O75" s="10"/>
      <c r="P75" s="10"/>
      <c r="Q75" s="10"/>
      <c r="R75" s="10"/>
      <c r="S75" s="10"/>
      <c r="T75" s="10"/>
      <c r="U75" s="10"/>
      <c r="V75" s="10"/>
    </row>
    <row r="76" ht="22.5" customHeight="1">
      <c r="A76" s="5">
        <v>1.98561649778E11</v>
      </c>
      <c r="B76" s="5" t="s">
        <v>140</v>
      </c>
      <c r="C76" s="5">
        <v>51981957863</v>
      </c>
      <c r="D76" s="5" t="s">
        <v>22</v>
      </c>
      <c r="E76" s="5">
        <v>8.0566583E7</v>
      </c>
      <c r="F76" s="5" t="s">
        <v>65</v>
      </c>
      <c r="G76" s="5" t="s">
        <v>44</v>
      </c>
      <c r="H76" s="5" t="s">
        <v>24</v>
      </c>
      <c r="I76" s="6" t="s">
        <v>17</v>
      </c>
      <c r="J76" s="7" t="s">
        <v>18</v>
      </c>
      <c r="K76" s="7" t="s">
        <v>19</v>
      </c>
      <c r="L76" s="8">
        <v>1.770007318161E12</v>
      </c>
      <c r="M76" s="9" t="s">
        <v>20</v>
      </c>
      <c r="N76" s="10"/>
      <c r="O76" s="10"/>
      <c r="P76" s="10"/>
      <c r="Q76" s="10"/>
      <c r="R76" s="10"/>
      <c r="S76" s="10"/>
      <c r="T76" s="10"/>
      <c r="U76" s="10"/>
      <c r="V76" s="10"/>
    </row>
    <row r="77" ht="22.5" customHeight="1">
      <c r="A77" s="5">
        <v>1.98564065122E11</v>
      </c>
      <c r="B77" s="5" t="s">
        <v>141</v>
      </c>
      <c r="C77" s="5">
        <v>528712427834</v>
      </c>
      <c r="D77" s="5" t="s">
        <v>13</v>
      </c>
      <c r="E77" s="5">
        <v>8.060572E7</v>
      </c>
      <c r="F77" s="5" t="s">
        <v>28</v>
      </c>
      <c r="G77" s="5" t="s">
        <v>32</v>
      </c>
      <c r="H77" s="5" t="s">
        <v>24</v>
      </c>
      <c r="I77" s="6" t="s">
        <v>17</v>
      </c>
      <c r="J77" s="7" t="s">
        <v>18</v>
      </c>
      <c r="K77" s="7" t="s">
        <v>61</v>
      </c>
      <c r="L77" s="8">
        <v>1.77001007416E12</v>
      </c>
      <c r="M77" s="9" t="s">
        <v>20</v>
      </c>
      <c r="N77" s="10"/>
      <c r="O77" s="10"/>
      <c r="P77" s="10"/>
      <c r="Q77" s="10"/>
      <c r="R77" s="10"/>
      <c r="S77" s="10"/>
      <c r="T77" s="10"/>
      <c r="U77" s="10"/>
      <c r="V77" s="10"/>
    </row>
    <row r="78" ht="22.5" customHeight="1">
      <c r="A78" s="5">
        <v>1.98528100697E11</v>
      </c>
      <c r="B78" s="5" t="s">
        <v>142</v>
      </c>
      <c r="C78" s="5">
        <v>524448463991</v>
      </c>
      <c r="D78" s="5" t="s">
        <v>22</v>
      </c>
      <c r="E78" s="5">
        <v>8.0566583E7</v>
      </c>
      <c r="F78" s="5" t="s">
        <v>28</v>
      </c>
      <c r="G78" s="5" t="s">
        <v>44</v>
      </c>
      <c r="H78" s="5" t="s">
        <v>69</v>
      </c>
      <c r="I78" s="6" t="s">
        <v>63</v>
      </c>
      <c r="J78" s="7" t="s">
        <v>18</v>
      </c>
      <c r="K78" s="7" t="s">
        <v>61</v>
      </c>
      <c r="L78" s="8">
        <v>1.770010706093E12</v>
      </c>
      <c r="M78" s="9" t="s">
        <v>20</v>
      </c>
      <c r="N78" s="10"/>
      <c r="O78" s="10"/>
      <c r="P78" s="10"/>
      <c r="Q78" s="10"/>
      <c r="R78" s="10"/>
      <c r="S78" s="10"/>
      <c r="T78" s="10"/>
      <c r="U78" s="10"/>
      <c r="V78" s="10"/>
    </row>
    <row r="79" ht="22.5" customHeight="1">
      <c r="A79" s="5">
        <v>1.98560719501E11</v>
      </c>
      <c r="B79" s="5" t="s">
        <v>143</v>
      </c>
      <c r="C79" s="5">
        <v>51998284379</v>
      </c>
      <c r="D79" s="5" t="s">
        <v>103</v>
      </c>
      <c r="E79" s="5">
        <v>8.060572E7</v>
      </c>
      <c r="F79" s="5" t="s">
        <v>28</v>
      </c>
      <c r="G79" s="5" t="s">
        <v>79</v>
      </c>
      <c r="H79" s="5" t="s">
        <v>24</v>
      </c>
      <c r="I79" s="6" t="s">
        <v>17</v>
      </c>
      <c r="J79" s="7" t="s">
        <v>18</v>
      </c>
      <c r="K79" s="7" t="s">
        <v>19</v>
      </c>
      <c r="L79" s="8">
        <v>1.770011326098E12</v>
      </c>
      <c r="M79" s="9" t="s">
        <v>20</v>
      </c>
      <c r="N79" s="10"/>
      <c r="O79" s="10"/>
      <c r="P79" s="10"/>
      <c r="Q79" s="10"/>
      <c r="R79" s="10"/>
      <c r="S79" s="10"/>
      <c r="T79" s="10"/>
      <c r="U79" s="10"/>
      <c r="V79" s="10"/>
    </row>
    <row r="80" ht="22.5" customHeight="1">
      <c r="A80" s="5">
        <v>1.73382561953E11</v>
      </c>
      <c r="B80" s="5" t="s">
        <v>144</v>
      </c>
      <c r="C80" s="5">
        <v>51982295587</v>
      </c>
      <c r="D80" s="5" t="s">
        <v>13</v>
      </c>
      <c r="E80" s="5">
        <v>8.060572E7</v>
      </c>
      <c r="F80" s="5" t="s">
        <v>31</v>
      </c>
      <c r="G80" s="5" t="s">
        <v>32</v>
      </c>
      <c r="H80" s="5" t="s">
        <v>16</v>
      </c>
      <c r="I80" s="6" t="s">
        <v>36</v>
      </c>
      <c r="J80" s="7" t="s">
        <v>34</v>
      </c>
      <c r="K80" s="7"/>
      <c r="L80" s="8">
        <v>1.77001306015E12</v>
      </c>
      <c r="M80" s="9" t="s">
        <v>20</v>
      </c>
      <c r="N80" s="10"/>
      <c r="O80" s="10"/>
      <c r="P80" s="10"/>
      <c r="Q80" s="10"/>
      <c r="R80" s="10"/>
      <c r="S80" s="10"/>
      <c r="T80" s="10"/>
      <c r="U80" s="10"/>
      <c r="V80" s="10"/>
    </row>
    <row r="81" ht="22.5" customHeight="1">
      <c r="A81" s="5">
        <v>1.98569022591E11</v>
      </c>
      <c r="B81" s="5" t="s">
        <v>145</v>
      </c>
      <c r="C81" s="5">
        <v>51916433921</v>
      </c>
      <c r="D81" s="5" t="s">
        <v>13</v>
      </c>
      <c r="E81" s="5">
        <v>8.060572E7</v>
      </c>
      <c r="F81" s="5" t="s">
        <v>23</v>
      </c>
      <c r="G81" s="5" t="s">
        <v>15</v>
      </c>
      <c r="H81" s="5" t="s">
        <v>16</v>
      </c>
      <c r="I81" s="6" t="s">
        <v>17</v>
      </c>
      <c r="J81" s="7" t="s">
        <v>18</v>
      </c>
      <c r="K81" s="7" t="s">
        <v>19</v>
      </c>
      <c r="L81" s="8">
        <v>1.770013181288E12</v>
      </c>
      <c r="M81" s="9" t="s">
        <v>20</v>
      </c>
      <c r="N81" s="10"/>
      <c r="O81" s="10"/>
      <c r="P81" s="10"/>
      <c r="Q81" s="10"/>
      <c r="R81" s="10"/>
      <c r="S81" s="10"/>
      <c r="T81" s="10"/>
      <c r="U81" s="10"/>
      <c r="V81" s="10"/>
    </row>
    <row r="82" ht="22.5" customHeight="1">
      <c r="A82" s="5">
        <v>1.78953366387E11</v>
      </c>
      <c r="B82" s="5" t="s">
        <v>146</v>
      </c>
      <c r="C82" s="5">
        <v>51941804537</v>
      </c>
      <c r="D82" s="5" t="s">
        <v>13</v>
      </c>
      <c r="E82" s="5">
        <v>8.060572E7</v>
      </c>
      <c r="F82" s="5" t="s">
        <v>28</v>
      </c>
      <c r="G82" s="5" t="s">
        <v>15</v>
      </c>
      <c r="H82" s="5" t="s">
        <v>66</v>
      </c>
      <c r="I82" s="6" t="s">
        <v>63</v>
      </c>
      <c r="J82" s="7" t="s">
        <v>18</v>
      </c>
      <c r="K82" s="7" t="s">
        <v>116</v>
      </c>
      <c r="L82" s="8">
        <v>1.770014550149E12</v>
      </c>
      <c r="M82" s="9" t="s">
        <v>20</v>
      </c>
      <c r="N82" s="10"/>
      <c r="O82" s="10"/>
      <c r="P82" s="10"/>
      <c r="Q82" s="10"/>
      <c r="R82" s="10"/>
      <c r="S82" s="10"/>
      <c r="T82" s="10"/>
      <c r="U82" s="10"/>
      <c r="V82" s="10"/>
    </row>
    <row r="83" ht="22.5" customHeight="1">
      <c r="A83" s="5">
        <v>1.98574553149E11</v>
      </c>
      <c r="B83" s="5" t="s">
        <v>147</v>
      </c>
      <c r="C83" s="5">
        <v>51907700287</v>
      </c>
      <c r="D83" s="5" t="s">
        <v>22</v>
      </c>
      <c r="E83" s="5">
        <v>8.0566583E7</v>
      </c>
      <c r="F83" s="5" t="s">
        <v>93</v>
      </c>
      <c r="G83" s="5" t="s">
        <v>32</v>
      </c>
      <c r="H83" s="5" t="s">
        <v>16</v>
      </c>
      <c r="I83" s="6" t="s">
        <v>148</v>
      </c>
      <c r="J83" s="7" t="s">
        <v>25</v>
      </c>
      <c r="K83" s="7" t="s">
        <v>26</v>
      </c>
      <c r="L83" s="8">
        <v>1.770014989191E12</v>
      </c>
      <c r="M83" s="9" t="s">
        <v>20</v>
      </c>
      <c r="N83" s="10"/>
      <c r="O83" s="10"/>
      <c r="P83" s="10"/>
      <c r="Q83" s="10"/>
      <c r="R83" s="10"/>
      <c r="S83" s="10"/>
      <c r="T83" s="10"/>
      <c r="U83" s="10"/>
      <c r="V83" s="10"/>
    </row>
    <row r="84" ht="22.5" customHeight="1">
      <c r="A84" s="5">
        <v>1.98589852074E11</v>
      </c>
      <c r="B84" s="5" t="s">
        <v>149</v>
      </c>
      <c r="C84" s="5">
        <v>51994603576</v>
      </c>
      <c r="D84" s="5" t="s">
        <v>13</v>
      </c>
      <c r="E84" s="5">
        <v>8.060572E7</v>
      </c>
      <c r="F84" s="5" t="s">
        <v>39</v>
      </c>
      <c r="G84" s="5" t="s">
        <v>15</v>
      </c>
      <c r="H84" s="5" t="s">
        <v>24</v>
      </c>
      <c r="I84" s="6" t="s">
        <v>17</v>
      </c>
      <c r="J84" s="7" t="s">
        <v>18</v>
      </c>
      <c r="K84" s="7" t="s">
        <v>19</v>
      </c>
      <c r="L84" s="8">
        <v>1.770018869896E12</v>
      </c>
      <c r="M84" s="9" t="s">
        <v>20</v>
      </c>
      <c r="N84" s="10"/>
      <c r="O84" s="10"/>
      <c r="P84" s="10"/>
      <c r="Q84" s="10"/>
      <c r="R84" s="10"/>
      <c r="S84" s="10"/>
      <c r="T84" s="10"/>
      <c r="U84" s="10"/>
      <c r="V84" s="10"/>
    </row>
    <row r="85" ht="22.5" customHeight="1">
      <c r="A85" s="5">
        <v>1.98589379193E11</v>
      </c>
      <c r="B85" s="5" t="s">
        <v>150</v>
      </c>
      <c r="C85" s="5">
        <v>524611173526</v>
      </c>
      <c r="D85" s="5" t="s">
        <v>13</v>
      </c>
      <c r="E85" s="5">
        <v>8.060572E7</v>
      </c>
      <c r="F85" s="5" t="s">
        <v>28</v>
      </c>
      <c r="G85" s="5" t="s">
        <v>15</v>
      </c>
      <c r="H85" s="5" t="s">
        <v>66</v>
      </c>
      <c r="I85" s="6" t="s">
        <v>36</v>
      </c>
      <c r="J85" s="7" t="s">
        <v>18</v>
      </c>
      <c r="K85" s="7" t="s">
        <v>61</v>
      </c>
      <c r="L85" s="8">
        <v>1.77001958887E12</v>
      </c>
      <c r="M85" s="9" t="s">
        <v>20</v>
      </c>
      <c r="N85" s="10"/>
      <c r="O85" s="10"/>
      <c r="P85" s="10"/>
      <c r="Q85" s="10"/>
      <c r="R85" s="10"/>
      <c r="S85" s="10"/>
      <c r="T85" s="10"/>
      <c r="U85" s="10"/>
      <c r="V85" s="10"/>
    </row>
    <row r="86" ht="22.5" customHeight="1">
      <c r="A86" s="5">
        <v>1.98593663024E11</v>
      </c>
      <c r="B86" s="5" t="s">
        <v>151</v>
      </c>
      <c r="C86" s="5">
        <v>5511914866196</v>
      </c>
      <c r="D86" s="5" t="s">
        <v>13</v>
      </c>
      <c r="E86" s="5">
        <v>7.9360573E7</v>
      </c>
      <c r="F86" s="5" t="s">
        <v>28</v>
      </c>
      <c r="G86" s="5" t="s">
        <v>15</v>
      </c>
      <c r="H86" s="5" t="s">
        <v>16</v>
      </c>
      <c r="I86" s="6" t="s">
        <v>17</v>
      </c>
      <c r="J86" s="7" t="s">
        <v>34</v>
      </c>
      <c r="K86" s="7"/>
      <c r="L86" s="8">
        <v>1.770022078312E12</v>
      </c>
      <c r="M86" s="9" t="s">
        <v>20</v>
      </c>
      <c r="N86" s="10"/>
      <c r="O86" s="10"/>
      <c r="P86" s="10"/>
      <c r="Q86" s="10"/>
      <c r="R86" s="10"/>
      <c r="S86" s="10"/>
      <c r="T86" s="10"/>
      <c r="U86" s="10"/>
      <c r="V86" s="10"/>
    </row>
    <row r="87" ht="22.5" customHeight="1">
      <c r="A87" s="5">
        <v>1.98600527165E11</v>
      </c>
      <c r="B87" s="5" t="s">
        <v>152</v>
      </c>
      <c r="C87" s="5">
        <v>5579991248951</v>
      </c>
      <c r="D87" s="5" t="s">
        <v>22</v>
      </c>
      <c r="E87" s="5">
        <v>7.9360573E7</v>
      </c>
      <c r="F87" s="5" t="s">
        <v>23</v>
      </c>
      <c r="G87" s="5" t="s">
        <v>44</v>
      </c>
      <c r="H87" s="5" t="s">
        <v>24</v>
      </c>
      <c r="I87" s="6" t="s">
        <v>17</v>
      </c>
      <c r="J87" s="7" t="s">
        <v>34</v>
      </c>
      <c r="K87" s="7"/>
      <c r="L87" s="8">
        <v>1.770022160884E12</v>
      </c>
      <c r="M87" s="9" t="s">
        <v>20</v>
      </c>
      <c r="N87" s="10"/>
      <c r="O87" s="10"/>
      <c r="P87" s="10"/>
      <c r="Q87" s="10"/>
      <c r="R87" s="10"/>
      <c r="S87" s="10"/>
      <c r="T87" s="10"/>
      <c r="U87" s="10"/>
      <c r="V87" s="10"/>
    </row>
    <row r="88" ht="22.5" customHeight="1">
      <c r="A88" s="5">
        <v>1.98598891449E11</v>
      </c>
      <c r="B88" s="5" t="s">
        <v>153</v>
      </c>
      <c r="C88" s="5">
        <v>5535991555608</v>
      </c>
      <c r="D88" s="5" t="s">
        <v>13</v>
      </c>
      <c r="E88" s="5">
        <v>7.9360573E7</v>
      </c>
      <c r="F88" s="5" t="s">
        <v>93</v>
      </c>
      <c r="G88" s="5" t="s">
        <v>15</v>
      </c>
      <c r="H88" s="5" t="s">
        <v>51</v>
      </c>
      <c r="I88" s="6" t="s">
        <v>17</v>
      </c>
      <c r="J88" s="7" t="s">
        <v>34</v>
      </c>
      <c r="K88" s="7"/>
      <c r="L88" s="8">
        <v>1.770022166429E12</v>
      </c>
      <c r="M88" s="9" t="s">
        <v>20</v>
      </c>
      <c r="N88" s="10"/>
      <c r="O88" s="10"/>
      <c r="P88" s="10"/>
      <c r="Q88" s="10"/>
      <c r="R88" s="10"/>
      <c r="S88" s="10"/>
      <c r="T88" s="10"/>
      <c r="U88" s="10"/>
      <c r="V88" s="10"/>
    </row>
    <row r="89" ht="22.5" customHeight="1">
      <c r="A89" s="5">
        <v>1.98604577051E11</v>
      </c>
      <c r="B89" s="5" t="s">
        <v>154</v>
      </c>
      <c r="C89" s="5">
        <v>51976367565</v>
      </c>
      <c r="D89" s="5" t="s">
        <v>22</v>
      </c>
      <c r="E89" s="5">
        <v>8.0566583E7</v>
      </c>
      <c r="F89" s="5" t="s">
        <v>28</v>
      </c>
      <c r="G89" s="5">
        <v>50</v>
      </c>
      <c r="H89" s="5" t="s">
        <v>24</v>
      </c>
      <c r="I89" s="6" t="s">
        <v>17</v>
      </c>
      <c r="J89" s="7" t="s">
        <v>18</v>
      </c>
      <c r="K89" s="7" t="s">
        <v>19</v>
      </c>
      <c r="L89" s="8">
        <v>1.770027885608E12</v>
      </c>
      <c r="M89" s="9" t="s">
        <v>20</v>
      </c>
      <c r="N89" s="10"/>
      <c r="O89" s="10"/>
      <c r="P89" s="10"/>
      <c r="Q89" s="10"/>
      <c r="R89" s="10"/>
      <c r="S89" s="10"/>
      <c r="T89" s="10"/>
      <c r="U89" s="10"/>
      <c r="V89" s="10"/>
    </row>
    <row r="90" ht="22.5" customHeight="1">
      <c r="A90" s="5">
        <v>1.98607798129E11</v>
      </c>
      <c r="B90" s="5" t="s">
        <v>155</v>
      </c>
      <c r="C90" s="5">
        <v>51959972358</v>
      </c>
      <c r="D90" s="5" t="s">
        <v>13</v>
      </c>
      <c r="E90" s="5">
        <v>8.060572E7</v>
      </c>
      <c r="F90" s="5" t="s">
        <v>28</v>
      </c>
      <c r="G90" s="5" t="s">
        <v>15</v>
      </c>
      <c r="H90" s="5" t="s">
        <v>51</v>
      </c>
      <c r="I90" s="6" t="s">
        <v>17</v>
      </c>
      <c r="J90" s="7" t="s">
        <v>18</v>
      </c>
      <c r="K90" s="7" t="s">
        <v>19</v>
      </c>
      <c r="L90" s="8">
        <v>1.770029445914E12</v>
      </c>
      <c r="M90" s="9" t="s">
        <v>20</v>
      </c>
      <c r="N90" s="10"/>
      <c r="O90" s="10"/>
      <c r="P90" s="10"/>
      <c r="Q90" s="10"/>
      <c r="R90" s="10"/>
      <c r="S90" s="10"/>
      <c r="T90" s="10"/>
      <c r="U90" s="10"/>
      <c r="V90" s="10"/>
    </row>
    <row r="91" ht="22.5" customHeight="1">
      <c r="A91" s="5">
        <v>1.98666370938E11</v>
      </c>
      <c r="B91" s="5" t="s">
        <v>156</v>
      </c>
      <c r="C91" s="5">
        <v>51949220358</v>
      </c>
      <c r="D91" s="5" t="s">
        <v>103</v>
      </c>
      <c r="E91" s="5">
        <v>8.060572E7</v>
      </c>
      <c r="F91" s="5" t="s">
        <v>39</v>
      </c>
      <c r="G91" s="5" t="s">
        <v>79</v>
      </c>
      <c r="H91" s="5" t="s">
        <v>29</v>
      </c>
      <c r="I91" s="6" t="s">
        <v>17</v>
      </c>
      <c r="J91" s="7" t="s">
        <v>58</v>
      </c>
      <c r="K91" s="11" t="s">
        <v>59</v>
      </c>
      <c r="L91" s="8">
        <v>1.77003303729E12</v>
      </c>
      <c r="M91" s="9" t="s">
        <v>20</v>
      </c>
      <c r="N91" s="10"/>
      <c r="O91" s="10"/>
      <c r="P91" s="10"/>
      <c r="Q91" s="10"/>
      <c r="R91" s="10"/>
      <c r="S91" s="10"/>
      <c r="T91" s="10"/>
      <c r="U91" s="10"/>
      <c r="V91" s="10"/>
    </row>
    <row r="92" ht="22.5" customHeight="1">
      <c r="A92" s="5">
        <v>1.98665931531E11</v>
      </c>
      <c r="B92" s="5" t="s">
        <v>157</v>
      </c>
      <c r="C92" s="5">
        <v>51941871878</v>
      </c>
      <c r="D92" s="5" t="s">
        <v>13</v>
      </c>
      <c r="E92" s="5">
        <v>8.060572E7</v>
      </c>
      <c r="F92" s="5" t="s">
        <v>42</v>
      </c>
      <c r="G92" s="5" t="s">
        <v>32</v>
      </c>
      <c r="H92" s="5" t="s">
        <v>40</v>
      </c>
      <c r="I92" s="6" t="s">
        <v>17</v>
      </c>
      <c r="J92" s="7" t="s">
        <v>18</v>
      </c>
      <c r="K92" s="7" t="s">
        <v>19</v>
      </c>
      <c r="L92" s="8">
        <v>1.770033365701E12</v>
      </c>
      <c r="M92" s="9" t="s">
        <v>20</v>
      </c>
      <c r="N92" s="10"/>
      <c r="O92" s="10"/>
      <c r="P92" s="10"/>
      <c r="Q92" s="10"/>
      <c r="R92" s="10"/>
      <c r="S92" s="10"/>
      <c r="T92" s="10"/>
      <c r="U92" s="10"/>
      <c r="V92" s="10"/>
    </row>
    <row r="93" ht="22.5" customHeight="1">
      <c r="A93" s="5">
        <v>1.98669141842E11</v>
      </c>
      <c r="B93" s="5" t="s">
        <v>158</v>
      </c>
      <c r="C93" s="5">
        <v>51933265214</v>
      </c>
      <c r="D93" s="5" t="s">
        <v>103</v>
      </c>
      <c r="E93" s="5">
        <v>8.060572E7</v>
      </c>
      <c r="F93" s="5" t="s">
        <v>28</v>
      </c>
      <c r="G93" s="5" t="s">
        <v>104</v>
      </c>
      <c r="H93" s="5" t="s">
        <v>80</v>
      </c>
      <c r="I93" s="6" t="s">
        <v>17</v>
      </c>
      <c r="J93" s="7" t="s">
        <v>18</v>
      </c>
      <c r="K93" s="7" t="s">
        <v>19</v>
      </c>
      <c r="L93" s="8">
        <v>1.770034482723E12</v>
      </c>
      <c r="M93" s="9" t="s">
        <v>20</v>
      </c>
      <c r="N93" s="10"/>
      <c r="O93" s="10"/>
      <c r="P93" s="10"/>
      <c r="Q93" s="10"/>
      <c r="R93" s="10"/>
      <c r="S93" s="10"/>
      <c r="T93" s="10"/>
      <c r="U93" s="10"/>
      <c r="V93" s="10"/>
    </row>
    <row r="94" ht="22.5" customHeight="1">
      <c r="A94" s="5">
        <v>1.98684973353E11</v>
      </c>
      <c r="B94" s="5" t="s">
        <v>159</v>
      </c>
      <c r="C94" s="5">
        <v>51984305406</v>
      </c>
      <c r="D94" s="5" t="s">
        <v>13</v>
      </c>
      <c r="E94" s="5">
        <v>8.060572E7</v>
      </c>
      <c r="F94" s="5" t="s">
        <v>31</v>
      </c>
      <c r="G94" s="5" t="s">
        <v>15</v>
      </c>
      <c r="H94" s="5" t="s">
        <v>24</v>
      </c>
      <c r="I94" s="6" t="s">
        <v>17</v>
      </c>
      <c r="J94" s="7" t="s">
        <v>18</v>
      </c>
      <c r="K94" s="7" t="s">
        <v>19</v>
      </c>
      <c r="L94" s="8">
        <v>1.770034619852E12</v>
      </c>
      <c r="M94" s="9" t="s">
        <v>20</v>
      </c>
      <c r="N94" s="10"/>
      <c r="O94" s="10"/>
      <c r="P94" s="10"/>
      <c r="Q94" s="10"/>
      <c r="R94" s="10"/>
      <c r="S94" s="10"/>
      <c r="T94" s="10"/>
      <c r="U94" s="10"/>
      <c r="V94" s="10"/>
    </row>
    <row r="95" ht="22.5" customHeight="1">
      <c r="A95" s="5">
        <v>1.98691907918E11</v>
      </c>
      <c r="B95" s="5" t="s">
        <v>160</v>
      </c>
      <c r="C95" s="5">
        <v>51942261606</v>
      </c>
      <c r="D95" s="5" t="s">
        <v>13</v>
      </c>
      <c r="E95" s="5"/>
      <c r="F95" s="5" t="s">
        <v>39</v>
      </c>
      <c r="G95" s="5" t="s">
        <v>32</v>
      </c>
      <c r="H95" s="5" t="s">
        <v>161</v>
      </c>
      <c r="I95" s="6" t="s">
        <v>49</v>
      </c>
      <c r="J95" s="7" t="s">
        <v>25</v>
      </c>
      <c r="K95" s="7" t="s">
        <v>26</v>
      </c>
      <c r="L95" s="8">
        <v>1.770038779819E12</v>
      </c>
      <c r="M95" s="9" t="s">
        <v>20</v>
      </c>
      <c r="N95" s="10"/>
      <c r="O95" s="10"/>
      <c r="P95" s="10"/>
      <c r="Q95" s="10"/>
      <c r="R95" s="10"/>
      <c r="S95" s="10"/>
      <c r="T95" s="10"/>
      <c r="U95" s="10"/>
      <c r="V95" s="10"/>
    </row>
    <row r="96" ht="22.5" customHeight="1">
      <c r="A96" s="5">
        <v>1.98682917998E11</v>
      </c>
      <c r="B96" s="5" t="s">
        <v>162</v>
      </c>
      <c r="C96" s="5">
        <v>51935633678</v>
      </c>
      <c r="D96" s="5" t="s">
        <v>13</v>
      </c>
      <c r="E96" s="5"/>
      <c r="F96" s="5" t="s">
        <v>23</v>
      </c>
      <c r="G96" s="5" t="s">
        <v>15</v>
      </c>
      <c r="H96" s="5" t="s">
        <v>24</v>
      </c>
      <c r="I96" s="6" t="s">
        <v>17</v>
      </c>
      <c r="J96" s="7" t="s">
        <v>34</v>
      </c>
      <c r="K96" s="7"/>
      <c r="L96" s="8">
        <v>1.77003878296E12</v>
      </c>
      <c r="M96" s="9" t="s">
        <v>20</v>
      </c>
      <c r="N96" s="10"/>
      <c r="O96" s="10"/>
      <c r="P96" s="10"/>
      <c r="Q96" s="10"/>
      <c r="R96" s="10"/>
      <c r="S96" s="10"/>
      <c r="T96" s="10"/>
      <c r="U96" s="10"/>
      <c r="V96" s="10"/>
    </row>
    <row r="97" ht="22.5" customHeight="1">
      <c r="A97" s="5">
        <v>1.9868184937E11</v>
      </c>
      <c r="B97" s="5" t="s">
        <v>163</v>
      </c>
      <c r="C97" s="5">
        <v>51922175401</v>
      </c>
      <c r="D97" s="5" t="s">
        <v>38</v>
      </c>
      <c r="E97" s="5"/>
      <c r="F97" s="5"/>
      <c r="G97" s="5"/>
      <c r="H97" s="5"/>
      <c r="I97" s="6"/>
      <c r="J97" s="7" t="s">
        <v>58</v>
      </c>
      <c r="K97" s="11" t="s">
        <v>59</v>
      </c>
      <c r="L97" s="8">
        <v>1.770038798748E12</v>
      </c>
      <c r="M97" s="9" t="s">
        <v>20</v>
      </c>
      <c r="N97" s="10"/>
      <c r="O97" s="10"/>
      <c r="P97" s="10"/>
      <c r="Q97" s="10"/>
      <c r="R97" s="10"/>
      <c r="S97" s="10"/>
      <c r="T97" s="10"/>
      <c r="U97" s="10"/>
      <c r="V97" s="10"/>
    </row>
    <row r="98" ht="22.5" customHeight="1">
      <c r="A98" s="5">
        <v>1.80795999662E11</v>
      </c>
      <c r="B98" s="5" t="s">
        <v>164</v>
      </c>
      <c r="C98" s="5">
        <v>51979348044</v>
      </c>
      <c r="D98" s="5" t="s">
        <v>13</v>
      </c>
      <c r="E98" s="5">
        <v>8.0566583E7</v>
      </c>
      <c r="F98" s="5" t="s">
        <v>39</v>
      </c>
      <c r="G98" s="5" t="s">
        <v>32</v>
      </c>
      <c r="H98" s="5" t="s">
        <v>165</v>
      </c>
      <c r="I98" s="6" t="s">
        <v>17</v>
      </c>
      <c r="J98" s="7" t="s">
        <v>18</v>
      </c>
      <c r="K98" s="7" t="s">
        <v>166</v>
      </c>
      <c r="L98" s="8">
        <v>1.770039896383E12</v>
      </c>
      <c r="M98" s="9" t="s">
        <v>20</v>
      </c>
      <c r="N98" s="10"/>
      <c r="O98" s="10"/>
      <c r="P98" s="10"/>
      <c r="Q98" s="10"/>
      <c r="R98" s="10"/>
      <c r="S98" s="10"/>
      <c r="T98" s="10"/>
      <c r="U98" s="10"/>
      <c r="V98" s="10"/>
    </row>
    <row r="99" ht="22.5" customHeight="1">
      <c r="A99" s="5">
        <v>1.98709490723E11</v>
      </c>
      <c r="B99" s="5" t="s">
        <v>167</v>
      </c>
      <c r="C99" s="5">
        <v>51934025842</v>
      </c>
      <c r="D99" s="5" t="s">
        <v>22</v>
      </c>
      <c r="E99" s="5"/>
      <c r="F99" s="5" t="s">
        <v>28</v>
      </c>
      <c r="G99" s="5" t="s">
        <v>44</v>
      </c>
      <c r="H99" s="5" t="s">
        <v>114</v>
      </c>
      <c r="I99" s="6" t="s">
        <v>17</v>
      </c>
      <c r="J99" s="7" t="s">
        <v>58</v>
      </c>
      <c r="K99" s="11" t="s">
        <v>59</v>
      </c>
      <c r="L99" s="8">
        <v>1.77004065939E12</v>
      </c>
      <c r="M99" s="9" t="s">
        <v>20</v>
      </c>
      <c r="N99" s="10"/>
      <c r="O99" s="10"/>
      <c r="P99" s="10"/>
      <c r="Q99" s="10"/>
      <c r="R99" s="10"/>
      <c r="S99" s="10"/>
      <c r="T99" s="10"/>
      <c r="U99" s="10"/>
      <c r="V99" s="10"/>
    </row>
    <row r="100" ht="22.5" customHeight="1">
      <c r="A100" s="5">
        <v>1.98694638209E11</v>
      </c>
      <c r="B100" s="5" t="s">
        <v>168</v>
      </c>
      <c r="C100" s="5">
        <v>527221057454</v>
      </c>
      <c r="D100" s="5" t="s">
        <v>22</v>
      </c>
      <c r="E100" s="5">
        <v>8.0566583E7</v>
      </c>
      <c r="F100" s="5" t="s">
        <v>28</v>
      </c>
      <c r="G100" s="5" t="s">
        <v>44</v>
      </c>
      <c r="H100" s="5" t="s">
        <v>40</v>
      </c>
      <c r="I100" s="6" t="s">
        <v>17</v>
      </c>
      <c r="J100" s="7" t="s">
        <v>34</v>
      </c>
      <c r="K100" s="7"/>
      <c r="L100" s="8">
        <v>1.770042722371E12</v>
      </c>
      <c r="M100" s="9"/>
      <c r="N100" s="10"/>
      <c r="O100" s="10"/>
      <c r="P100" s="10"/>
      <c r="Q100" s="10"/>
      <c r="R100" s="10"/>
      <c r="S100" s="10"/>
      <c r="T100" s="10"/>
      <c r="U100" s="10"/>
      <c r="V100" s="10"/>
    </row>
    <row r="101" ht="22.5" customHeight="1">
      <c r="A101" s="5">
        <v>1.98697361068E11</v>
      </c>
      <c r="B101" s="5" t="s">
        <v>169</v>
      </c>
      <c r="C101" s="5">
        <v>525581858617</v>
      </c>
      <c r="D101" s="5" t="s">
        <v>13</v>
      </c>
      <c r="E101" s="5">
        <v>8.0566583E7</v>
      </c>
      <c r="F101" s="5" t="s">
        <v>23</v>
      </c>
      <c r="G101" s="5" t="s">
        <v>32</v>
      </c>
      <c r="H101" s="5" t="s">
        <v>29</v>
      </c>
      <c r="I101" s="6" t="s">
        <v>17</v>
      </c>
      <c r="J101" s="7" t="s">
        <v>18</v>
      </c>
      <c r="K101" s="7" t="s">
        <v>61</v>
      </c>
      <c r="L101" s="8">
        <v>1.770042928999E12</v>
      </c>
      <c r="M101" s="9"/>
      <c r="N101" s="10"/>
      <c r="O101" s="10"/>
      <c r="P101" s="10"/>
      <c r="Q101" s="10"/>
      <c r="R101" s="10"/>
      <c r="S101" s="10"/>
      <c r="T101" s="10"/>
      <c r="U101" s="10"/>
      <c r="V101" s="10"/>
    </row>
    <row r="102" ht="22.5" customHeight="1">
      <c r="A102" s="5">
        <v>1.98699050347E11</v>
      </c>
      <c r="B102" s="5" t="s">
        <v>170</v>
      </c>
      <c r="C102" s="5">
        <v>526671943704</v>
      </c>
      <c r="D102" s="5" t="s">
        <v>13</v>
      </c>
      <c r="E102" s="5">
        <v>8.0566583E7</v>
      </c>
      <c r="F102" s="5" t="s">
        <v>14</v>
      </c>
      <c r="G102" s="5" t="s">
        <v>15</v>
      </c>
      <c r="H102" s="5" t="s">
        <v>51</v>
      </c>
      <c r="I102" s="6" t="s">
        <v>36</v>
      </c>
      <c r="J102" s="7" t="s">
        <v>34</v>
      </c>
      <c r="K102" s="7"/>
      <c r="L102" s="8">
        <v>1.770043576002E12</v>
      </c>
      <c r="M102" s="9"/>
      <c r="N102" s="10"/>
      <c r="O102" s="10"/>
      <c r="P102" s="10"/>
      <c r="Q102" s="10"/>
      <c r="R102" s="10"/>
      <c r="S102" s="10"/>
      <c r="T102" s="10"/>
      <c r="U102" s="10"/>
      <c r="V102" s="10"/>
    </row>
    <row r="103" ht="22.5" customHeight="1">
      <c r="A103" s="5">
        <v>1.98697417606E11</v>
      </c>
      <c r="B103" s="5" t="s">
        <v>171</v>
      </c>
      <c r="C103" s="5">
        <v>51902473556</v>
      </c>
      <c r="D103" s="5" t="s">
        <v>38</v>
      </c>
      <c r="E103" s="5">
        <v>8.0566583E7</v>
      </c>
      <c r="F103" s="5"/>
      <c r="G103" s="5"/>
      <c r="H103" s="5"/>
      <c r="I103" s="6"/>
      <c r="J103" s="7" t="s">
        <v>34</v>
      </c>
      <c r="K103" s="7"/>
      <c r="L103" s="8">
        <v>1.770043928266E12</v>
      </c>
      <c r="M103" s="9"/>
      <c r="N103" s="10"/>
      <c r="O103" s="10"/>
      <c r="P103" s="10"/>
      <c r="Q103" s="10"/>
      <c r="R103" s="10"/>
      <c r="S103" s="10"/>
      <c r="T103" s="10"/>
      <c r="U103" s="10"/>
      <c r="V103" s="10"/>
    </row>
    <row r="104" ht="22.5" customHeight="1">
      <c r="A104" s="5">
        <v>1.05834638764E11</v>
      </c>
      <c r="B104" s="5" t="s">
        <v>172</v>
      </c>
      <c r="C104" s="5">
        <v>5511994639575</v>
      </c>
      <c r="D104" s="5"/>
      <c r="E104" s="5">
        <v>7.9360573E7</v>
      </c>
      <c r="F104" s="5" t="s">
        <v>31</v>
      </c>
      <c r="G104" s="5"/>
      <c r="H104" s="5"/>
      <c r="I104" s="6"/>
      <c r="J104" s="7" t="s">
        <v>34</v>
      </c>
      <c r="K104" s="7"/>
      <c r="L104" s="8">
        <v>1.770044033068E12</v>
      </c>
      <c r="M104" s="9"/>
      <c r="N104" s="10"/>
      <c r="O104" s="10"/>
      <c r="P104" s="10"/>
      <c r="Q104" s="10"/>
      <c r="R104" s="10"/>
      <c r="S104" s="10"/>
      <c r="T104" s="10"/>
      <c r="U104" s="10"/>
      <c r="V104" s="10"/>
    </row>
    <row r="105" ht="22.5" customHeight="1">
      <c r="A105" s="5">
        <v>1.98579746923E11</v>
      </c>
      <c r="B105" s="5" t="s">
        <v>173</v>
      </c>
      <c r="C105" s="5">
        <v>51929708472</v>
      </c>
      <c r="D105" s="5" t="s">
        <v>13</v>
      </c>
      <c r="E105" s="5">
        <v>8.7547393E7</v>
      </c>
      <c r="F105" s="5" t="s">
        <v>23</v>
      </c>
      <c r="G105" s="5" t="s">
        <v>15</v>
      </c>
      <c r="H105" s="5" t="s">
        <v>69</v>
      </c>
      <c r="I105" s="6" t="s">
        <v>63</v>
      </c>
      <c r="J105" s="7" t="s">
        <v>18</v>
      </c>
      <c r="K105" s="7" t="s">
        <v>19</v>
      </c>
      <c r="L105" s="8">
        <v>1.770044739434E12</v>
      </c>
      <c r="M105" s="9"/>
      <c r="N105" s="10"/>
      <c r="O105" s="10"/>
      <c r="P105" s="10"/>
      <c r="Q105" s="10"/>
      <c r="R105" s="10"/>
      <c r="S105" s="10"/>
      <c r="T105" s="10"/>
      <c r="U105" s="10"/>
      <c r="V105" s="10"/>
    </row>
    <row r="106" ht="22.5" customHeight="1">
      <c r="A106" s="5">
        <v>1.98725685815E11</v>
      </c>
      <c r="B106" s="5" t="s">
        <v>174</v>
      </c>
      <c r="C106" s="5">
        <v>51993770978</v>
      </c>
      <c r="D106" s="5" t="s">
        <v>13</v>
      </c>
      <c r="E106" s="5">
        <v>8.7547393E7</v>
      </c>
      <c r="F106" s="5" t="s">
        <v>14</v>
      </c>
      <c r="G106" s="5" t="s">
        <v>32</v>
      </c>
      <c r="H106" s="5" t="s">
        <v>24</v>
      </c>
      <c r="I106" s="6" t="s">
        <v>17</v>
      </c>
      <c r="J106" s="7" t="s">
        <v>34</v>
      </c>
      <c r="K106" s="7"/>
      <c r="L106" s="8">
        <v>1.770047765549E12</v>
      </c>
      <c r="M106" s="9"/>
      <c r="N106" s="10"/>
      <c r="O106" s="10"/>
      <c r="P106" s="10"/>
      <c r="Q106" s="10"/>
      <c r="R106" s="10"/>
      <c r="S106" s="10"/>
      <c r="T106" s="10"/>
      <c r="U106" s="10"/>
      <c r="V106" s="10"/>
    </row>
    <row r="107" ht="22.5" customHeight="1">
      <c r="A107" s="5">
        <v>1.98756758414E11</v>
      </c>
      <c r="B107" s="5" t="s">
        <v>175</v>
      </c>
      <c r="C107" s="5">
        <v>51987705001</v>
      </c>
      <c r="D107" s="5" t="s">
        <v>13</v>
      </c>
      <c r="E107" s="5">
        <v>8.7547393E7</v>
      </c>
      <c r="F107" s="5" t="s">
        <v>42</v>
      </c>
      <c r="G107" s="5" t="s">
        <v>32</v>
      </c>
      <c r="H107" s="5" t="s">
        <v>66</v>
      </c>
      <c r="I107" s="6" t="s">
        <v>17</v>
      </c>
      <c r="J107" s="7" t="s">
        <v>25</v>
      </c>
      <c r="K107" s="7"/>
      <c r="L107" s="8">
        <v>1.770049053291E12</v>
      </c>
      <c r="M107" s="9"/>
      <c r="N107" s="10"/>
      <c r="O107" s="10"/>
      <c r="P107" s="10"/>
      <c r="Q107" s="10"/>
      <c r="R107" s="10"/>
      <c r="S107" s="10"/>
      <c r="T107" s="10"/>
      <c r="U107" s="10"/>
      <c r="V107" s="10"/>
    </row>
    <row r="108" ht="22.5" customHeight="1">
      <c r="A108" s="5">
        <v>1.98760826943E11</v>
      </c>
      <c r="B108" s="5" t="s">
        <v>176</v>
      </c>
      <c r="C108" s="5">
        <v>51998658925</v>
      </c>
      <c r="D108" s="5" t="s">
        <v>13</v>
      </c>
      <c r="E108" s="5">
        <v>8.7547393E7</v>
      </c>
      <c r="F108" s="5" t="s">
        <v>28</v>
      </c>
      <c r="G108" s="5" t="s">
        <v>15</v>
      </c>
      <c r="H108" s="5" t="s">
        <v>16</v>
      </c>
      <c r="I108" s="6" t="s">
        <v>49</v>
      </c>
      <c r="J108" s="7" t="s">
        <v>177</v>
      </c>
      <c r="K108" s="7" t="s">
        <v>36</v>
      </c>
      <c r="L108" s="8">
        <v>1.77004939271E12</v>
      </c>
      <c r="M108" s="9"/>
      <c r="N108" s="10"/>
      <c r="O108" s="10"/>
      <c r="P108" s="10"/>
      <c r="Q108" s="10"/>
      <c r="R108" s="10"/>
      <c r="S108" s="10"/>
      <c r="T108" s="10"/>
      <c r="U108" s="10"/>
      <c r="V108" s="10"/>
    </row>
    <row r="109" ht="22.5" customHeight="1">
      <c r="A109" s="5">
        <v>1.98797974575E11</v>
      </c>
      <c r="B109" s="5" t="s">
        <v>178</v>
      </c>
      <c r="C109" s="5">
        <v>51974399327</v>
      </c>
      <c r="D109" s="5" t="s">
        <v>13</v>
      </c>
      <c r="E109" s="5">
        <v>8.7547393E7</v>
      </c>
      <c r="F109" s="5" t="s">
        <v>31</v>
      </c>
      <c r="G109" s="5" t="s">
        <v>15</v>
      </c>
      <c r="H109" s="5" t="s">
        <v>16</v>
      </c>
      <c r="I109" s="6" t="s">
        <v>17</v>
      </c>
      <c r="J109" s="7" t="s">
        <v>18</v>
      </c>
      <c r="K109" s="7" t="s">
        <v>19</v>
      </c>
      <c r="L109" s="8">
        <v>1.770054318433E12</v>
      </c>
      <c r="M109" s="9"/>
      <c r="N109" s="10"/>
      <c r="O109" s="10"/>
      <c r="P109" s="10"/>
      <c r="Q109" s="10"/>
      <c r="R109" s="10"/>
      <c r="S109" s="10"/>
      <c r="T109" s="10"/>
      <c r="U109" s="10"/>
      <c r="V109" s="10"/>
    </row>
    <row r="110" ht="22.5" customHeight="1">
      <c r="A110" s="5">
        <v>1.98754206993E11</v>
      </c>
      <c r="B110" s="5" t="s">
        <v>179</v>
      </c>
      <c r="C110" s="5">
        <v>51941460964</v>
      </c>
      <c r="D110" s="5" t="s">
        <v>13</v>
      </c>
      <c r="E110" s="5">
        <v>8.7547393E7</v>
      </c>
      <c r="F110" s="5" t="s">
        <v>31</v>
      </c>
      <c r="G110" s="5" t="s">
        <v>15</v>
      </c>
      <c r="H110" s="5" t="s">
        <v>180</v>
      </c>
      <c r="I110" s="6" t="s">
        <v>17</v>
      </c>
      <c r="J110" s="7" t="s">
        <v>58</v>
      </c>
      <c r="K110" s="11" t="s">
        <v>59</v>
      </c>
      <c r="L110" s="8">
        <v>1.770055373651E12</v>
      </c>
      <c r="M110" s="9"/>
      <c r="N110" s="10"/>
      <c r="O110" s="10"/>
      <c r="P110" s="10"/>
      <c r="Q110" s="10"/>
      <c r="R110" s="10"/>
      <c r="S110" s="10"/>
      <c r="T110" s="10"/>
      <c r="U110" s="10"/>
      <c r="V110" s="10"/>
    </row>
    <row r="111" ht="22.5" customHeight="1">
      <c r="A111" s="5">
        <v>1.98755524978E11</v>
      </c>
      <c r="B111" s="5" t="s">
        <v>181</v>
      </c>
      <c r="C111" s="5">
        <v>51951992485</v>
      </c>
      <c r="D111" s="5" t="s">
        <v>13</v>
      </c>
      <c r="E111" s="5">
        <v>8.7547393E7</v>
      </c>
      <c r="F111" s="5" t="s">
        <v>42</v>
      </c>
      <c r="G111" s="5" t="s">
        <v>15</v>
      </c>
      <c r="H111" s="5" t="s">
        <v>51</v>
      </c>
      <c r="I111" s="6" t="s">
        <v>17</v>
      </c>
      <c r="J111" s="7" t="s">
        <v>18</v>
      </c>
      <c r="K111" s="7" t="s">
        <v>19</v>
      </c>
      <c r="L111" s="8">
        <v>1.770056933372E12</v>
      </c>
      <c r="M111" s="9"/>
      <c r="N111" s="10"/>
      <c r="O111" s="10"/>
      <c r="P111" s="10"/>
      <c r="Q111" s="10"/>
      <c r="R111" s="10"/>
      <c r="S111" s="10"/>
      <c r="T111" s="10"/>
      <c r="U111" s="10"/>
      <c r="V111" s="10"/>
    </row>
    <row r="112" ht="22.5" customHeight="1">
      <c r="A112" s="5">
        <v>1.98829369689E11</v>
      </c>
      <c r="B112" s="5" t="s">
        <v>182</v>
      </c>
      <c r="C112" s="5">
        <v>51951497881</v>
      </c>
      <c r="D112" s="5" t="s">
        <v>22</v>
      </c>
      <c r="E112" s="5">
        <v>8.0566583E7</v>
      </c>
      <c r="F112" s="5" t="s">
        <v>28</v>
      </c>
      <c r="G112" s="5">
        <v>50</v>
      </c>
      <c r="H112" s="5" t="s">
        <v>24</v>
      </c>
      <c r="I112" s="6" t="s">
        <v>17</v>
      </c>
      <c r="J112" s="7" t="s">
        <v>34</v>
      </c>
      <c r="K112" s="7"/>
      <c r="L112" s="8">
        <v>1.770062753633E12</v>
      </c>
      <c r="M112" s="9"/>
      <c r="N112" s="10"/>
      <c r="O112" s="10"/>
      <c r="P112" s="10"/>
      <c r="Q112" s="10"/>
      <c r="R112" s="10"/>
      <c r="S112" s="10"/>
      <c r="T112" s="10"/>
      <c r="U112" s="10"/>
      <c r="V112" s="10"/>
    </row>
    <row r="113" ht="22.5" customHeight="1">
      <c r="A113" s="5">
        <v>1.98833197712E11</v>
      </c>
      <c r="B113" s="5" t="s">
        <v>183</v>
      </c>
      <c r="C113" s="5">
        <v>525578034775</v>
      </c>
      <c r="D113" s="5" t="s">
        <v>103</v>
      </c>
      <c r="E113" s="5">
        <v>8.7547393E7</v>
      </c>
      <c r="F113" s="5" t="s">
        <v>23</v>
      </c>
      <c r="G113" s="5" t="s">
        <v>104</v>
      </c>
      <c r="H113" s="5" t="s">
        <v>114</v>
      </c>
      <c r="I113" s="6" t="s">
        <v>49</v>
      </c>
      <c r="J113" s="7" t="s">
        <v>177</v>
      </c>
      <c r="K113" s="7" t="s">
        <v>36</v>
      </c>
      <c r="L113" s="8">
        <v>1.770065957923E12</v>
      </c>
      <c r="M113" s="9"/>
      <c r="N113" s="10"/>
      <c r="O113" s="10"/>
      <c r="P113" s="10"/>
      <c r="Q113" s="10"/>
      <c r="R113" s="10"/>
      <c r="S113" s="10"/>
      <c r="T113" s="10"/>
      <c r="U113" s="10"/>
      <c r="V113" s="10"/>
    </row>
    <row r="114" ht="22.5" customHeight="1">
      <c r="A114" s="5">
        <v>1.98817940379E11</v>
      </c>
      <c r="B114" s="5" t="s">
        <v>184</v>
      </c>
      <c r="C114" s="5">
        <v>51993123317</v>
      </c>
      <c r="D114" s="5" t="s">
        <v>13</v>
      </c>
      <c r="E114" s="5">
        <v>8.7547393E7</v>
      </c>
      <c r="F114" s="5" t="s">
        <v>23</v>
      </c>
      <c r="G114" s="5" t="s">
        <v>15</v>
      </c>
      <c r="H114" s="5" t="s">
        <v>24</v>
      </c>
      <c r="I114" s="6" t="s">
        <v>17</v>
      </c>
      <c r="J114" s="7" t="s">
        <v>18</v>
      </c>
      <c r="K114" s="7" t="s">
        <v>19</v>
      </c>
      <c r="L114" s="8">
        <v>1.770066431856E12</v>
      </c>
      <c r="M114" s="9"/>
      <c r="N114" s="10"/>
      <c r="O114" s="10"/>
      <c r="P114" s="10"/>
      <c r="Q114" s="10"/>
      <c r="R114" s="10"/>
      <c r="S114" s="10"/>
      <c r="T114" s="10"/>
      <c r="U114" s="10"/>
      <c r="V114" s="10"/>
    </row>
    <row r="115" ht="22.5" customHeight="1">
      <c r="A115" s="5">
        <v>1.9886129959E11</v>
      </c>
      <c r="B115" s="5" t="s">
        <v>185</v>
      </c>
      <c r="C115" s="5">
        <v>5538999743720</v>
      </c>
      <c r="D115" s="5" t="s">
        <v>13</v>
      </c>
      <c r="E115" s="5">
        <v>7.9360573E7</v>
      </c>
      <c r="F115" s="5" t="s">
        <v>28</v>
      </c>
      <c r="G115" s="5" t="s">
        <v>15</v>
      </c>
      <c r="H115" s="5" t="s">
        <v>24</v>
      </c>
      <c r="I115" s="6" t="s">
        <v>17</v>
      </c>
      <c r="J115" s="7" t="s">
        <v>34</v>
      </c>
      <c r="K115" s="7"/>
      <c r="L115" s="8">
        <v>1.77007017694E12</v>
      </c>
      <c r="M115" s="9"/>
      <c r="N115" s="10"/>
      <c r="O115" s="10"/>
      <c r="P115" s="10"/>
      <c r="Q115" s="10"/>
      <c r="R115" s="10"/>
      <c r="S115" s="10"/>
      <c r="T115" s="10"/>
      <c r="U115" s="10"/>
      <c r="V115" s="10"/>
    </row>
    <row r="116" ht="22.5" customHeight="1">
      <c r="A116" s="5">
        <v>1.98860656302E11</v>
      </c>
      <c r="B116" s="5" t="s">
        <v>186</v>
      </c>
      <c r="C116" s="5">
        <v>51931717639</v>
      </c>
      <c r="D116" s="5" t="s">
        <v>13</v>
      </c>
      <c r="E116" s="5">
        <v>8.7547393E7</v>
      </c>
      <c r="F116" s="5" t="s">
        <v>28</v>
      </c>
      <c r="G116" s="5" t="s">
        <v>15</v>
      </c>
      <c r="H116" s="5" t="s">
        <v>66</v>
      </c>
      <c r="I116" s="6" t="s">
        <v>17</v>
      </c>
      <c r="J116" s="7" t="s">
        <v>18</v>
      </c>
      <c r="K116" s="7" t="s">
        <v>19</v>
      </c>
      <c r="L116" s="8">
        <v>1.770071065628E12</v>
      </c>
      <c r="M116" s="9"/>
      <c r="N116" s="10"/>
      <c r="O116" s="10"/>
      <c r="P116" s="10"/>
      <c r="Q116" s="10"/>
      <c r="R116" s="10"/>
      <c r="S116" s="10"/>
      <c r="T116" s="10"/>
      <c r="U116" s="10"/>
      <c r="V116" s="10"/>
    </row>
    <row r="117" ht="22.5" customHeight="1">
      <c r="A117" s="5">
        <v>1.63888795007E11</v>
      </c>
      <c r="B117" s="5" t="s">
        <v>187</v>
      </c>
      <c r="C117" s="5">
        <v>51924993988</v>
      </c>
      <c r="D117" s="5" t="s">
        <v>13</v>
      </c>
      <c r="E117" s="5">
        <v>8.0566583E7</v>
      </c>
      <c r="F117" s="5" t="s">
        <v>65</v>
      </c>
      <c r="G117" s="5" t="s">
        <v>32</v>
      </c>
      <c r="H117" s="5" t="s">
        <v>188</v>
      </c>
      <c r="I117" s="6" t="s">
        <v>148</v>
      </c>
      <c r="J117" s="7" t="s">
        <v>18</v>
      </c>
      <c r="K117" s="7" t="s">
        <v>19</v>
      </c>
      <c r="L117" s="8">
        <v>1.770072991641E12</v>
      </c>
      <c r="M117" s="9"/>
      <c r="N117" s="10"/>
      <c r="O117" s="10"/>
      <c r="P117" s="10"/>
      <c r="Q117" s="10"/>
      <c r="R117" s="10"/>
      <c r="S117" s="10"/>
      <c r="T117" s="10"/>
      <c r="U117" s="10"/>
      <c r="V117" s="10"/>
    </row>
    <row r="118" ht="22.5" customHeight="1">
      <c r="A118" s="5">
        <v>1.9884672874E11</v>
      </c>
      <c r="B118" s="5" t="s">
        <v>189</v>
      </c>
      <c r="C118" s="5">
        <v>51906932250</v>
      </c>
      <c r="D118" s="5" t="s">
        <v>13</v>
      </c>
      <c r="E118" s="5">
        <v>8.7547393E7</v>
      </c>
      <c r="F118" s="5" t="s">
        <v>14</v>
      </c>
      <c r="G118" s="5" t="s">
        <v>15</v>
      </c>
      <c r="H118" s="5" t="s">
        <v>51</v>
      </c>
      <c r="I118" s="6" t="s">
        <v>17</v>
      </c>
      <c r="J118" s="7" t="s">
        <v>18</v>
      </c>
      <c r="K118" s="7" t="s">
        <v>19</v>
      </c>
      <c r="L118" s="8">
        <v>1.770074762006E12</v>
      </c>
      <c r="M118" s="9"/>
      <c r="N118" s="10"/>
      <c r="O118" s="10"/>
      <c r="P118" s="10"/>
      <c r="Q118" s="10"/>
      <c r="R118" s="10"/>
      <c r="S118" s="10"/>
      <c r="T118" s="10"/>
      <c r="U118" s="10"/>
      <c r="V118" s="10"/>
    </row>
    <row r="119" ht="22.5" customHeight="1">
      <c r="A119" s="5">
        <v>1.98847315294E11</v>
      </c>
      <c r="B119" s="5" t="s">
        <v>190</v>
      </c>
      <c r="C119" s="5">
        <v>51989160790</v>
      </c>
      <c r="D119" s="5" t="s">
        <v>22</v>
      </c>
      <c r="E119" s="5">
        <v>8.0566583E7</v>
      </c>
      <c r="F119" s="5" t="s">
        <v>28</v>
      </c>
      <c r="G119" s="5" t="s">
        <v>44</v>
      </c>
      <c r="H119" s="5" t="s">
        <v>24</v>
      </c>
      <c r="I119" s="6" t="s">
        <v>17</v>
      </c>
      <c r="J119" s="7" t="s">
        <v>34</v>
      </c>
      <c r="K119" s="7"/>
      <c r="L119" s="8">
        <v>1.770076431388E12</v>
      </c>
      <c r="M119" s="9"/>
      <c r="N119" s="10"/>
      <c r="O119" s="10"/>
      <c r="P119" s="10"/>
      <c r="Q119" s="10"/>
      <c r="R119" s="10"/>
      <c r="S119" s="10"/>
      <c r="T119" s="10"/>
      <c r="U119" s="10"/>
      <c r="V119" s="10"/>
    </row>
    <row r="120" ht="22.5" customHeight="1">
      <c r="A120" s="5">
        <v>1.9887748173E11</v>
      </c>
      <c r="B120" s="5" t="s">
        <v>191</v>
      </c>
      <c r="C120" s="5">
        <v>51905572910</v>
      </c>
      <c r="D120" s="5" t="s">
        <v>13</v>
      </c>
      <c r="E120" s="5">
        <v>8.0566583E7</v>
      </c>
      <c r="F120" s="5" t="s">
        <v>93</v>
      </c>
      <c r="G120" s="5" t="s">
        <v>15</v>
      </c>
      <c r="H120" s="5" t="s">
        <v>51</v>
      </c>
      <c r="I120" s="6" t="s">
        <v>63</v>
      </c>
      <c r="J120" s="7" t="s">
        <v>18</v>
      </c>
      <c r="K120" s="7" t="s">
        <v>19</v>
      </c>
      <c r="L120" s="8">
        <v>1.770078005223E12</v>
      </c>
      <c r="M120" s="9"/>
      <c r="N120" s="10"/>
      <c r="O120" s="10"/>
      <c r="P120" s="10"/>
      <c r="Q120" s="10"/>
      <c r="R120" s="10"/>
      <c r="S120" s="10"/>
      <c r="T120" s="10"/>
      <c r="U120" s="10"/>
      <c r="V120" s="10"/>
    </row>
    <row r="121" ht="22.5" customHeight="1">
      <c r="A121" s="5">
        <v>1.98879324601E11</v>
      </c>
      <c r="B121" s="5" t="s">
        <v>192</v>
      </c>
      <c r="C121" s="5">
        <v>5514981574555</v>
      </c>
      <c r="D121" s="5" t="s">
        <v>103</v>
      </c>
      <c r="E121" s="5">
        <v>7.9360573E7</v>
      </c>
      <c r="F121" s="5" t="s">
        <v>28</v>
      </c>
      <c r="G121" s="5" t="s">
        <v>79</v>
      </c>
      <c r="H121" s="5" t="s">
        <v>80</v>
      </c>
      <c r="I121" s="6" t="s">
        <v>17</v>
      </c>
      <c r="J121" s="7" t="s">
        <v>34</v>
      </c>
      <c r="K121" s="7"/>
      <c r="L121" s="8">
        <v>1.770078476815E12</v>
      </c>
      <c r="M121" s="9"/>
      <c r="N121" s="10"/>
      <c r="O121" s="10"/>
      <c r="P121" s="10"/>
      <c r="Q121" s="10"/>
      <c r="R121" s="10"/>
      <c r="S121" s="10"/>
      <c r="T121" s="10"/>
      <c r="U121" s="10"/>
      <c r="V121" s="10"/>
    </row>
    <row r="122" ht="22.5" customHeight="1">
      <c r="A122" s="5">
        <v>1.98888294432E11</v>
      </c>
      <c r="B122" s="5" t="s">
        <v>193</v>
      </c>
      <c r="C122" s="5">
        <v>51934661830</v>
      </c>
      <c r="D122" s="5" t="s">
        <v>13</v>
      </c>
      <c r="E122" s="5">
        <v>8.7547393E7</v>
      </c>
      <c r="F122" s="5" t="s">
        <v>28</v>
      </c>
      <c r="G122" s="5" t="s">
        <v>15</v>
      </c>
      <c r="H122" s="5" t="s">
        <v>51</v>
      </c>
      <c r="I122" s="6" t="s">
        <v>17</v>
      </c>
      <c r="J122" s="7" t="s">
        <v>25</v>
      </c>
      <c r="K122" s="7"/>
      <c r="L122" s="8">
        <v>1.770079901906E12</v>
      </c>
      <c r="M122" s="9"/>
      <c r="N122" s="10"/>
      <c r="O122" s="10"/>
      <c r="P122" s="10"/>
      <c r="Q122" s="10"/>
      <c r="R122" s="10"/>
      <c r="S122" s="10"/>
      <c r="T122" s="10"/>
      <c r="U122" s="10"/>
      <c r="V122" s="10"/>
    </row>
    <row r="123" ht="22.5" customHeight="1">
      <c r="A123" s="5">
        <v>1.98888333676E11</v>
      </c>
      <c r="B123" s="5" t="s">
        <v>194</v>
      </c>
      <c r="C123" s="5">
        <v>5582987222496</v>
      </c>
      <c r="D123" s="5" t="s">
        <v>22</v>
      </c>
      <c r="E123" s="5">
        <v>8.0566583E7</v>
      </c>
      <c r="F123" s="5" t="s">
        <v>93</v>
      </c>
      <c r="G123" s="5" t="s">
        <v>32</v>
      </c>
      <c r="H123" s="5" t="s">
        <v>29</v>
      </c>
      <c r="I123" s="6" t="s">
        <v>17</v>
      </c>
      <c r="J123" s="7" t="s">
        <v>34</v>
      </c>
      <c r="K123" s="7"/>
      <c r="L123" s="8">
        <v>1.770080265335E12</v>
      </c>
      <c r="M123" s="9"/>
      <c r="N123" s="10"/>
      <c r="O123" s="10"/>
      <c r="P123" s="10"/>
      <c r="Q123" s="10"/>
      <c r="R123" s="10"/>
      <c r="S123" s="10"/>
      <c r="T123" s="10"/>
      <c r="U123" s="10"/>
      <c r="V123" s="10"/>
    </row>
    <row r="124" ht="22.5" customHeight="1">
      <c r="A124" s="5">
        <v>1.98897966514E11</v>
      </c>
      <c r="B124" s="5" t="s">
        <v>195</v>
      </c>
      <c r="C124" s="5">
        <v>5544991411461</v>
      </c>
      <c r="D124" s="5" t="s">
        <v>13</v>
      </c>
      <c r="E124" s="5">
        <v>7.9360573E7</v>
      </c>
      <c r="F124" s="5" t="s">
        <v>28</v>
      </c>
      <c r="G124" s="5" t="s">
        <v>32</v>
      </c>
      <c r="H124" s="5" t="s">
        <v>16</v>
      </c>
      <c r="I124" s="6" t="s">
        <v>17</v>
      </c>
      <c r="J124" s="7" t="s">
        <v>34</v>
      </c>
      <c r="K124" s="7"/>
      <c r="L124" s="8">
        <v>1.770082670021E12</v>
      </c>
      <c r="M124" s="9"/>
      <c r="N124" s="10"/>
      <c r="O124" s="10"/>
      <c r="P124" s="10"/>
      <c r="Q124" s="10"/>
      <c r="R124" s="10"/>
      <c r="S124" s="10"/>
      <c r="T124" s="10"/>
      <c r="U124" s="10"/>
      <c r="V124" s="10"/>
    </row>
    <row r="125" ht="22.5" customHeight="1">
      <c r="A125" s="5">
        <v>1.69493993073E11</v>
      </c>
      <c r="B125" s="5" t="s">
        <v>196</v>
      </c>
      <c r="C125" s="5">
        <v>51991263000</v>
      </c>
      <c r="D125" s="5" t="s">
        <v>22</v>
      </c>
      <c r="E125" s="5">
        <v>8.0566583E7</v>
      </c>
      <c r="F125" s="5" t="s">
        <v>39</v>
      </c>
      <c r="G125" s="5" t="s">
        <v>44</v>
      </c>
      <c r="H125" s="5" t="s">
        <v>114</v>
      </c>
      <c r="I125" s="6" t="s">
        <v>148</v>
      </c>
      <c r="J125" s="7" t="s">
        <v>18</v>
      </c>
      <c r="K125" s="7" t="s">
        <v>116</v>
      </c>
      <c r="L125" s="8">
        <v>1.770083835666E12</v>
      </c>
      <c r="M125" s="9"/>
      <c r="N125" s="10"/>
      <c r="O125" s="10"/>
      <c r="P125" s="10"/>
      <c r="Q125" s="10"/>
      <c r="R125" s="10"/>
      <c r="S125" s="10"/>
      <c r="T125" s="10"/>
      <c r="U125" s="10"/>
      <c r="V125" s="10"/>
    </row>
    <row r="126" ht="22.5" customHeight="1">
      <c r="A126" s="5">
        <v>1.98898935449E11</v>
      </c>
      <c r="B126" s="5" t="s">
        <v>197</v>
      </c>
      <c r="C126" s="5">
        <v>524272777758</v>
      </c>
      <c r="D126" s="5" t="s">
        <v>13</v>
      </c>
      <c r="E126" s="5">
        <v>8.0566583E7</v>
      </c>
      <c r="F126" s="5" t="s">
        <v>23</v>
      </c>
      <c r="G126" s="5" t="s">
        <v>15</v>
      </c>
      <c r="H126" s="5" t="s">
        <v>51</v>
      </c>
      <c r="I126" s="6" t="s">
        <v>17</v>
      </c>
      <c r="J126" s="7" t="s">
        <v>18</v>
      </c>
      <c r="K126" s="7" t="s">
        <v>61</v>
      </c>
      <c r="L126" s="8">
        <v>1.770084059139E12</v>
      </c>
      <c r="M126" s="9"/>
      <c r="N126" s="10"/>
      <c r="O126" s="10"/>
      <c r="P126" s="10"/>
      <c r="Q126" s="10"/>
      <c r="R126" s="10"/>
      <c r="S126" s="10"/>
      <c r="T126" s="10"/>
      <c r="U126" s="10"/>
      <c r="V126" s="10"/>
    </row>
    <row r="127" ht="22.5" customHeight="1">
      <c r="A127" s="5">
        <v>1.98901137247E11</v>
      </c>
      <c r="B127" s="5" t="s">
        <v>198</v>
      </c>
      <c r="C127" s="5">
        <v>5511914745664</v>
      </c>
      <c r="D127" s="5" t="s">
        <v>103</v>
      </c>
      <c r="E127" s="5">
        <v>7.9360573E7</v>
      </c>
      <c r="F127" s="5" t="s">
        <v>93</v>
      </c>
      <c r="G127" s="5" t="s">
        <v>44</v>
      </c>
      <c r="H127" s="5" t="s">
        <v>114</v>
      </c>
      <c r="I127" s="6" t="s">
        <v>17</v>
      </c>
      <c r="J127" s="7" t="s">
        <v>34</v>
      </c>
      <c r="K127" s="7"/>
      <c r="L127" s="8">
        <v>1.770084308155E12</v>
      </c>
      <c r="M127" s="9"/>
      <c r="N127" s="10"/>
      <c r="O127" s="10"/>
      <c r="P127" s="10"/>
      <c r="Q127" s="10"/>
      <c r="R127" s="10"/>
      <c r="S127" s="10"/>
      <c r="T127" s="10"/>
      <c r="U127" s="10"/>
      <c r="V127" s="10"/>
    </row>
    <row r="128" ht="22.5" customHeight="1">
      <c r="A128" s="5">
        <v>1.97586281852E11</v>
      </c>
      <c r="B128" s="5" t="s">
        <v>199</v>
      </c>
      <c r="C128" s="5">
        <v>51977146621</v>
      </c>
      <c r="D128" s="5" t="s">
        <v>13</v>
      </c>
      <c r="E128" s="5">
        <v>8.7547393E7</v>
      </c>
      <c r="F128" s="5" t="s">
        <v>39</v>
      </c>
      <c r="G128" s="5" t="s">
        <v>104</v>
      </c>
      <c r="H128" s="5" t="s">
        <v>80</v>
      </c>
      <c r="I128" s="6" t="s">
        <v>17</v>
      </c>
      <c r="J128" s="7" t="s">
        <v>177</v>
      </c>
      <c r="K128" s="7" t="s">
        <v>36</v>
      </c>
      <c r="L128" s="8">
        <v>1.77008509429E12</v>
      </c>
      <c r="M128" s="9"/>
      <c r="N128" s="10"/>
      <c r="O128" s="10"/>
      <c r="P128" s="10"/>
      <c r="Q128" s="10"/>
      <c r="R128" s="10"/>
      <c r="S128" s="10"/>
      <c r="T128" s="10"/>
      <c r="U128" s="10"/>
      <c r="V128" s="10"/>
    </row>
    <row r="129" ht="22.5" customHeight="1">
      <c r="A129" s="5">
        <v>1.98898935449E11</v>
      </c>
      <c r="B129" s="5" t="s">
        <v>197</v>
      </c>
      <c r="C129" s="5">
        <v>524272777758</v>
      </c>
      <c r="D129" s="5" t="s">
        <v>13</v>
      </c>
      <c r="E129" s="5">
        <v>8.0566583E7</v>
      </c>
      <c r="F129" s="5" t="s">
        <v>23</v>
      </c>
      <c r="G129" s="5" t="s">
        <v>15</v>
      </c>
      <c r="H129" s="5" t="s">
        <v>51</v>
      </c>
      <c r="I129" s="6" t="s">
        <v>17</v>
      </c>
      <c r="J129" s="7" t="s">
        <v>18</v>
      </c>
      <c r="K129" s="7" t="s">
        <v>61</v>
      </c>
      <c r="L129" s="8">
        <v>1.770085903545E12</v>
      </c>
      <c r="M129" s="9"/>
      <c r="N129" s="10"/>
      <c r="O129" s="10"/>
      <c r="P129" s="10"/>
      <c r="Q129" s="10"/>
      <c r="R129" s="10"/>
      <c r="S129" s="10"/>
      <c r="T129" s="10"/>
      <c r="U129" s="10"/>
      <c r="V129" s="10"/>
    </row>
    <row r="130" ht="22.5" customHeight="1">
      <c r="A130" s="5">
        <v>5.6768100187E10</v>
      </c>
      <c r="B130" s="5" t="s">
        <v>200</v>
      </c>
      <c r="C130" s="5">
        <v>51934529807</v>
      </c>
      <c r="D130" s="5" t="s">
        <v>13</v>
      </c>
      <c r="E130" s="5">
        <v>8.7547393E7</v>
      </c>
      <c r="F130" s="5" t="s">
        <v>65</v>
      </c>
      <c r="G130" s="5" t="s">
        <v>32</v>
      </c>
      <c r="H130" s="5" t="s">
        <v>114</v>
      </c>
      <c r="I130" s="6" t="s">
        <v>17</v>
      </c>
      <c r="J130" s="7" t="s">
        <v>18</v>
      </c>
      <c r="K130" s="7" t="s">
        <v>201</v>
      </c>
      <c r="L130" s="8">
        <v>1.770086399588E12</v>
      </c>
      <c r="M130" s="9"/>
      <c r="N130" s="10"/>
      <c r="O130" s="10"/>
      <c r="P130" s="10"/>
      <c r="Q130" s="10"/>
      <c r="R130" s="10"/>
      <c r="S130" s="10"/>
      <c r="T130" s="10"/>
      <c r="U130" s="10"/>
      <c r="V130" s="10"/>
    </row>
    <row r="131" ht="22.5" customHeight="1">
      <c r="A131" s="5">
        <v>1.98716373806E11</v>
      </c>
      <c r="B131" s="5" t="s">
        <v>202</v>
      </c>
      <c r="C131" s="5">
        <v>541138776928</v>
      </c>
      <c r="D131" s="5" t="s">
        <v>13</v>
      </c>
      <c r="E131" s="5">
        <v>8.7547393E7</v>
      </c>
      <c r="F131" s="5" t="s">
        <v>39</v>
      </c>
      <c r="G131" s="5" t="s">
        <v>32</v>
      </c>
      <c r="H131" s="5" t="s">
        <v>188</v>
      </c>
      <c r="I131" s="6" t="s">
        <v>36</v>
      </c>
      <c r="J131" s="7" t="s">
        <v>34</v>
      </c>
      <c r="K131" s="7"/>
      <c r="L131" s="8">
        <v>1.770086424028E12</v>
      </c>
      <c r="M131" s="9"/>
      <c r="N131" s="10"/>
      <c r="O131" s="10"/>
      <c r="P131" s="10"/>
      <c r="Q131" s="10"/>
      <c r="R131" s="10"/>
      <c r="S131" s="10"/>
      <c r="T131" s="10"/>
      <c r="U131" s="10"/>
      <c r="V131" s="10"/>
    </row>
    <row r="132" ht="22.5" customHeight="1">
      <c r="A132" s="5">
        <v>1.7149485418E11</v>
      </c>
      <c r="B132" s="5" t="s">
        <v>203</v>
      </c>
      <c r="C132" s="5">
        <v>51975131051</v>
      </c>
      <c r="D132" s="5" t="s">
        <v>22</v>
      </c>
      <c r="E132" s="5">
        <v>8.0566583E7</v>
      </c>
      <c r="F132" s="5" t="s">
        <v>23</v>
      </c>
      <c r="G132" s="5" t="s">
        <v>44</v>
      </c>
      <c r="H132" s="5" t="s">
        <v>16</v>
      </c>
      <c r="I132" s="6" t="s">
        <v>17</v>
      </c>
      <c r="J132" s="7" t="s">
        <v>58</v>
      </c>
      <c r="K132" s="11" t="s">
        <v>59</v>
      </c>
      <c r="L132" s="8">
        <v>1.770088038048E12</v>
      </c>
      <c r="M132" s="9"/>
      <c r="N132" s="10"/>
      <c r="O132" s="10"/>
      <c r="P132" s="10"/>
      <c r="Q132" s="10"/>
      <c r="R132" s="10"/>
      <c r="S132" s="10"/>
      <c r="T132" s="10"/>
      <c r="U132" s="10"/>
      <c r="V132" s="10"/>
    </row>
    <row r="133" ht="22.5" customHeight="1">
      <c r="A133" s="5">
        <v>1.98907615156E11</v>
      </c>
      <c r="B133" s="5" t="s">
        <v>204</v>
      </c>
      <c r="C133" s="5">
        <v>525636223484</v>
      </c>
      <c r="D133" s="5" t="s">
        <v>22</v>
      </c>
      <c r="E133" s="5">
        <v>8.7547393E7</v>
      </c>
      <c r="F133" s="5" t="s">
        <v>42</v>
      </c>
      <c r="G133" s="5" t="s">
        <v>32</v>
      </c>
      <c r="H133" s="5" t="s">
        <v>80</v>
      </c>
      <c r="I133" s="6" t="s">
        <v>17</v>
      </c>
      <c r="J133" s="7" t="s">
        <v>34</v>
      </c>
      <c r="K133" s="7"/>
      <c r="L133" s="8">
        <v>1.770088679134E12</v>
      </c>
      <c r="M133" s="9"/>
      <c r="N133" s="10"/>
      <c r="O133" s="10"/>
      <c r="P133" s="10"/>
      <c r="Q133" s="10"/>
      <c r="R133" s="10"/>
      <c r="S133" s="10"/>
      <c r="T133" s="10"/>
      <c r="U133" s="10"/>
      <c r="V133" s="10"/>
    </row>
    <row r="134" ht="22.5" customHeight="1">
      <c r="A134" s="5">
        <v>1.70709240874E11</v>
      </c>
      <c r="B134" s="5" t="s">
        <v>205</v>
      </c>
      <c r="C134" s="5">
        <v>51923187916</v>
      </c>
      <c r="D134" s="5" t="s">
        <v>13</v>
      </c>
      <c r="E134" s="5">
        <v>8.7547393E7</v>
      </c>
      <c r="F134" s="5" t="s">
        <v>39</v>
      </c>
      <c r="G134" s="5" t="s">
        <v>15</v>
      </c>
      <c r="H134" s="5" t="s">
        <v>16</v>
      </c>
      <c r="I134" s="6" t="s">
        <v>17</v>
      </c>
      <c r="J134" s="7" t="s">
        <v>18</v>
      </c>
      <c r="K134" s="7" t="s">
        <v>19</v>
      </c>
      <c r="L134" s="8">
        <v>1.770090743417E12</v>
      </c>
      <c r="M134" s="9"/>
      <c r="N134" s="10"/>
      <c r="O134" s="10"/>
      <c r="P134" s="10"/>
      <c r="Q134" s="10"/>
      <c r="R134" s="10"/>
      <c r="S134" s="10"/>
      <c r="T134" s="10"/>
      <c r="U134" s="10"/>
      <c r="V134" s="10"/>
    </row>
    <row r="135" ht="22.5" customHeight="1">
      <c r="A135" s="5">
        <v>1.98905625463E11</v>
      </c>
      <c r="B135" s="5" t="s">
        <v>206</v>
      </c>
      <c r="C135" s="5">
        <v>51939077268</v>
      </c>
      <c r="D135" s="5" t="s">
        <v>38</v>
      </c>
      <c r="E135" s="5">
        <v>8.0566583E7</v>
      </c>
      <c r="F135" s="5"/>
      <c r="G135" s="5"/>
      <c r="H135" s="5"/>
      <c r="I135" s="6"/>
      <c r="J135" s="7" t="s">
        <v>18</v>
      </c>
      <c r="K135" s="7" t="s">
        <v>19</v>
      </c>
      <c r="L135" s="8">
        <v>1.770090942615E12</v>
      </c>
      <c r="M135" s="9"/>
      <c r="N135" s="10"/>
      <c r="O135" s="10"/>
      <c r="P135" s="10"/>
      <c r="Q135" s="10"/>
      <c r="R135" s="10"/>
      <c r="S135" s="10"/>
      <c r="T135" s="10"/>
      <c r="U135" s="10"/>
      <c r="V135" s="10"/>
    </row>
    <row r="136" ht="22.5" customHeight="1">
      <c r="A136" s="5">
        <v>1.98906012435E11</v>
      </c>
      <c r="B136" s="5" t="s">
        <v>207</v>
      </c>
      <c r="C136" s="5">
        <v>51918245644</v>
      </c>
      <c r="D136" s="5" t="s">
        <v>38</v>
      </c>
      <c r="E136" s="5">
        <v>8.0566583E7</v>
      </c>
      <c r="F136" s="5"/>
      <c r="G136" s="5"/>
      <c r="H136" s="5"/>
      <c r="I136" s="6"/>
      <c r="J136" s="7" t="s">
        <v>18</v>
      </c>
      <c r="K136" s="7" t="s">
        <v>19</v>
      </c>
      <c r="L136" s="8">
        <v>1.770091090314E12</v>
      </c>
      <c r="M136" s="9"/>
      <c r="N136" s="10"/>
      <c r="O136" s="10"/>
      <c r="P136" s="10"/>
      <c r="Q136" s="10"/>
      <c r="R136" s="10"/>
      <c r="S136" s="10"/>
      <c r="T136" s="10"/>
      <c r="U136" s="10"/>
      <c r="V136" s="10"/>
    </row>
    <row r="137" ht="22.5" customHeight="1">
      <c r="A137" s="5">
        <v>1.98906546831E11</v>
      </c>
      <c r="B137" s="5" t="s">
        <v>208</v>
      </c>
      <c r="C137" s="5">
        <v>51922328202</v>
      </c>
      <c r="D137" s="5" t="s">
        <v>13</v>
      </c>
      <c r="E137" s="5">
        <v>8.0566583E7</v>
      </c>
      <c r="F137" s="5" t="s">
        <v>28</v>
      </c>
      <c r="G137" s="5" t="s">
        <v>32</v>
      </c>
      <c r="H137" s="5" t="s">
        <v>16</v>
      </c>
      <c r="I137" s="6"/>
      <c r="J137" s="7" t="s">
        <v>18</v>
      </c>
      <c r="K137" s="7" t="s">
        <v>19</v>
      </c>
      <c r="L137" s="8">
        <v>1.770091176106E12</v>
      </c>
      <c r="M137" s="9"/>
      <c r="N137" s="10"/>
      <c r="O137" s="10"/>
      <c r="P137" s="10"/>
      <c r="Q137" s="10"/>
      <c r="R137" s="10"/>
      <c r="S137" s="10"/>
      <c r="T137" s="10"/>
      <c r="U137" s="10"/>
      <c r="V137" s="10"/>
    </row>
    <row r="138" ht="22.5" customHeight="1">
      <c r="A138" s="5">
        <v>1.98899036239E11</v>
      </c>
      <c r="B138" s="5" t="s">
        <v>209</v>
      </c>
      <c r="C138" s="5">
        <v>51941178835</v>
      </c>
      <c r="D138" s="5" t="s">
        <v>13</v>
      </c>
      <c r="E138" s="5">
        <v>8.7547393E7</v>
      </c>
      <c r="F138" s="5" t="s">
        <v>93</v>
      </c>
      <c r="G138" s="5" t="s">
        <v>104</v>
      </c>
      <c r="H138" s="5" t="s">
        <v>210</v>
      </c>
      <c r="I138" s="6" t="s">
        <v>49</v>
      </c>
      <c r="J138" s="7" t="s">
        <v>34</v>
      </c>
      <c r="K138" s="7"/>
      <c r="L138" s="8">
        <v>1.770091285595E12</v>
      </c>
      <c r="M138" s="9"/>
      <c r="N138" s="10"/>
      <c r="O138" s="10"/>
      <c r="P138" s="10"/>
      <c r="Q138" s="10"/>
      <c r="R138" s="10"/>
      <c r="S138" s="10"/>
      <c r="T138" s="10"/>
      <c r="U138" s="10"/>
      <c r="V138" s="10"/>
    </row>
    <row r="139" ht="22.5" customHeight="1">
      <c r="A139" s="5">
        <v>1.98903894937E11</v>
      </c>
      <c r="B139" s="5" t="s">
        <v>211</v>
      </c>
      <c r="C139" s="5">
        <v>529371253696</v>
      </c>
      <c r="D139" s="5" t="s">
        <v>22</v>
      </c>
      <c r="E139" s="5">
        <v>8.0566583E7</v>
      </c>
      <c r="F139" s="5" t="s">
        <v>82</v>
      </c>
      <c r="G139" s="5" t="s">
        <v>44</v>
      </c>
      <c r="H139" s="5" t="s">
        <v>24</v>
      </c>
      <c r="I139" s="6" t="s">
        <v>17</v>
      </c>
      <c r="J139" s="7" t="s">
        <v>18</v>
      </c>
      <c r="K139" s="7" t="s">
        <v>61</v>
      </c>
      <c r="L139" s="8">
        <v>1.770091483153E12</v>
      </c>
      <c r="M139" s="9"/>
      <c r="N139" s="10"/>
      <c r="O139" s="10"/>
      <c r="P139" s="10"/>
      <c r="Q139" s="10"/>
      <c r="R139" s="10"/>
      <c r="S139" s="10"/>
      <c r="T139" s="10"/>
      <c r="U139" s="10"/>
      <c r="V139" s="10"/>
    </row>
    <row r="140" ht="22.5" customHeight="1">
      <c r="A140" s="5">
        <v>1.98919242596E11</v>
      </c>
      <c r="B140" s="5" t="s">
        <v>212</v>
      </c>
      <c r="C140" s="5">
        <v>51989009435</v>
      </c>
      <c r="D140" s="5" t="s">
        <v>13</v>
      </c>
      <c r="E140" s="5">
        <v>8.0566583E7</v>
      </c>
      <c r="F140" s="5" t="s">
        <v>39</v>
      </c>
      <c r="G140" s="5" t="s">
        <v>32</v>
      </c>
      <c r="H140" s="5" t="s">
        <v>24</v>
      </c>
      <c r="I140" s="6" t="s">
        <v>17</v>
      </c>
      <c r="J140" s="7" t="s">
        <v>34</v>
      </c>
      <c r="K140" s="7"/>
      <c r="L140" s="8">
        <v>1.770093804802E12</v>
      </c>
      <c r="M140" s="9"/>
      <c r="N140" s="10"/>
      <c r="O140" s="10"/>
      <c r="P140" s="10"/>
      <c r="Q140" s="10"/>
      <c r="R140" s="10"/>
      <c r="S140" s="10"/>
      <c r="T140" s="10"/>
      <c r="U140" s="10"/>
      <c r="V140" s="10"/>
    </row>
    <row r="141" ht="22.5" customHeight="1">
      <c r="A141" s="5">
        <v>1.98919074422E11</v>
      </c>
      <c r="B141" s="5" t="s">
        <v>213</v>
      </c>
      <c r="C141" s="5">
        <v>51980655403</v>
      </c>
      <c r="D141" s="5" t="s">
        <v>38</v>
      </c>
      <c r="E141" s="5">
        <v>8.7547393E7</v>
      </c>
      <c r="F141" s="5"/>
      <c r="G141" s="5"/>
      <c r="H141" s="5"/>
      <c r="I141" s="6"/>
      <c r="J141" s="7" t="s">
        <v>18</v>
      </c>
      <c r="K141" s="7" t="s">
        <v>19</v>
      </c>
      <c r="L141" s="8">
        <v>1.770093863865E12</v>
      </c>
      <c r="M141" s="9"/>
      <c r="N141" s="10"/>
      <c r="O141" s="10"/>
      <c r="P141" s="10"/>
      <c r="Q141" s="10"/>
      <c r="R141" s="10"/>
      <c r="S141" s="10"/>
      <c r="T141" s="10"/>
      <c r="U141" s="10"/>
      <c r="V141" s="10"/>
    </row>
    <row r="142" ht="22.5" customHeight="1">
      <c r="A142" s="5">
        <v>1.98913137409E11</v>
      </c>
      <c r="B142" s="5" t="s">
        <v>214</v>
      </c>
      <c r="C142" s="5">
        <v>51949388202</v>
      </c>
      <c r="D142" s="5" t="s">
        <v>13</v>
      </c>
      <c r="E142" s="5">
        <v>8.7547393E7</v>
      </c>
      <c r="F142" s="5" t="s">
        <v>23</v>
      </c>
      <c r="G142" s="5" t="s">
        <v>15</v>
      </c>
      <c r="H142" s="5" t="s">
        <v>114</v>
      </c>
      <c r="I142" s="6" t="s">
        <v>17</v>
      </c>
      <c r="J142" s="7" t="s">
        <v>18</v>
      </c>
      <c r="K142" s="7" t="s">
        <v>19</v>
      </c>
      <c r="L142" s="8">
        <v>1.770094918507E12</v>
      </c>
      <c r="M142" s="9"/>
      <c r="N142" s="10"/>
      <c r="O142" s="10"/>
      <c r="P142" s="10"/>
      <c r="Q142" s="10"/>
      <c r="R142" s="10"/>
      <c r="S142" s="10"/>
      <c r="T142" s="10"/>
      <c r="U142" s="10"/>
      <c r="V142" s="10"/>
    </row>
    <row r="143" ht="22.5" customHeight="1">
      <c r="A143" s="5">
        <v>1.72637114186E11</v>
      </c>
      <c r="B143" s="5" t="s">
        <v>215</v>
      </c>
      <c r="C143" s="5">
        <v>51956883469</v>
      </c>
      <c r="D143" s="5" t="s">
        <v>13</v>
      </c>
      <c r="E143" s="5">
        <v>8.0566583E7</v>
      </c>
      <c r="F143" s="5" t="s">
        <v>28</v>
      </c>
      <c r="G143" s="5" t="s">
        <v>44</v>
      </c>
      <c r="H143" s="5" t="s">
        <v>16</v>
      </c>
      <c r="I143" s="6" t="s">
        <v>17</v>
      </c>
      <c r="J143" s="7" t="s">
        <v>18</v>
      </c>
      <c r="K143" s="7" t="s">
        <v>116</v>
      </c>
      <c r="L143" s="8">
        <v>1.77009508901E12</v>
      </c>
      <c r="M143" s="9"/>
      <c r="N143" s="10"/>
      <c r="O143" s="10"/>
      <c r="P143" s="10"/>
      <c r="Q143" s="10"/>
      <c r="R143" s="10"/>
      <c r="S143" s="10"/>
      <c r="T143" s="10"/>
      <c r="U143" s="10"/>
      <c r="V143" s="10"/>
    </row>
    <row r="144" ht="22.5" customHeight="1">
      <c r="A144" s="5">
        <v>1.98932289659E11</v>
      </c>
      <c r="B144" s="5" t="s">
        <v>216</v>
      </c>
      <c r="C144" s="5">
        <v>5511964543887</v>
      </c>
      <c r="D144" s="5" t="s">
        <v>13</v>
      </c>
      <c r="E144" s="5">
        <v>7.9360573E7</v>
      </c>
      <c r="F144" s="5" t="s">
        <v>28</v>
      </c>
      <c r="G144" s="5" t="s">
        <v>15</v>
      </c>
      <c r="H144" s="5" t="s">
        <v>16</v>
      </c>
      <c r="I144" s="6" t="s">
        <v>17</v>
      </c>
      <c r="J144" s="7" t="s">
        <v>34</v>
      </c>
      <c r="K144" s="7"/>
      <c r="L144" s="8">
        <v>1.770103145165E12</v>
      </c>
      <c r="M144" s="9"/>
      <c r="N144" s="10"/>
      <c r="O144" s="10"/>
      <c r="P144" s="10"/>
      <c r="Q144" s="10"/>
      <c r="R144" s="10"/>
      <c r="S144" s="10"/>
      <c r="T144" s="10"/>
      <c r="U144" s="10"/>
      <c r="V144" s="10"/>
    </row>
    <row r="145" ht="22.5" customHeight="1">
      <c r="A145" s="5">
        <v>1.98980064265E11</v>
      </c>
      <c r="B145" s="5" t="s">
        <v>217</v>
      </c>
      <c r="C145" s="5">
        <v>5511973140730</v>
      </c>
      <c r="D145" s="5" t="s">
        <v>22</v>
      </c>
      <c r="E145" s="5">
        <v>7.9360573E7</v>
      </c>
      <c r="F145" s="5" t="s">
        <v>28</v>
      </c>
      <c r="G145" s="5" t="s">
        <v>44</v>
      </c>
      <c r="H145" s="5" t="s">
        <v>16</v>
      </c>
      <c r="I145" s="6" t="s">
        <v>17</v>
      </c>
      <c r="J145" s="7" t="s">
        <v>34</v>
      </c>
      <c r="K145" s="7"/>
      <c r="L145" s="8">
        <v>1.770112784298E12</v>
      </c>
      <c r="M145" s="9"/>
      <c r="N145" s="10"/>
      <c r="O145" s="10"/>
      <c r="P145" s="10"/>
      <c r="Q145" s="10"/>
      <c r="R145" s="10"/>
      <c r="S145" s="10"/>
      <c r="T145" s="10"/>
      <c r="U145" s="10"/>
      <c r="V145" s="10"/>
    </row>
    <row r="146" ht="22.5" customHeight="1">
      <c r="A146" s="5">
        <v>1.98982884535E11</v>
      </c>
      <c r="B146" s="5" t="s">
        <v>218</v>
      </c>
      <c r="C146" s="5">
        <v>527737345889</v>
      </c>
      <c r="D146" s="5" t="s">
        <v>13</v>
      </c>
      <c r="E146" s="5">
        <v>8.0566583E7</v>
      </c>
      <c r="F146" s="5" t="s">
        <v>42</v>
      </c>
      <c r="G146" s="5" t="s">
        <v>32</v>
      </c>
      <c r="H146" s="5" t="s">
        <v>188</v>
      </c>
      <c r="I146" s="6" t="s">
        <v>17</v>
      </c>
      <c r="J146" s="7" t="s">
        <v>34</v>
      </c>
      <c r="K146" s="7"/>
      <c r="L146" s="8">
        <v>1.770112928565E12</v>
      </c>
      <c r="M146" s="9"/>
      <c r="N146" s="10"/>
      <c r="O146" s="10"/>
      <c r="P146" s="10"/>
      <c r="Q146" s="10"/>
      <c r="R146" s="10"/>
      <c r="S146" s="10"/>
      <c r="T146" s="10"/>
      <c r="U146" s="10"/>
      <c r="V146" s="10"/>
    </row>
    <row r="147" ht="22.5" customHeight="1">
      <c r="A147" s="5">
        <v>1.99012327187E11</v>
      </c>
      <c r="B147" s="5" t="s">
        <v>219</v>
      </c>
      <c r="C147" s="5">
        <v>51981465138</v>
      </c>
      <c r="D147" s="5" t="s">
        <v>22</v>
      </c>
      <c r="E147" s="5">
        <v>8.7547393E7</v>
      </c>
      <c r="F147" s="5" t="s">
        <v>28</v>
      </c>
      <c r="G147" s="5" t="s">
        <v>44</v>
      </c>
      <c r="H147" s="5" t="s">
        <v>88</v>
      </c>
      <c r="I147" s="6" t="s">
        <v>36</v>
      </c>
      <c r="J147" s="7" t="s">
        <v>18</v>
      </c>
      <c r="K147" s="7" t="s">
        <v>19</v>
      </c>
      <c r="L147" s="8">
        <v>1.770115761781E12</v>
      </c>
      <c r="M147" s="9"/>
      <c r="N147" s="10"/>
      <c r="O147" s="10"/>
      <c r="P147" s="10"/>
      <c r="Q147" s="10"/>
      <c r="R147" s="10"/>
      <c r="S147" s="10"/>
      <c r="T147" s="10"/>
      <c r="U147" s="10"/>
      <c r="V147" s="10"/>
    </row>
    <row r="148" ht="22.5" customHeight="1">
      <c r="A148" s="5">
        <v>1.99013599579E11</v>
      </c>
      <c r="B148" s="5" t="s">
        <v>220</v>
      </c>
      <c r="C148" s="5">
        <v>5522998575420</v>
      </c>
      <c r="D148" s="5" t="s">
        <v>38</v>
      </c>
      <c r="E148" s="5">
        <v>7.9360573E7</v>
      </c>
      <c r="F148" s="5" t="s">
        <v>93</v>
      </c>
      <c r="G148" s="5" t="s">
        <v>15</v>
      </c>
      <c r="H148" s="5" t="s">
        <v>16</v>
      </c>
      <c r="I148" s="6" t="s">
        <v>17</v>
      </c>
      <c r="J148" s="7" t="s">
        <v>34</v>
      </c>
      <c r="K148" s="7"/>
      <c r="L148" s="8">
        <v>1.770116644439E12</v>
      </c>
      <c r="M148" s="9"/>
      <c r="N148" s="10"/>
      <c r="O148" s="10"/>
      <c r="P148" s="10"/>
      <c r="Q148" s="10"/>
      <c r="R148" s="10"/>
      <c r="S148" s="10"/>
      <c r="T148" s="10"/>
      <c r="U148" s="10"/>
      <c r="V148" s="10"/>
    </row>
    <row r="149" ht="22.5" customHeight="1">
      <c r="A149" s="5">
        <v>1.99012323095E11</v>
      </c>
      <c r="B149" s="5" t="s">
        <v>221</v>
      </c>
      <c r="C149" s="5">
        <v>5551991953678</v>
      </c>
      <c r="D149" s="5" t="s">
        <v>13</v>
      </c>
      <c r="E149" s="5">
        <v>7.9360573E7</v>
      </c>
      <c r="F149" s="5" t="s">
        <v>28</v>
      </c>
      <c r="G149" s="5" t="s">
        <v>15</v>
      </c>
      <c r="H149" s="5" t="s">
        <v>24</v>
      </c>
      <c r="I149" s="6" t="s">
        <v>63</v>
      </c>
      <c r="J149" s="7" t="s">
        <v>34</v>
      </c>
      <c r="K149" s="7"/>
      <c r="L149" s="8">
        <v>1.770118029E12</v>
      </c>
      <c r="M149" s="9"/>
      <c r="N149" s="10"/>
      <c r="O149" s="10"/>
      <c r="P149" s="10"/>
      <c r="Q149" s="10"/>
      <c r="R149" s="10"/>
      <c r="S149" s="10"/>
      <c r="T149" s="10"/>
      <c r="U149" s="10"/>
      <c r="V149" s="10"/>
    </row>
    <row r="150" ht="22.5" customHeight="1">
      <c r="A150" s="5">
        <v>1.9901587663E11</v>
      </c>
      <c r="B150" s="5" t="s">
        <v>222</v>
      </c>
      <c r="C150" s="5">
        <v>51981542565</v>
      </c>
      <c r="D150" s="5" t="s">
        <v>13</v>
      </c>
      <c r="E150" s="5">
        <v>8.7547393E7</v>
      </c>
      <c r="F150" s="5" t="s">
        <v>14</v>
      </c>
      <c r="G150" s="5" t="s">
        <v>15</v>
      </c>
      <c r="H150" s="5" t="s">
        <v>16</v>
      </c>
      <c r="I150" s="6" t="s">
        <v>17</v>
      </c>
      <c r="J150" s="7" t="s">
        <v>58</v>
      </c>
      <c r="K150" s="11" t="s">
        <v>59</v>
      </c>
      <c r="L150" s="8">
        <v>1.77011988764E12</v>
      </c>
      <c r="M150" s="9"/>
      <c r="N150" s="10"/>
      <c r="O150" s="10"/>
      <c r="P150" s="10"/>
      <c r="Q150" s="10"/>
      <c r="R150" s="10"/>
      <c r="S150" s="10"/>
      <c r="T150" s="10"/>
      <c r="U150" s="10"/>
      <c r="V150" s="10"/>
    </row>
    <row r="151" ht="22.5" customHeight="1">
      <c r="A151" s="5">
        <v>1.99027276984E11</v>
      </c>
      <c r="B151" s="5" t="s">
        <v>223</v>
      </c>
      <c r="C151" s="5">
        <v>51900249750</v>
      </c>
      <c r="D151" s="5" t="s">
        <v>13</v>
      </c>
      <c r="E151" s="5">
        <v>8.0566583E7</v>
      </c>
      <c r="F151" s="5" t="s">
        <v>65</v>
      </c>
      <c r="G151" s="5" t="s">
        <v>15</v>
      </c>
      <c r="H151" s="5" t="s">
        <v>66</v>
      </c>
      <c r="I151" s="6" t="s">
        <v>17</v>
      </c>
      <c r="J151" s="7" t="s">
        <v>34</v>
      </c>
      <c r="K151" s="7"/>
      <c r="L151" s="8">
        <v>1.77012099079E12</v>
      </c>
      <c r="M151" s="9"/>
      <c r="N151" s="10"/>
      <c r="O151" s="10"/>
      <c r="P151" s="10"/>
      <c r="Q151" s="10"/>
      <c r="R151" s="10"/>
      <c r="S151" s="10"/>
      <c r="T151" s="10"/>
      <c r="U151" s="10"/>
      <c r="V151" s="10"/>
    </row>
    <row r="152" ht="22.5" customHeight="1">
      <c r="A152" s="5">
        <v>1.9902083472E11</v>
      </c>
      <c r="B152" s="5" t="s">
        <v>224</v>
      </c>
      <c r="C152" s="5">
        <v>5522992375834</v>
      </c>
      <c r="D152" s="5" t="s">
        <v>13</v>
      </c>
      <c r="E152" s="5">
        <v>7.9360573E7</v>
      </c>
      <c r="F152" s="5" t="s">
        <v>31</v>
      </c>
      <c r="G152" s="5" t="s">
        <v>15</v>
      </c>
      <c r="H152" s="5" t="s">
        <v>66</v>
      </c>
      <c r="I152" s="6" t="s">
        <v>17</v>
      </c>
      <c r="J152" s="7" t="s">
        <v>34</v>
      </c>
      <c r="K152" s="7"/>
      <c r="L152" s="8">
        <v>1.770121052925E12</v>
      </c>
      <c r="M152" s="9"/>
      <c r="N152" s="10"/>
      <c r="O152" s="10"/>
      <c r="P152" s="10"/>
      <c r="Q152" s="10"/>
      <c r="R152" s="10"/>
      <c r="S152" s="10"/>
      <c r="T152" s="10"/>
      <c r="U152" s="10"/>
      <c r="V152" s="10"/>
    </row>
    <row r="153" ht="22.5" customHeight="1">
      <c r="A153" s="5">
        <v>1.99019246994E11</v>
      </c>
      <c r="B153" s="5" t="s">
        <v>225</v>
      </c>
      <c r="C153" s="5">
        <v>51951751274</v>
      </c>
      <c r="D153" s="5" t="s">
        <v>13</v>
      </c>
      <c r="E153" s="5">
        <v>8.0566583E7</v>
      </c>
      <c r="F153" s="5" t="s">
        <v>31</v>
      </c>
      <c r="G153" s="5" t="s">
        <v>15</v>
      </c>
      <c r="H153" s="5" t="s">
        <v>51</v>
      </c>
      <c r="I153" s="6" t="s">
        <v>17</v>
      </c>
      <c r="J153" s="7" t="s">
        <v>18</v>
      </c>
      <c r="K153" s="7" t="s">
        <v>19</v>
      </c>
      <c r="L153" s="8">
        <v>1.770121128286E12</v>
      </c>
      <c r="M153" s="9"/>
      <c r="N153" s="10"/>
      <c r="O153" s="10"/>
      <c r="P153" s="10"/>
      <c r="Q153" s="10"/>
      <c r="R153" s="10"/>
      <c r="S153" s="10"/>
      <c r="T153" s="10"/>
      <c r="U153" s="10"/>
      <c r="V153" s="10"/>
    </row>
    <row r="154" ht="22.5" customHeight="1">
      <c r="A154" s="5">
        <v>1.9902952576E11</v>
      </c>
      <c r="B154" s="5" t="s">
        <v>226</v>
      </c>
      <c r="C154" s="5">
        <v>51901751128</v>
      </c>
      <c r="D154" s="5" t="s">
        <v>38</v>
      </c>
      <c r="E154" s="5">
        <v>8.0566583E7</v>
      </c>
      <c r="F154" s="5"/>
      <c r="G154" s="5"/>
      <c r="H154" s="5"/>
      <c r="I154" s="6"/>
      <c r="J154" s="7" t="s">
        <v>18</v>
      </c>
      <c r="K154" s="7" t="s">
        <v>19</v>
      </c>
      <c r="L154" s="8">
        <v>1.770124442396E12</v>
      </c>
      <c r="M154" s="9"/>
      <c r="N154" s="10"/>
      <c r="O154" s="10"/>
      <c r="P154" s="10"/>
      <c r="Q154" s="10"/>
      <c r="R154" s="10"/>
      <c r="S154" s="10"/>
      <c r="T154" s="10"/>
      <c r="U154" s="10"/>
      <c r="V154" s="10"/>
    </row>
    <row r="155" ht="22.5" customHeight="1">
      <c r="A155" s="5">
        <v>1.99057354769E11</v>
      </c>
      <c r="B155" s="5" t="s">
        <v>227</v>
      </c>
      <c r="C155" s="5">
        <v>5543999541209</v>
      </c>
      <c r="D155" s="5" t="s">
        <v>22</v>
      </c>
      <c r="E155" s="5">
        <v>7.9360573E7</v>
      </c>
      <c r="F155" s="5" t="s">
        <v>39</v>
      </c>
      <c r="G155" s="5" t="s">
        <v>32</v>
      </c>
      <c r="H155" s="5" t="s">
        <v>112</v>
      </c>
      <c r="I155" s="6"/>
      <c r="J155" s="7" t="s">
        <v>177</v>
      </c>
      <c r="K155" s="7" t="s">
        <v>36</v>
      </c>
      <c r="L155" s="8">
        <v>1.770124478644E12</v>
      </c>
      <c r="M155" s="9"/>
      <c r="N155" s="10"/>
      <c r="O155" s="10"/>
      <c r="P155" s="10"/>
      <c r="Q155" s="10"/>
      <c r="R155" s="10"/>
      <c r="S155" s="10"/>
      <c r="T155" s="10"/>
      <c r="U155" s="10"/>
      <c r="V155" s="10"/>
    </row>
    <row r="156" ht="22.5" customHeight="1">
      <c r="A156" s="5">
        <v>1.99061425591E11</v>
      </c>
      <c r="B156" s="5" t="s">
        <v>228</v>
      </c>
      <c r="C156" s="5">
        <v>51949629525</v>
      </c>
      <c r="D156" s="5" t="s">
        <v>22</v>
      </c>
      <c r="E156" s="5">
        <v>8.0566583E7</v>
      </c>
      <c r="F156" s="5" t="s">
        <v>28</v>
      </c>
      <c r="G156" s="5" t="s">
        <v>44</v>
      </c>
      <c r="H156" s="5" t="s">
        <v>16</v>
      </c>
      <c r="I156" s="6" t="s">
        <v>148</v>
      </c>
      <c r="J156" s="7" t="s">
        <v>58</v>
      </c>
      <c r="K156" s="11" t="s">
        <v>59</v>
      </c>
      <c r="L156" s="8">
        <v>1.770125331832E12</v>
      </c>
      <c r="M156" s="9"/>
      <c r="N156" s="10"/>
      <c r="O156" s="10"/>
      <c r="P156" s="10"/>
      <c r="Q156" s="10"/>
      <c r="R156" s="10"/>
      <c r="S156" s="10"/>
      <c r="T156" s="10"/>
      <c r="U156" s="10"/>
      <c r="V156" s="10"/>
    </row>
    <row r="157" ht="22.5" customHeight="1">
      <c r="A157" s="5">
        <v>1.99031066536E11</v>
      </c>
      <c r="B157" s="5" t="s">
        <v>229</v>
      </c>
      <c r="C157" s="5">
        <v>51994766711</v>
      </c>
      <c r="D157" s="5" t="s">
        <v>13</v>
      </c>
      <c r="E157" s="5">
        <v>8.7547393E7</v>
      </c>
      <c r="F157" s="5" t="s">
        <v>28</v>
      </c>
      <c r="G157" s="5" t="s">
        <v>32</v>
      </c>
      <c r="H157" s="5" t="s">
        <v>24</v>
      </c>
      <c r="I157" s="6" t="s">
        <v>17</v>
      </c>
      <c r="J157" s="7" t="s">
        <v>18</v>
      </c>
      <c r="K157" s="7" t="s">
        <v>19</v>
      </c>
      <c r="L157" s="8">
        <v>1.77012545402E12</v>
      </c>
      <c r="M157" s="9"/>
      <c r="N157" s="10"/>
      <c r="O157" s="10"/>
      <c r="P157" s="10"/>
      <c r="Q157" s="10"/>
      <c r="R157" s="10"/>
      <c r="S157" s="10"/>
      <c r="T157" s="10"/>
      <c r="U157" s="10"/>
      <c r="V157" s="10"/>
    </row>
    <row r="158" ht="22.5" customHeight="1">
      <c r="A158" s="5">
        <v>1.99038676E11</v>
      </c>
      <c r="B158" s="5" t="s">
        <v>230</v>
      </c>
      <c r="C158" s="5">
        <v>51992280072</v>
      </c>
      <c r="D158" s="5" t="s">
        <v>13</v>
      </c>
      <c r="E158" s="5">
        <v>8.7547393E7</v>
      </c>
      <c r="F158" s="5" t="s">
        <v>28</v>
      </c>
      <c r="G158" s="5" t="s">
        <v>32</v>
      </c>
      <c r="H158" s="5" t="s">
        <v>86</v>
      </c>
      <c r="I158" s="6" t="s">
        <v>17</v>
      </c>
      <c r="J158" s="7" t="s">
        <v>34</v>
      </c>
      <c r="K158" s="7"/>
      <c r="L158" s="8">
        <v>1.770126090457E12</v>
      </c>
      <c r="M158" s="9"/>
      <c r="N158" s="10"/>
      <c r="O158" s="10"/>
      <c r="P158" s="10"/>
      <c r="Q158" s="10"/>
      <c r="R158" s="10"/>
      <c r="S158" s="10"/>
      <c r="T158" s="10"/>
      <c r="U158" s="10"/>
      <c r="V158" s="10"/>
    </row>
    <row r="159" ht="22.5" customHeight="1">
      <c r="A159" s="5">
        <v>1.99061680715E11</v>
      </c>
      <c r="B159" s="5" t="s">
        <v>231</v>
      </c>
      <c r="C159" s="5">
        <v>51984727264</v>
      </c>
      <c r="D159" s="5" t="s">
        <v>13</v>
      </c>
      <c r="E159" s="5">
        <v>8.0566583E7</v>
      </c>
      <c r="F159" s="5" t="s">
        <v>28</v>
      </c>
      <c r="G159" s="5" t="s">
        <v>15</v>
      </c>
      <c r="H159" s="5" t="s">
        <v>51</v>
      </c>
      <c r="I159" s="6" t="s">
        <v>17</v>
      </c>
      <c r="J159" s="7" t="s">
        <v>18</v>
      </c>
      <c r="K159" s="7" t="s">
        <v>19</v>
      </c>
      <c r="L159" s="8">
        <v>1.770126149658E12</v>
      </c>
      <c r="M159" s="9"/>
      <c r="N159" s="10"/>
      <c r="O159" s="10"/>
      <c r="P159" s="10"/>
      <c r="Q159" s="10"/>
      <c r="R159" s="10"/>
      <c r="S159" s="10"/>
      <c r="T159" s="10"/>
      <c r="U159" s="10"/>
      <c r="V159" s="10"/>
    </row>
    <row r="160" ht="22.5" customHeight="1">
      <c r="A160" s="5">
        <v>1.63159477318E11</v>
      </c>
      <c r="B160" s="5" t="s">
        <v>232</v>
      </c>
      <c r="C160" s="5">
        <v>51944241625</v>
      </c>
      <c r="D160" s="5" t="s">
        <v>13</v>
      </c>
      <c r="E160" s="5">
        <v>8.7547393E7</v>
      </c>
      <c r="F160" s="5" t="s">
        <v>65</v>
      </c>
      <c r="G160" s="5" t="s">
        <v>15</v>
      </c>
      <c r="H160" s="5" t="s">
        <v>16</v>
      </c>
      <c r="I160" s="6" t="s">
        <v>17</v>
      </c>
      <c r="J160" s="7" t="s">
        <v>18</v>
      </c>
      <c r="K160" s="7" t="s">
        <v>19</v>
      </c>
      <c r="L160" s="8">
        <v>1.770126306127E12</v>
      </c>
      <c r="M160" s="9"/>
      <c r="N160" s="10"/>
      <c r="O160" s="10"/>
      <c r="P160" s="10"/>
      <c r="Q160" s="10"/>
      <c r="R160" s="10"/>
      <c r="S160" s="10"/>
      <c r="T160" s="10"/>
      <c r="U160" s="10"/>
      <c r="V160" s="10"/>
    </row>
    <row r="161" ht="22.5" customHeight="1">
      <c r="A161" s="5">
        <v>1.94531510147E11</v>
      </c>
      <c r="B161" s="5" t="s">
        <v>233</v>
      </c>
      <c r="C161" s="5">
        <v>51914903918</v>
      </c>
      <c r="D161" s="5" t="s">
        <v>38</v>
      </c>
      <c r="E161" s="5">
        <v>8.7547393E7</v>
      </c>
      <c r="F161" s="5"/>
      <c r="G161" s="5"/>
      <c r="H161" s="5"/>
      <c r="I161" s="6"/>
      <c r="J161" s="7" t="s">
        <v>25</v>
      </c>
      <c r="K161" s="7" t="s">
        <v>26</v>
      </c>
      <c r="L161" s="8">
        <v>1.770126580624E12</v>
      </c>
      <c r="M161" s="9"/>
      <c r="N161" s="10"/>
      <c r="O161" s="10"/>
      <c r="P161" s="10"/>
      <c r="Q161" s="10"/>
      <c r="R161" s="10"/>
      <c r="S161" s="10"/>
      <c r="T161" s="10"/>
      <c r="U161" s="10"/>
      <c r="V161" s="10"/>
    </row>
    <row r="162" ht="22.5" customHeight="1">
      <c r="A162" s="5">
        <v>1.9906227564E11</v>
      </c>
      <c r="B162" s="5" t="s">
        <v>234</v>
      </c>
      <c r="C162" s="5">
        <v>526311473687</v>
      </c>
      <c r="D162" s="5" t="s">
        <v>13</v>
      </c>
      <c r="E162" s="5">
        <v>8.0566583E7</v>
      </c>
      <c r="F162" s="5" t="s">
        <v>39</v>
      </c>
      <c r="G162" s="5" t="s">
        <v>15</v>
      </c>
      <c r="H162" s="5" t="s">
        <v>51</v>
      </c>
      <c r="I162" s="6" t="s">
        <v>17</v>
      </c>
      <c r="J162" s="7" t="s">
        <v>18</v>
      </c>
      <c r="K162" s="7" t="s">
        <v>61</v>
      </c>
      <c r="L162" s="8">
        <v>1.770127113405E12</v>
      </c>
      <c r="M162" s="9"/>
      <c r="N162" s="10"/>
      <c r="O162" s="10"/>
      <c r="P162" s="10"/>
      <c r="Q162" s="10"/>
      <c r="R162" s="10"/>
      <c r="S162" s="10"/>
      <c r="T162" s="10"/>
      <c r="U162" s="10"/>
      <c r="V162" s="10"/>
    </row>
    <row r="163" ht="22.5" customHeight="1">
      <c r="A163" s="5">
        <v>1.99082908746E11</v>
      </c>
      <c r="B163" s="5" t="s">
        <v>235</v>
      </c>
      <c r="C163" s="5">
        <v>525616090661</v>
      </c>
      <c r="D163" s="5" t="s">
        <v>13</v>
      </c>
      <c r="E163" s="5">
        <v>8.0566583E7</v>
      </c>
      <c r="F163" s="5" t="s">
        <v>14</v>
      </c>
      <c r="G163" s="5" t="s">
        <v>15</v>
      </c>
      <c r="H163" s="5" t="s">
        <v>53</v>
      </c>
      <c r="I163" s="6" t="s">
        <v>17</v>
      </c>
      <c r="J163" s="7" t="s">
        <v>18</v>
      </c>
      <c r="K163" s="7" t="s">
        <v>61</v>
      </c>
      <c r="L163" s="8">
        <v>1.770128147438E12</v>
      </c>
      <c r="M163" s="9"/>
      <c r="N163" s="10"/>
      <c r="O163" s="10"/>
      <c r="P163" s="10"/>
      <c r="Q163" s="10"/>
      <c r="R163" s="10"/>
      <c r="S163" s="10"/>
      <c r="T163" s="10"/>
      <c r="U163" s="10"/>
      <c r="V163" s="10"/>
    </row>
    <row r="164" ht="22.5" customHeight="1">
      <c r="A164" s="5">
        <v>1.85891359507E11</v>
      </c>
      <c r="B164" s="5" t="s">
        <v>236</v>
      </c>
      <c r="C164" s="5">
        <v>51992992786</v>
      </c>
      <c r="D164" s="5" t="s">
        <v>103</v>
      </c>
      <c r="E164" s="5">
        <v>8.0566583E7</v>
      </c>
      <c r="F164" s="5" t="s">
        <v>39</v>
      </c>
      <c r="G164" s="5" t="s">
        <v>79</v>
      </c>
      <c r="H164" s="5" t="s">
        <v>24</v>
      </c>
      <c r="I164" s="6" t="s">
        <v>17</v>
      </c>
      <c r="J164" s="7" t="s">
        <v>58</v>
      </c>
      <c r="K164" s="11" t="s">
        <v>59</v>
      </c>
      <c r="L164" s="8">
        <v>1.770128223518E12</v>
      </c>
      <c r="M164" s="9"/>
      <c r="N164" s="10"/>
      <c r="O164" s="10"/>
      <c r="P164" s="10"/>
      <c r="Q164" s="10"/>
      <c r="R164" s="10"/>
      <c r="S164" s="10"/>
      <c r="T164" s="10"/>
      <c r="U164" s="10"/>
      <c r="V164" s="10"/>
    </row>
    <row r="165" ht="22.5" customHeight="1">
      <c r="A165" s="5">
        <v>1.99093237645E11</v>
      </c>
      <c r="B165" s="5" t="s">
        <v>237</v>
      </c>
      <c r="C165" s="5">
        <v>51987755580</v>
      </c>
      <c r="D165" s="5" t="s">
        <v>13</v>
      </c>
      <c r="E165" s="5">
        <v>8.0566583E7</v>
      </c>
      <c r="F165" s="5" t="s">
        <v>39</v>
      </c>
      <c r="G165" s="5" t="s">
        <v>32</v>
      </c>
      <c r="H165" s="5" t="s">
        <v>16</v>
      </c>
      <c r="I165" s="6" t="s">
        <v>17</v>
      </c>
      <c r="J165" s="7" t="s">
        <v>18</v>
      </c>
      <c r="K165" s="7" t="s">
        <v>19</v>
      </c>
      <c r="L165" s="8">
        <v>1.770128869375E12</v>
      </c>
      <c r="M165" s="9"/>
      <c r="N165" s="10"/>
      <c r="O165" s="10"/>
      <c r="P165" s="10"/>
      <c r="Q165" s="10"/>
      <c r="R165" s="10"/>
      <c r="S165" s="10"/>
      <c r="T165" s="10"/>
      <c r="U165" s="10"/>
      <c r="V165" s="10"/>
    </row>
    <row r="166" ht="22.5" customHeight="1">
      <c r="A166" s="5">
        <v>1.9909432737E11</v>
      </c>
      <c r="B166" s="5" t="s">
        <v>238</v>
      </c>
      <c r="C166" s="5">
        <v>51949393051</v>
      </c>
      <c r="D166" s="5" t="s">
        <v>13</v>
      </c>
      <c r="E166" s="5">
        <v>8.0566583E7</v>
      </c>
      <c r="F166" s="5" t="s">
        <v>14</v>
      </c>
      <c r="G166" s="5" t="s">
        <v>15</v>
      </c>
      <c r="H166" s="5" t="s">
        <v>239</v>
      </c>
      <c r="I166" s="6" t="s">
        <v>17</v>
      </c>
      <c r="J166" s="7" t="s">
        <v>18</v>
      </c>
      <c r="K166" s="7" t="s">
        <v>116</v>
      </c>
      <c r="L166" s="8">
        <v>1.770129272894E12</v>
      </c>
      <c r="M166" s="9"/>
      <c r="N166" s="10"/>
      <c r="O166" s="10"/>
      <c r="P166" s="10"/>
      <c r="Q166" s="10"/>
      <c r="R166" s="10"/>
      <c r="S166" s="10"/>
      <c r="T166" s="10"/>
      <c r="U166" s="10"/>
      <c r="V166" s="10"/>
    </row>
    <row r="167" ht="22.5" customHeight="1">
      <c r="A167" s="5">
        <v>1.99096354723E11</v>
      </c>
      <c r="B167" s="5" t="s">
        <v>240</v>
      </c>
      <c r="C167" s="5">
        <v>51984264425</v>
      </c>
      <c r="D167" s="5" t="s">
        <v>13</v>
      </c>
      <c r="E167" s="5">
        <v>8.0566583E7</v>
      </c>
      <c r="F167" s="5" t="s">
        <v>14</v>
      </c>
      <c r="G167" s="5" t="s">
        <v>15</v>
      </c>
      <c r="H167" s="5" t="s">
        <v>51</v>
      </c>
      <c r="I167" s="6" t="s">
        <v>17</v>
      </c>
      <c r="J167" s="7" t="s">
        <v>34</v>
      </c>
      <c r="K167" s="7"/>
      <c r="L167" s="8">
        <v>1.770130017952E12</v>
      </c>
      <c r="M167" s="9"/>
      <c r="N167" s="10"/>
      <c r="O167" s="10"/>
      <c r="P167" s="10"/>
      <c r="Q167" s="10"/>
      <c r="R167" s="10"/>
      <c r="S167" s="10"/>
      <c r="T167" s="10"/>
      <c r="U167" s="10"/>
      <c r="V167" s="10"/>
    </row>
    <row r="168" ht="22.5" customHeight="1">
      <c r="A168" s="5">
        <v>1.99099628114E11</v>
      </c>
      <c r="B168" s="5" t="s">
        <v>241</v>
      </c>
      <c r="C168" s="5">
        <v>529931504532</v>
      </c>
      <c r="D168" s="5" t="s">
        <v>103</v>
      </c>
      <c r="E168" s="5">
        <v>8.0566583E7</v>
      </c>
      <c r="F168" s="5" t="s">
        <v>23</v>
      </c>
      <c r="G168" s="5" t="s">
        <v>79</v>
      </c>
      <c r="H168" s="5" t="s">
        <v>24</v>
      </c>
      <c r="I168" s="6" t="s">
        <v>17</v>
      </c>
      <c r="J168" s="7" t="s">
        <v>18</v>
      </c>
      <c r="K168" s="7" t="s">
        <v>61</v>
      </c>
      <c r="L168" s="8">
        <v>1.770132209908E12</v>
      </c>
      <c r="M168" s="9"/>
      <c r="N168" s="10"/>
      <c r="O168" s="10"/>
      <c r="P168" s="10"/>
      <c r="Q168" s="10"/>
      <c r="R168" s="10"/>
      <c r="S168" s="10"/>
      <c r="T168" s="10"/>
      <c r="U168" s="10"/>
      <c r="V168" s="10"/>
    </row>
    <row r="169" ht="22.5" customHeight="1">
      <c r="A169" s="5">
        <v>1.99099297542E11</v>
      </c>
      <c r="B169" s="5" t="s">
        <v>242</v>
      </c>
      <c r="C169" s="5">
        <v>5562992519791</v>
      </c>
      <c r="D169" s="5" t="s">
        <v>13</v>
      </c>
      <c r="E169" s="5">
        <v>7.9360573E7</v>
      </c>
      <c r="F169" s="5" t="s">
        <v>39</v>
      </c>
      <c r="G169" s="5" t="s">
        <v>15</v>
      </c>
      <c r="H169" s="5" t="s">
        <v>33</v>
      </c>
      <c r="I169" s="6" t="s">
        <v>17</v>
      </c>
      <c r="J169" s="7" t="s">
        <v>34</v>
      </c>
      <c r="K169" s="7"/>
      <c r="L169" s="8">
        <v>1.770132270852E12</v>
      </c>
      <c r="M169" s="9"/>
      <c r="N169" s="10"/>
      <c r="O169" s="10"/>
      <c r="P169" s="10"/>
      <c r="Q169" s="10"/>
      <c r="R169" s="10"/>
      <c r="S169" s="10"/>
      <c r="T169" s="10"/>
      <c r="U169" s="10"/>
      <c r="V169" s="10"/>
    </row>
    <row r="170" ht="22.5" customHeight="1">
      <c r="A170" s="5">
        <v>1.99099900225E11</v>
      </c>
      <c r="B170" s="5" t="s">
        <v>243</v>
      </c>
      <c r="C170" s="5">
        <v>51919599057</v>
      </c>
      <c r="D170" s="5" t="s">
        <v>13</v>
      </c>
      <c r="E170" s="5">
        <v>8.0566583E7</v>
      </c>
      <c r="F170" s="5" t="s">
        <v>23</v>
      </c>
      <c r="G170" s="5" t="s">
        <v>15</v>
      </c>
      <c r="H170" s="5" t="s">
        <v>51</v>
      </c>
      <c r="I170" s="6" t="s">
        <v>17</v>
      </c>
      <c r="J170" s="7" t="s">
        <v>18</v>
      </c>
      <c r="K170" s="7" t="s">
        <v>19</v>
      </c>
      <c r="L170" s="8">
        <v>1.770133324073E12</v>
      </c>
      <c r="M170" s="9"/>
      <c r="N170" s="10"/>
      <c r="O170" s="10"/>
      <c r="P170" s="10"/>
      <c r="Q170" s="10"/>
      <c r="R170" s="10"/>
      <c r="S170" s="10"/>
      <c r="T170" s="10"/>
      <c r="U170" s="10"/>
      <c r="V170" s="10"/>
    </row>
    <row r="171" ht="22.5" customHeight="1">
      <c r="A171" s="5">
        <v>1.99107089932E11</v>
      </c>
      <c r="B171" s="5" t="s">
        <v>244</v>
      </c>
      <c r="C171" s="5">
        <v>524451001104</v>
      </c>
      <c r="D171" s="5" t="s">
        <v>13</v>
      </c>
      <c r="E171" s="5">
        <v>8.0566583E7</v>
      </c>
      <c r="F171" s="5" t="s">
        <v>39</v>
      </c>
      <c r="G171" s="5" t="s">
        <v>32</v>
      </c>
      <c r="H171" s="5" t="s">
        <v>24</v>
      </c>
      <c r="I171" s="6" t="s">
        <v>49</v>
      </c>
      <c r="J171" s="7" t="s">
        <v>34</v>
      </c>
      <c r="K171" s="7"/>
      <c r="L171" s="8">
        <v>1.770133381133E12</v>
      </c>
      <c r="M171" s="9"/>
      <c r="N171" s="10"/>
      <c r="O171" s="10"/>
      <c r="P171" s="10"/>
      <c r="Q171" s="10"/>
      <c r="R171" s="10"/>
      <c r="S171" s="10"/>
      <c r="T171" s="10"/>
      <c r="U171" s="10"/>
      <c r="V171" s="10"/>
    </row>
    <row r="172" ht="22.5" customHeight="1">
      <c r="A172" s="5">
        <v>1.99109111849E11</v>
      </c>
      <c r="B172" s="5" t="s">
        <v>245</v>
      </c>
      <c r="C172" s="5">
        <v>51941533084</v>
      </c>
      <c r="D172" s="5" t="s">
        <v>13</v>
      </c>
      <c r="E172" s="5">
        <v>8.7547393E7</v>
      </c>
      <c r="F172" s="5" t="s">
        <v>28</v>
      </c>
      <c r="G172" s="5" t="s">
        <v>32</v>
      </c>
      <c r="H172" s="5" t="s">
        <v>16</v>
      </c>
      <c r="I172" s="6" t="s">
        <v>17</v>
      </c>
      <c r="J172" s="7" t="s">
        <v>18</v>
      </c>
      <c r="K172" s="7" t="s">
        <v>19</v>
      </c>
      <c r="L172" s="8">
        <v>1.770134462875E12</v>
      </c>
      <c r="M172" s="9"/>
      <c r="N172" s="10"/>
      <c r="O172" s="10"/>
      <c r="P172" s="10"/>
      <c r="Q172" s="10"/>
      <c r="R172" s="10"/>
      <c r="S172" s="10"/>
      <c r="T172" s="10"/>
      <c r="U172" s="10"/>
      <c r="V172" s="10"/>
    </row>
    <row r="173" ht="22.5" customHeight="1">
      <c r="A173" s="5">
        <v>1.87762170924E11</v>
      </c>
      <c r="B173" s="5" t="s">
        <v>246</v>
      </c>
      <c r="C173" s="5">
        <v>528111821907</v>
      </c>
      <c r="D173" s="5" t="s">
        <v>13</v>
      </c>
      <c r="E173" s="5">
        <v>8.0566583E7</v>
      </c>
      <c r="F173" s="5" t="s">
        <v>65</v>
      </c>
      <c r="G173" s="5" t="s">
        <v>15</v>
      </c>
      <c r="H173" s="5" t="s">
        <v>66</v>
      </c>
      <c r="I173" s="6"/>
      <c r="J173" s="7" t="s">
        <v>58</v>
      </c>
      <c r="K173" s="11" t="s">
        <v>59</v>
      </c>
      <c r="L173" s="8">
        <v>1.770134783846E12</v>
      </c>
      <c r="M173" s="9"/>
      <c r="N173" s="10"/>
      <c r="O173" s="10"/>
      <c r="P173" s="10"/>
      <c r="Q173" s="10"/>
      <c r="R173" s="10"/>
      <c r="S173" s="10"/>
      <c r="T173" s="10"/>
      <c r="U173" s="10"/>
      <c r="V173" s="10"/>
    </row>
    <row r="174" ht="22.5" customHeight="1">
      <c r="A174" s="5">
        <v>1.88105526047E11</v>
      </c>
      <c r="B174" s="5" t="s">
        <v>247</v>
      </c>
      <c r="C174" s="5">
        <v>51987772998</v>
      </c>
      <c r="D174" s="5" t="s">
        <v>13</v>
      </c>
      <c r="E174" s="5">
        <v>8.7547393E7</v>
      </c>
      <c r="F174" s="5" t="s">
        <v>23</v>
      </c>
      <c r="G174" s="5" t="s">
        <v>15</v>
      </c>
      <c r="H174" s="5" t="s">
        <v>69</v>
      </c>
      <c r="I174" s="6" t="s">
        <v>17</v>
      </c>
      <c r="J174" s="7" t="s">
        <v>18</v>
      </c>
      <c r="K174" s="7" t="s">
        <v>19</v>
      </c>
      <c r="L174" s="8">
        <v>1.770135737385E12</v>
      </c>
      <c r="M174" s="9"/>
      <c r="N174" s="10"/>
      <c r="O174" s="10"/>
      <c r="P174" s="10"/>
      <c r="Q174" s="10"/>
      <c r="R174" s="10"/>
      <c r="S174" s="10"/>
      <c r="T174" s="10"/>
      <c r="U174" s="10"/>
      <c r="V174" s="10"/>
    </row>
    <row r="175" ht="22.5" customHeight="1">
      <c r="A175" s="5">
        <v>1.97360461704E11</v>
      </c>
      <c r="B175" s="5" t="s">
        <v>248</v>
      </c>
      <c r="C175" s="5">
        <v>18095671087</v>
      </c>
      <c r="D175" s="5" t="s">
        <v>13</v>
      </c>
      <c r="E175" s="5">
        <v>8.7547393E7</v>
      </c>
      <c r="F175" s="5" t="s">
        <v>31</v>
      </c>
      <c r="G175" s="5" t="s">
        <v>15</v>
      </c>
      <c r="H175" s="5" t="s">
        <v>24</v>
      </c>
      <c r="I175" s="6"/>
      <c r="J175" s="7" t="s">
        <v>34</v>
      </c>
      <c r="K175" s="7"/>
      <c r="L175" s="8">
        <v>1.77013642587E12</v>
      </c>
      <c r="M175" s="9"/>
      <c r="N175" s="10"/>
      <c r="O175" s="10"/>
      <c r="P175" s="10"/>
      <c r="Q175" s="10"/>
      <c r="R175" s="10"/>
      <c r="S175" s="10"/>
      <c r="T175" s="10"/>
      <c r="U175" s="10"/>
      <c r="V175" s="10"/>
    </row>
    <row r="176" ht="22.5" customHeight="1">
      <c r="A176" s="5">
        <v>1.99112997385E11</v>
      </c>
      <c r="B176" s="5" t="s">
        <v>249</v>
      </c>
      <c r="C176" s="5">
        <v>5531985494840</v>
      </c>
      <c r="D176" s="5" t="s">
        <v>13</v>
      </c>
      <c r="E176" s="5">
        <v>8.7547393E7</v>
      </c>
      <c r="F176" s="5" t="s">
        <v>39</v>
      </c>
      <c r="G176" s="5" t="s">
        <v>44</v>
      </c>
      <c r="H176" s="5" t="s">
        <v>80</v>
      </c>
      <c r="I176" s="6" t="s">
        <v>17</v>
      </c>
      <c r="J176" s="7" t="s">
        <v>34</v>
      </c>
      <c r="K176" s="7"/>
      <c r="L176" s="8">
        <v>1.770137355906E12</v>
      </c>
      <c r="M176" s="9"/>
      <c r="N176" s="10"/>
      <c r="O176" s="10"/>
      <c r="P176" s="10"/>
      <c r="Q176" s="10"/>
      <c r="R176" s="10"/>
      <c r="S176" s="10"/>
      <c r="T176" s="10"/>
      <c r="U176" s="10"/>
      <c r="V176" s="10"/>
    </row>
    <row r="177" ht="22.5" customHeight="1">
      <c r="A177" s="5">
        <v>1.99112646954E11</v>
      </c>
      <c r="B177" s="5" t="s">
        <v>250</v>
      </c>
      <c r="C177" s="5">
        <v>5531990855445</v>
      </c>
      <c r="D177" s="5" t="s">
        <v>38</v>
      </c>
      <c r="E177" s="5">
        <v>7.9360573E7</v>
      </c>
      <c r="F177" s="5" t="s">
        <v>39</v>
      </c>
      <c r="G177" s="5" t="s">
        <v>44</v>
      </c>
      <c r="H177" s="5" t="s">
        <v>80</v>
      </c>
      <c r="I177" s="6" t="s">
        <v>17</v>
      </c>
      <c r="J177" s="7" t="s">
        <v>34</v>
      </c>
      <c r="K177" s="7"/>
      <c r="L177" s="8">
        <v>1.770138254932E12</v>
      </c>
      <c r="M177" s="9"/>
      <c r="N177" s="10"/>
      <c r="O177" s="10"/>
      <c r="P177" s="10"/>
      <c r="Q177" s="10"/>
      <c r="R177" s="10"/>
      <c r="S177" s="10"/>
      <c r="T177" s="10"/>
      <c r="U177" s="10"/>
      <c r="V177" s="10"/>
    </row>
    <row r="178" ht="22.5" customHeight="1">
      <c r="A178" s="5">
        <v>1.99118202967E11</v>
      </c>
      <c r="B178" s="5" t="s">
        <v>251</v>
      </c>
      <c r="C178" s="5">
        <v>51933369991</v>
      </c>
      <c r="D178" s="5" t="s">
        <v>13</v>
      </c>
      <c r="E178" s="5">
        <v>8.7547393E7</v>
      </c>
      <c r="F178" s="5" t="s">
        <v>31</v>
      </c>
      <c r="G178" s="5" t="s">
        <v>15</v>
      </c>
      <c r="H178" s="5" t="s">
        <v>24</v>
      </c>
      <c r="I178" s="6"/>
      <c r="J178" s="7" t="s">
        <v>177</v>
      </c>
      <c r="K178" s="7" t="s">
        <v>36</v>
      </c>
      <c r="L178" s="8">
        <v>1.770140453116E12</v>
      </c>
      <c r="M178" s="9"/>
      <c r="N178" s="10"/>
      <c r="O178" s="10"/>
      <c r="P178" s="10"/>
      <c r="Q178" s="10"/>
      <c r="R178" s="10"/>
      <c r="S178" s="10"/>
      <c r="T178" s="10"/>
      <c r="U178" s="10"/>
      <c r="V178" s="10"/>
    </row>
    <row r="179" ht="22.5" customHeight="1">
      <c r="A179" s="5">
        <v>1.99128707689E11</v>
      </c>
      <c r="B179" s="5" t="s">
        <v>252</v>
      </c>
      <c r="C179" s="5">
        <v>51924704905</v>
      </c>
      <c r="D179" s="5" t="s">
        <v>22</v>
      </c>
      <c r="E179" s="5">
        <v>8.7547393E7</v>
      </c>
      <c r="F179" s="5" t="s">
        <v>28</v>
      </c>
      <c r="G179" s="5" t="s">
        <v>32</v>
      </c>
      <c r="H179" s="5" t="s">
        <v>253</v>
      </c>
      <c r="I179" s="6" t="s">
        <v>17</v>
      </c>
      <c r="J179" s="7" t="s">
        <v>18</v>
      </c>
      <c r="K179" s="7" t="s">
        <v>19</v>
      </c>
      <c r="L179" s="8">
        <v>1.770141054807E12</v>
      </c>
      <c r="M179" s="9"/>
      <c r="N179" s="10"/>
      <c r="O179" s="10"/>
      <c r="P179" s="10"/>
      <c r="Q179" s="10"/>
      <c r="R179" s="10"/>
      <c r="S179" s="10"/>
      <c r="T179" s="10"/>
      <c r="U179" s="10"/>
      <c r="V179" s="10"/>
    </row>
    <row r="180" ht="22.5" customHeight="1">
      <c r="A180" s="5">
        <v>1.99134590108E11</v>
      </c>
      <c r="B180" s="5" t="s">
        <v>254</v>
      </c>
      <c r="C180" s="5">
        <v>525510176928</v>
      </c>
      <c r="D180" s="5" t="s">
        <v>13</v>
      </c>
      <c r="E180" s="5">
        <v>8.7547393E7</v>
      </c>
      <c r="F180" s="5" t="s">
        <v>28</v>
      </c>
      <c r="G180" s="5" t="s">
        <v>15</v>
      </c>
      <c r="H180" s="5" t="s">
        <v>16</v>
      </c>
      <c r="I180" s="6" t="s">
        <v>17</v>
      </c>
      <c r="J180" s="7" t="s">
        <v>18</v>
      </c>
      <c r="K180" s="7" t="s">
        <v>61</v>
      </c>
      <c r="L180" s="8">
        <v>1.770141944021E12</v>
      </c>
      <c r="M180" s="9"/>
      <c r="N180" s="10"/>
      <c r="O180" s="10"/>
      <c r="P180" s="10"/>
      <c r="Q180" s="10"/>
      <c r="R180" s="10"/>
      <c r="S180" s="10"/>
      <c r="T180" s="10"/>
      <c r="U180" s="10"/>
      <c r="V180" s="10"/>
    </row>
    <row r="181" ht="22.5" customHeight="1">
      <c r="A181" s="5">
        <v>1.99119348741E11</v>
      </c>
      <c r="B181" s="5" t="s">
        <v>255</v>
      </c>
      <c r="C181" s="5">
        <v>523231102312</v>
      </c>
      <c r="D181" s="5" t="s">
        <v>13</v>
      </c>
      <c r="E181" s="5">
        <v>8.7547393E7</v>
      </c>
      <c r="F181" s="5" t="s">
        <v>28</v>
      </c>
      <c r="G181" s="5" t="s">
        <v>15</v>
      </c>
      <c r="H181" s="5" t="s">
        <v>16</v>
      </c>
      <c r="I181" s="6" t="s">
        <v>49</v>
      </c>
      <c r="J181" s="7" t="s">
        <v>58</v>
      </c>
      <c r="K181" s="11" t="s">
        <v>256</v>
      </c>
      <c r="L181" s="8">
        <v>1.770142391761E12</v>
      </c>
      <c r="M181" s="9"/>
      <c r="N181" s="10"/>
      <c r="O181" s="10"/>
      <c r="P181" s="10"/>
      <c r="Q181" s="10"/>
      <c r="R181" s="10"/>
      <c r="S181" s="10"/>
      <c r="T181" s="10"/>
      <c r="U181" s="10"/>
      <c r="V181" s="10"/>
    </row>
    <row r="182" ht="22.5" customHeight="1">
      <c r="A182" s="5">
        <v>1.99169236833E11</v>
      </c>
      <c r="B182" s="5" t="s">
        <v>257</v>
      </c>
      <c r="C182" s="5">
        <v>523328287387</v>
      </c>
      <c r="D182" s="5" t="s">
        <v>13</v>
      </c>
      <c r="E182" s="5">
        <v>8.7547393E7</v>
      </c>
      <c r="F182" s="5" t="s">
        <v>28</v>
      </c>
      <c r="G182" s="5" t="s">
        <v>15</v>
      </c>
      <c r="H182" s="5" t="s">
        <v>16</v>
      </c>
      <c r="I182" s="6" t="s">
        <v>17</v>
      </c>
      <c r="J182" s="7" t="s">
        <v>34</v>
      </c>
      <c r="K182" s="7"/>
      <c r="L182" s="8">
        <v>1.770142723261E12</v>
      </c>
      <c r="M182" s="9"/>
      <c r="N182" s="10"/>
      <c r="O182" s="10"/>
      <c r="P182" s="10"/>
      <c r="Q182" s="10"/>
      <c r="R182" s="10"/>
      <c r="S182" s="10"/>
      <c r="T182" s="10"/>
      <c r="U182" s="10"/>
      <c r="V182" s="10"/>
    </row>
    <row r="183" ht="22.5" customHeight="1">
      <c r="A183" s="5">
        <v>1.1430221139E11</v>
      </c>
      <c r="B183" s="5" t="s">
        <v>258</v>
      </c>
      <c r="C183" s="5">
        <v>51989777232</v>
      </c>
      <c r="D183" s="5" t="s">
        <v>38</v>
      </c>
      <c r="E183" s="5"/>
      <c r="F183" s="5" t="s">
        <v>259</v>
      </c>
      <c r="G183" s="5" t="s">
        <v>260</v>
      </c>
      <c r="H183" s="5"/>
      <c r="I183" s="6"/>
      <c r="J183" s="7" t="s">
        <v>34</v>
      </c>
      <c r="K183" s="7"/>
      <c r="L183" s="8">
        <v>1.770142824162E12</v>
      </c>
      <c r="M183" s="9"/>
      <c r="N183" s="10"/>
      <c r="O183" s="10"/>
      <c r="P183" s="10"/>
      <c r="Q183" s="10"/>
      <c r="R183" s="10"/>
      <c r="S183" s="10"/>
      <c r="T183" s="10"/>
      <c r="U183" s="10"/>
      <c r="V183" s="10"/>
    </row>
    <row r="184" ht="22.5" customHeight="1">
      <c r="A184" s="5">
        <v>1.99168342193E11</v>
      </c>
      <c r="B184" s="5" t="s">
        <v>261</v>
      </c>
      <c r="C184" s="5">
        <v>51924026101</v>
      </c>
      <c r="D184" s="5" t="s">
        <v>13</v>
      </c>
      <c r="E184" s="5">
        <v>8.7547393E7</v>
      </c>
      <c r="F184" s="5" t="s">
        <v>31</v>
      </c>
      <c r="G184" s="5" t="s">
        <v>15</v>
      </c>
      <c r="H184" s="5" t="s">
        <v>51</v>
      </c>
      <c r="I184" s="6" t="s">
        <v>49</v>
      </c>
      <c r="J184" s="7" t="s">
        <v>34</v>
      </c>
      <c r="K184" s="7"/>
      <c r="L184" s="8">
        <v>1.770143276611E12</v>
      </c>
      <c r="M184" s="9"/>
      <c r="N184" s="10"/>
      <c r="O184" s="10"/>
      <c r="P184" s="10"/>
      <c r="Q184" s="10"/>
      <c r="R184" s="10"/>
      <c r="S184" s="10"/>
      <c r="T184" s="10"/>
      <c r="U184" s="10"/>
      <c r="V184" s="10"/>
    </row>
    <row r="185" ht="22.5" customHeight="1">
      <c r="A185" s="5">
        <v>6.5173258304E10</v>
      </c>
      <c r="B185" s="5" t="s">
        <v>262</v>
      </c>
      <c r="C185" s="5">
        <v>529612878500</v>
      </c>
      <c r="D185" s="5" t="s">
        <v>13</v>
      </c>
      <c r="E185" s="5">
        <v>8.7547393E7</v>
      </c>
      <c r="F185" s="5" t="s">
        <v>28</v>
      </c>
      <c r="G185" s="5" t="s">
        <v>15</v>
      </c>
      <c r="H185" s="5" t="s">
        <v>66</v>
      </c>
      <c r="I185" s="6"/>
      <c r="J185" s="7" t="s">
        <v>124</v>
      </c>
      <c r="K185" s="7" t="s">
        <v>125</v>
      </c>
      <c r="L185" s="8">
        <v>1.770145122869E12</v>
      </c>
      <c r="M185" s="9"/>
      <c r="N185" s="10"/>
      <c r="O185" s="10"/>
      <c r="P185" s="10"/>
      <c r="Q185" s="10"/>
      <c r="R185" s="10"/>
      <c r="S185" s="10"/>
      <c r="T185" s="10"/>
      <c r="U185" s="10"/>
      <c r="V185" s="10"/>
    </row>
    <row r="186" ht="22.5" customHeight="1">
      <c r="A186" s="5">
        <v>1.99184893532E11</v>
      </c>
      <c r="B186" s="5" t="s">
        <v>263</v>
      </c>
      <c r="C186" s="5">
        <v>525585329341</v>
      </c>
      <c r="D186" s="5" t="s">
        <v>38</v>
      </c>
      <c r="E186" s="5">
        <v>8.7547393E7</v>
      </c>
      <c r="F186" s="5" t="s">
        <v>28</v>
      </c>
      <c r="G186" s="5" t="s">
        <v>15</v>
      </c>
      <c r="H186" s="5" t="s">
        <v>51</v>
      </c>
      <c r="I186" s="6" t="s">
        <v>17</v>
      </c>
      <c r="J186" s="7" t="s">
        <v>34</v>
      </c>
      <c r="K186" s="7"/>
      <c r="L186" s="8">
        <v>1.770145442627E12</v>
      </c>
      <c r="M186" s="9"/>
      <c r="N186" s="10"/>
      <c r="O186" s="10"/>
      <c r="P186" s="10"/>
      <c r="Q186" s="10"/>
      <c r="R186" s="10"/>
      <c r="S186" s="10"/>
      <c r="T186" s="10"/>
      <c r="U186" s="10"/>
      <c r="V186" s="10"/>
    </row>
    <row r="187" ht="22.5" customHeight="1">
      <c r="A187" s="5">
        <v>1.99184142899E11</v>
      </c>
      <c r="B187" s="5" t="s">
        <v>264</v>
      </c>
      <c r="C187" s="5">
        <v>522294344689</v>
      </c>
      <c r="D187" s="5" t="s">
        <v>13</v>
      </c>
      <c r="E187" s="5">
        <v>8.7547393E7</v>
      </c>
      <c r="F187" s="5" t="s">
        <v>28</v>
      </c>
      <c r="G187" s="5" t="s">
        <v>32</v>
      </c>
      <c r="H187" s="5" t="s">
        <v>16</v>
      </c>
      <c r="I187" s="6" t="s">
        <v>17</v>
      </c>
      <c r="J187" s="7" t="s">
        <v>18</v>
      </c>
      <c r="K187" s="7" t="s">
        <v>61</v>
      </c>
      <c r="L187" s="8">
        <v>1.770145690113E12</v>
      </c>
      <c r="M187" s="9"/>
      <c r="N187" s="10"/>
      <c r="O187" s="10"/>
      <c r="P187" s="10"/>
      <c r="Q187" s="10"/>
      <c r="R187" s="10"/>
      <c r="S187" s="10"/>
      <c r="T187" s="10"/>
      <c r="U187" s="10"/>
      <c r="V187" s="10"/>
    </row>
    <row r="188" ht="22.5" customHeight="1">
      <c r="A188" s="5">
        <v>1.99182804246E11</v>
      </c>
      <c r="B188" s="5" t="s">
        <v>265</v>
      </c>
      <c r="C188" s="5">
        <v>5585992456261</v>
      </c>
      <c r="D188" s="5" t="s">
        <v>103</v>
      </c>
      <c r="E188" s="5">
        <v>7.9360573E7</v>
      </c>
      <c r="F188" s="5" t="s">
        <v>93</v>
      </c>
      <c r="G188" s="5" t="s">
        <v>79</v>
      </c>
      <c r="H188" s="5" t="s">
        <v>24</v>
      </c>
      <c r="I188" s="6" t="s">
        <v>17</v>
      </c>
      <c r="J188" s="7" t="s">
        <v>34</v>
      </c>
      <c r="K188" s="7"/>
      <c r="L188" s="8">
        <v>1.770147159106E12</v>
      </c>
      <c r="M188" s="9"/>
      <c r="N188" s="10"/>
      <c r="O188" s="10"/>
      <c r="P188" s="10"/>
      <c r="Q188" s="10"/>
      <c r="R188" s="10"/>
      <c r="S188" s="10"/>
      <c r="T188" s="10"/>
      <c r="U188" s="10"/>
      <c r="V188" s="10"/>
    </row>
    <row r="189" ht="22.5" customHeight="1">
      <c r="A189" s="5">
        <v>1.99142117516E11</v>
      </c>
      <c r="B189" s="5" t="s">
        <v>266</v>
      </c>
      <c r="C189" s="5">
        <v>524775383395</v>
      </c>
      <c r="D189" s="5" t="s">
        <v>13</v>
      </c>
      <c r="E189" s="5">
        <v>8.0566583E7</v>
      </c>
      <c r="F189" s="5" t="s">
        <v>28</v>
      </c>
      <c r="G189" s="5" t="s">
        <v>15</v>
      </c>
      <c r="H189" s="5" t="s">
        <v>16</v>
      </c>
      <c r="I189" s="6" t="s">
        <v>17</v>
      </c>
      <c r="J189" s="7" t="s">
        <v>18</v>
      </c>
      <c r="K189" s="7" t="s">
        <v>61</v>
      </c>
      <c r="L189" s="8">
        <v>1.770148206265E12</v>
      </c>
      <c r="M189" s="9"/>
      <c r="N189" s="10"/>
      <c r="O189" s="10"/>
      <c r="P189" s="10"/>
      <c r="Q189" s="10"/>
      <c r="R189" s="10"/>
      <c r="S189" s="10"/>
      <c r="T189" s="10"/>
      <c r="U189" s="10"/>
      <c r="V189" s="10"/>
    </row>
    <row r="190" ht="22.5" customHeight="1">
      <c r="A190" s="5">
        <v>1.99189240391E11</v>
      </c>
      <c r="B190" s="5" t="s">
        <v>267</v>
      </c>
      <c r="C190" s="5">
        <v>5586999835079</v>
      </c>
      <c r="D190" s="5" t="s">
        <v>13</v>
      </c>
      <c r="E190" s="5">
        <v>7.9360573E7</v>
      </c>
      <c r="F190" s="5" t="s">
        <v>28</v>
      </c>
      <c r="G190" s="5" t="s">
        <v>15</v>
      </c>
      <c r="H190" s="5" t="s">
        <v>114</v>
      </c>
      <c r="I190" s="6" t="s">
        <v>17</v>
      </c>
      <c r="J190" s="7" t="s">
        <v>34</v>
      </c>
      <c r="K190" s="7"/>
      <c r="L190" s="8">
        <v>1.770149012762E12</v>
      </c>
      <c r="M190" s="9"/>
      <c r="N190" s="10"/>
      <c r="O190" s="10"/>
      <c r="P190" s="10"/>
      <c r="Q190" s="10"/>
      <c r="R190" s="10"/>
      <c r="S190" s="10"/>
      <c r="T190" s="10"/>
      <c r="U190" s="10"/>
      <c r="V190" s="10"/>
    </row>
    <row r="191" ht="22.5" customHeight="1">
      <c r="A191" s="5">
        <v>1.99227781519E11</v>
      </c>
      <c r="B191" s="5" t="s">
        <v>268</v>
      </c>
      <c r="C191" s="5">
        <v>51961985568</v>
      </c>
      <c r="D191" s="5" t="s">
        <v>22</v>
      </c>
      <c r="E191" s="5">
        <v>8.0566583E7</v>
      </c>
      <c r="F191" s="5" t="s">
        <v>42</v>
      </c>
      <c r="G191" s="5" t="s">
        <v>44</v>
      </c>
      <c r="H191" s="5" t="s">
        <v>100</v>
      </c>
      <c r="I191" s="6" t="s">
        <v>17</v>
      </c>
      <c r="J191" s="7" t="s">
        <v>58</v>
      </c>
      <c r="K191" s="11" t="s">
        <v>59</v>
      </c>
      <c r="L191" s="8">
        <v>1.77015067303E12</v>
      </c>
      <c r="M191" s="9"/>
      <c r="N191" s="10"/>
      <c r="O191" s="10"/>
      <c r="P191" s="10"/>
      <c r="Q191" s="10"/>
      <c r="R191" s="10"/>
      <c r="S191" s="10"/>
      <c r="T191" s="10"/>
      <c r="U191" s="10"/>
      <c r="V191" s="10"/>
    </row>
    <row r="192" ht="22.5" customHeight="1">
      <c r="A192" s="5">
        <v>1.55818034745E11</v>
      </c>
      <c r="B192" s="5" t="s">
        <v>269</v>
      </c>
      <c r="C192" s="5">
        <v>51973524007</v>
      </c>
      <c r="D192" s="5" t="s">
        <v>22</v>
      </c>
      <c r="E192" s="5">
        <v>8.7547393E7</v>
      </c>
      <c r="F192" s="5" t="s">
        <v>93</v>
      </c>
      <c r="G192" s="5" t="s">
        <v>44</v>
      </c>
      <c r="H192" s="5" t="s">
        <v>16</v>
      </c>
      <c r="I192" s="6" t="s">
        <v>17</v>
      </c>
      <c r="J192" s="7" t="s">
        <v>34</v>
      </c>
      <c r="K192" s="7"/>
      <c r="L192" s="8">
        <v>1.770152992772E12</v>
      </c>
      <c r="M192" s="9"/>
      <c r="N192" s="10"/>
      <c r="O192" s="10"/>
      <c r="P192" s="10"/>
      <c r="Q192" s="10"/>
      <c r="R192" s="10"/>
      <c r="S192" s="10"/>
      <c r="T192" s="10"/>
      <c r="U192" s="10"/>
      <c r="V192" s="10"/>
    </row>
    <row r="193" ht="22.5" customHeight="1">
      <c r="A193" s="5">
        <v>1.99248254292E11</v>
      </c>
      <c r="B193" s="5" t="s">
        <v>270</v>
      </c>
      <c r="C193" s="5">
        <v>524773250812</v>
      </c>
      <c r="D193" s="5" t="s">
        <v>13</v>
      </c>
      <c r="E193" s="5">
        <v>8.7547393E7</v>
      </c>
      <c r="F193" s="5" t="s">
        <v>31</v>
      </c>
      <c r="G193" s="5" t="s">
        <v>15</v>
      </c>
      <c r="H193" s="5" t="s">
        <v>51</v>
      </c>
      <c r="I193" s="6" t="s">
        <v>89</v>
      </c>
      <c r="J193" s="7" t="s">
        <v>34</v>
      </c>
      <c r="K193" s="7"/>
      <c r="L193" s="8">
        <v>1.770153325695E12</v>
      </c>
      <c r="M193" s="9"/>
      <c r="N193" s="10"/>
      <c r="O193" s="10"/>
      <c r="P193" s="10"/>
      <c r="Q193" s="10"/>
      <c r="R193" s="10"/>
      <c r="S193" s="10"/>
      <c r="T193" s="10"/>
      <c r="U193" s="10"/>
      <c r="V193" s="10"/>
    </row>
    <row r="194" ht="22.5" customHeight="1">
      <c r="A194" s="5">
        <v>1.92312980149E11</v>
      </c>
      <c r="B194" s="5" t="s">
        <v>271</v>
      </c>
      <c r="C194" s="5">
        <v>51984271920</v>
      </c>
      <c r="D194" s="5" t="s">
        <v>13</v>
      </c>
      <c r="E194" s="5"/>
      <c r="F194" s="5" t="s">
        <v>65</v>
      </c>
      <c r="G194" s="5" t="s">
        <v>32</v>
      </c>
      <c r="H194" s="5" t="s">
        <v>80</v>
      </c>
      <c r="I194" s="6" t="s">
        <v>17</v>
      </c>
      <c r="J194" s="7" t="s">
        <v>34</v>
      </c>
      <c r="K194" s="7"/>
      <c r="L194" s="8">
        <v>1.770154779579E12</v>
      </c>
      <c r="M194" s="9"/>
      <c r="N194" s="10"/>
      <c r="O194" s="10"/>
      <c r="P194" s="10"/>
      <c r="Q194" s="10"/>
      <c r="R194" s="10"/>
      <c r="S194" s="10"/>
      <c r="T194" s="10"/>
      <c r="U194" s="10"/>
      <c r="V194" s="10"/>
    </row>
    <row r="195" ht="22.5" customHeight="1">
      <c r="A195" s="5">
        <v>1.70690670221E11</v>
      </c>
      <c r="B195" s="5" t="s">
        <v>272</v>
      </c>
      <c r="C195" s="5">
        <v>51997317464</v>
      </c>
      <c r="D195" s="5" t="s">
        <v>103</v>
      </c>
      <c r="E195" s="5">
        <v>8.0566583E7</v>
      </c>
      <c r="F195" s="5" t="s">
        <v>23</v>
      </c>
      <c r="G195" s="5" t="s">
        <v>79</v>
      </c>
      <c r="H195" s="5" t="s">
        <v>24</v>
      </c>
      <c r="I195" s="6" t="s">
        <v>17</v>
      </c>
      <c r="J195" s="7" t="s">
        <v>18</v>
      </c>
      <c r="K195" s="7" t="s">
        <v>273</v>
      </c>
      <c r="L195" s="8">
        <v>1.770155311322E12</v>
      </c>
      <c r="M195" s="9"/>
      <c r="N195" s="10"/>
      <c r="O195" s="10"/>
      <c r="P195" s="10"/>
      <c r="Q195" s="10"/>
      <c r="R195" s="10"/>
      <c r="S195" s="10"/>
      <c r="T195" s="10"/>
      <c r="U195" s="10"/>
      <c r="V195" s="10"/>
    </row>
    <row r="196" ht="22.5" customHeight="1">
      <c r="A196" s="5">
        <v>1.99243450504E11</v>
      </c>
      <c r="B196" s="5" t="s">
        <v>274</v>
      </c>
      <c r="C196" s="5">
        <v>51936376861</v>
      </c>
      <c r="D196" s="5" t="s">
        <v>38</v>
      </c>
      <c r="E196" s="5">
        <v>8.7547393E7</v>
      </c>
      <c r="F196" s="5" t="s">
        <v>28</v>
      </c>
      <c r="G196" s="5" t="s">
        <v>32</v>
      </c>
      <c r="H196" s="5" t="s">
        <v>16</v>
      </c>
      <c r="I196" s="6" t="s">
        <v>49</v>
      </c>
      <c r="J196" s="7" t="s">
        <v>34</v>
      </c>
      <c r="K196" s="7"/>
      <c r="L196" s="8">
        <v>1.770155404851E12</v>
      </c>
      <c r="M196" s="9"/>
      <c r="N196" s="10"/>
      <c r="O196" s="10"/>
      <c r="P196" s="10"/>
      <c r="Q196" s="10"/>
      <c r="R196" s="10"/>
      <c r="S196" s="10"/>
      <c r="T196" s="10"/>
      <c r="U196" s="10"/>
      <c r="V196" s="10"/>
    </row>
    <row r="197" ht="22.5" customHeight="1">
      <c r="A197" s="5">
        <v>1.9902083472E11</v>
      </c>
      <c r="B197" s="5" t="s">
        <v>224</v>
      </c>
      <c r="C197" s="5">
        <v>5522992375834</v>
      </c>
      <c r="D197" s="5" t="s">
        <v>13</v>
      </c>
      <c r="E197" s="5">
        <v>7.9360573E7</v>
      </c>
      <c r="F197" s="5" t="s">
        <v>31</v>
      </c>
      <c r="G197" s="5" t="s">
        <v>15</v>
      </c>
      <c r="H197" s="5" t="s">
        <v>66</v>
      </c>
      <c r="I197" s="6" t="s">
        <v>63</v>
      </c>
      <c r="J197" s="7" t="s">
        <v>34</v>
      </c>
      <c r="K197" s="7"/>
      <c r="L197" s="8">
        <v>1.770155545796E12</v>
      </c>
      <c r="M197" s="9"/>
      <c r="N197" s="10"/>
      <c r="O197" s="10"/>
      <c r="P197" s="10"/>
      <c r="Q197" s="10"/>
      <c r="R197" s="10"/>
      <c r="S197" s="10"/>
      <c r="T197" s="10"/>
      <c r="U197" s="10"/>
      <c r="V197" s="10"/>
    </row>
    <row r="198" ht="22.5" customHeight="1">
      <c r="A198" s="5">
        <v>1.99245506456E11</v>
      </c>
      <c r="B198" s="5" t="s">
        <v>275</v>
      </c>
      <c r="C198" s="5">
        <v>525537295900</v>
      </c>
      <c r="D198" s="5" t="s">
        <v>13</v>
      </c>
      <c r="E198" s="5">
        <v>8.0566583E7</v>
      </c>
      <c r="F198" s="5" t="s">
        <v>28</v>
      </c>
      <c r="G198" s="5" t="s">
        <v>15</v>
      </c>
      <c r="H198" s="5" t="s">
        <v>16</v>
      </c>
      <c r="I198" s="6" t="s">
        <v>17</v>
      </c>
      <c r="J198" s="7" t="s">
        <v>18</v>
      </c>
      <c r="K198" s="7" t="s">
        <v>61</v>
      </c>
      <c r="L198" s="8">
        <v>1.77015574724E12</v>
      </c>
      <c r="M198" s="9"/>
      <c r="N198" s="10"/>
      <c r="O198" s="10"/>
      <c r="P198" s="10"/>
      <c r="Q198" s="10"/>
      <c r="R198" s="10"/>
      <c r="S198" s="10"/>
      <c r="T198" s="10"/>
      <c r="U198" s="10"/>
      <c r="V198" s="10"/>
    </row>
    <row r="199" ht="22.5" customHeight="1">
      <c r="A199" s="5">
        <v>1.80478879539E11</v>
      </c>
      <c r="B199" s="5" t="s">
        <v>276</v>
      </c>
      <c r="C199" s="5">
        <v>51961593603</v>
      </c>
      <c r="D199" s="5" t="s">
        <v>13</v>
      </c>
      <c r="E199" s="5">
        <v>8.0566583E7</v>
      </c>
      <c r="F199" s="5" t="s">
        <v>39</v>
      </c>
      <c r="G199" s="5" t="s">
        <v>15</v>
      </c>
      <c r="H199" s="5" t="s">
        <v>66</v>
      </c>
      <c r="I199" s="6" t="s">
        <v>17</v>
      </c>
      <c r="J199" s="7" t="s">
        <v>18</v>
      </c>
      <c r="K199" s="7" t="s">
        <v>116</v>
      </c>
      <c r="L199" s="8">
        <v>1.770156765597E12</v>
      </c>
      <c r="M199" s="9"/>
      <c r="N199" s="10"/>
      <c r="O199" s="10"/>
      <c r="P199" s="10"/>
      <c r="Q199" s="10"/>
      <c r="R199" s="10"/>
      <c r="S199" s="10"/>
      <c r="T199" s="10"/>
      <c r="U199" s="10"/>
      <c r="V199" s="10"/>
    </row>
    <row r="200" ht="22.5" customHeight="1">
      <c r="A200" s="5">
        <v>1.92312980149E11</v>
      </c>
      <c r="B200" s="5" t="s">
        <v>277</v>
      </c>
      <c r="C200" s="5">
        <v>51945912581</v>
      </c>
      <c r="D200" s="5" t="s">
        <v>13</v>
      </c>
      <c r="E200" s="5"/>
      <c r="F200" s="5" t="s">
        <v>65</v>
      </c>
      <c r="G200" s="5" t="s">
        <v>15</v>
      </c>
      <c r="H200" s="5" t="s">
        <v>100</v>
      </c>
      <c r="I200" s="6" t="s">
        <v>17</v>
      </c>
      <c r="J200" s="7" t="s">
        <v>34</v>
      </c>
      <c r="K200" s="7"/>
      <c r="L200" s="8">
        <v>1.770156864516E12</v>
      </c>
      <c r="M200" s="9"/>
      <c r="N200" s="10"/>
      <c r="O200" s="10"/>
      <c r="P200" s="10"/>
      <c r="Q200" s="10"/>
      <c r="R200" s="10"/>
      <c r="S200" s="10"/>
      <c r="T200" s="10"/>
      <c r="U200" s="10"/>
      <c r="V200" s="10"/>
    </row>
    <row r="201" ht="22.5" customHeight="1">
      <c r="A201" s="5">
        <v>1.73874439085E11</v>
      </c>
      <c r="B201" s="5" t="s">
        <v>278</v>
      </c>
      <c r="C201" s="5">
        <v>523317037956</v>
      </c>
      <c r="D201" s="5" t="s">
        <v>13</v>
      </c>
      <c r="E201" s="5">
        <v>8.0566583E7</v>
      </c>
      <c r="F201" s="5" t="s">
        <v>28</v>
      </c>
      <c r="G201" s="5" t="s">
        <v>32</v>
      </c>
      <c r="H201" s="5" t="s">
        <v>24</v>
      </c>
      <c r="I201" s="6" t="s">
        <v>17</v>
      </c>
      <c r="J201" s="7" t="s">
        <v>34</v>
      </c>
      <c r="K201" s="7"/>
      <c r="L201" s="8">
        <v>1.770158230517E12</v>
      </c>
      <c r="M201" s="9"/>
      <c r="N201" s="10"/>
      <c r="O201" s="10"/>
      <c r="P201" s="10"/>
      <c r="Q201" s="10"/>
      <c r="R201" s="10"/>
      <c r="S201" s="10"/>
      <c r="T201" s="10"/>
      <c r="U201" s="10"/>
      <c r="V201" s="10"/>
    </row>
    <row r="202" ht="22.5" customHeight="1">
      <c r="A202" s="5">
        <v>1.9930694235E11</v>
      </c>
      <c r="B202" s="5" t="s">
        <v>279</v>
      </c>
      <c r="C202" s="5">
        <v>5561993536497</v>
      </c>
      <c r="D202" s="5" t="s">
        <v>38</v>
      </c>
      <c r="E202" s="5">
        <v>7.9360573E7</v>
      </c>
      <c r="F202" s="5" t="s">
        <v>28</v>
      </c>
      <c r="G202" s="5" t="s">
        <v>32</v>
      </c>
      <c r="H202" s="5" t="s">
        <v>66</v>
      </c>
      <c r="I202" s="6"/>
      <c r="J202" s="7" t="s">
        <v>34</v>
      </c>
      <c r="K202" s="7"/>
      <c r="L202" s="8">
        <v>1.770159610992E12</v>
      </c>
      <c r="M202" s="9"/>
      <c r="N202" s="10"/>
      <c r="O202" s="10"/>
      <c r="P202" s="10"/>
      <c r="Q202" s="10"/>
      <c r="R202" s="10"/>
      <c r="S202" s="10"/>
      <c r="T202" s="10"/>
      <c r="U202" s="10"/>
      <c r="V202" s="10"/>
    </row>
    <row r="203" ht="22.5" customHeight="1">
      <c r="A203" s="5">
        <v>1.99315742837E11</v>
      </c>
      <c r="B203" s="5" t="s">
        <v>280</v>
      </c>
      <c r="C203" s="5">
        <v>51940713934</v>
      </c>
      <c r="D203" s="5" t="s">
        <v>38</v>
      </c>
      <c r="E203" s="5">
        <v>8.7547393E7</v>
      </c>
      <c r="F203" s="5"/>
      <c r="G203" s="5"/>
      <c r="H203" s="5"/>
      <c r="I203" s="6"/>
      <c r="J203" s="7" t="s">
        <v>18</v>
      </c>
      <c r="K203" s="7" t="s">
        <v>116</v>
      </c>
      <c r="L203" s="8">
        <v>1.770161219744E12</v>
      </c>
      <c r="M203" s="9"/>
      <c r="N203" s="10"/>
      <c r="O203" s="10"/>
      <c r="P203" s="10"/>
      <c r="Q203" s="10"/>
      <c r="R203" s="10"/>
      <c r="S203" s="10"/>
      <c r="T203" s="10"/>
      <c r="U203" s="10"/>
      <c r="V203" s="10"/>
    </row>
    <row r="204" ht="22.5" customHeight="1">
      <c r="A204" s="5">
        <v>1.99280638385E11</v>
      </c>
      <c r="B204" s="5" t="s">
        <v>281</v>
      </c>
      <c r="C204" s="5">
        <v>51959592122</v>
      </c>
      <c r="D204" s="5" t="s">
        <v>22</v>
      </c>
      <c r="E204" s="5">
        <v>8.0566583E7</v>
      </c>
      <c r="F204" s="5" t="s">
        <v>28</v>
      </c>
      <c r="G204" s="5" t="s">
        <v>32</v>
      </c>
      <c r="H204" s="5" t="s">
        <v>114</v>
      </c>
      <c r="I204" s="6" t="s">
        <v>17</v>
      </c>
      <c r="J204" s="7" t="s">
        <v>58</v>
      </c>
      <c r="K204" s="11" t="s">
        <v>59</v>
      </c>
      <c r="L204" s="8">
        <v>1.770161382322E12</v>
      </c>
      <c r="M204" s="9"/>
      <c r="N204" s="10"/>
      <c r="O204" s="10"/>
      <c r="P204" s="10"/>
      <c r="Q204" s="10"/>
      <c r="R204" s="10"/>
      <c r="S204" s="10"/>
      <c r="T204" s="10"/>
      <c r="U204" s="10"/>
      <c r="V204" s="10"/>
    </row>
    <row r="205" ht="22.5" customHeight="1">
      <c r="A205" s="5">
        <v>1.99279492883E11</v>
      </c>
      <c r="B205" s="5" t="s">
        <v>282</v>
      </c>
      <c r="C205" s="5">
        <v>51986117814</v>
      </c>
      <c r="D205" s="5" t="s">
        <v>38</v>
      </c>
      <c r="E205" s="5">
        <v>8.7547393E7</v>
      </c>
      <c r="F205" s="5" t="s">
        <v>28</v>
      </c>
      <c r="G205" s="5" t="s">
        <v>44</v>
      </c>
      <c r="H205" s="5" t="s">
        <v>33</v>
      </c>
      <c r="I205" s="6" t="s">
        <v>17</v>
      </c>
      <c r="J205" s="7" t="s">
        <v>18</v>
      </c>
      <c r="K205" s="7" t="s">
        <v>19</v>
      </c>
      <c r="L205" s="8">
        <v>1.770161793954E12</v>
      </c>
      <c r="M205" s="9"/>
      <c r="N205" s="10"/>
      <c r="O205" s="10"/>
      <c r="P205" s="10"/>
      <c r="Q205" s="10"/>
      <c r="R205" s="10"/>
      <c r="S205" s="10"/>
      <c r="T205" s="10"/>
      <c r="U205" s="10"/>
      <c r="V205" s="10"/>
    </row>
    <row r="206" ht="22.5" customHeight="1">
      <c r="A206" s="5">
        <v>1.89169006508E11</v>
      </c>
      <c r="B206" s="5" t="s">
        <v>283</v>
      </c>
      <c r="C206" s="5">
        <v>51920839649</v>
      </c>
      <c r="D206" s="5" t="s">
        <v>38</v>
      </c>
      <c r="E206" s="5"/>
      <c r="F206" s="5"/>
      <c r="G206" s="5"/>
      <c r="H206" s="5"/>
      <c r="I206" s="6"/>
      <c r="J206" s="7" t="s">
        <v>124</v>
      </c>
      <c r="K206" s="7" t="s">
        <v>284</v>
      </c>
      <c r="L206" s="8">
        <v>1.770162132898E12</v>
      </c>
      <c r="M206" s="9"/>
      <c r="N206" s="10"/>
      <c r="O206" s="10"/>
      <c r="P206" s="10"/>
      <c r="Q206" s="10"/>
      <c r="R206" s="10"/>
      <c r="S206" s="10"/>
      <c r="T206" s="10"/>
      <c r="U206" s="10"/>
      <c r="V206" s="10"/>
    </row>
    <row r="207" ht="22.5" customHeight="1">
      <c r="A207" s="5">
        <v>1.93466896169E11</v>
      </c>
      <c r="B207" s="5" t="s">
        <v>285</v>
      </c>
      <c r="C207" s="5">
        <v>51927048341</v>
      </c>
      <c r="D207" s="5" t="s">
        <v>22</v>
      </c>
      <c r="E207" s="5">
        <v>8.0566583E7</v>
      </c>
      <c r="F207" s="5" t="s">
        <v>93</v>
      </c>
      <c r="G207" s="5" t="s">
        <v>32</v>
      </c>
      <c r="H207" s="5" t="s">
        <v>16</v>
      </c>
      <c r="I207" s="6" t="s">
        <v>49</v>
      </c>
      <c r="J207" s="7" t="s">
        <v>34</v>
      </c>
      <c r="K207" s="7"/>
      <c r="L207" s="8">
        <v>1.770162193201E12</v>
      </c>
      <c r="M207" s="9"/>
      <c r="N207" s="10"/>
      <c r="O207" s="10"/>
      <c r="P207" s="10"/>
      <c r="Q207" s="10"/>
      <c r="R207" s="10"/>
      <c r="S207" s="10"/>
      <c r="T207" s="10"/>
      <c r="U207" s="10"/>
      <c r="V207" s="10"/>
    </row>
    <row r="208" ht="22.5" customHeight="1">
      <c r="A208" s="5">
        <v>1.99280736065E11</v>
      </c>
      <c r="B208" s="5" t="s">
        <v>286</v>
      </c>
      <c r="C208" s="5">
        <v>51999659312</v>
      </c>
      <c r="D208" s="5" t="s">
        <v>13</v>
      </c>
      <c r="E208" s="5">
        <v>8.0566583E7</v>
      </c>
      <c r="F208" s="5" t="s">
        <v>28</v>
      </c>
      <c r="G208" s="5" t="s">
        <v>15</v>
      </c>
      <c r="H208" s="5" t="s">
        <v>16</v>
      </c>
      <c r="I208" s="6" t="s">
        <v>17</v>
      </c>
      <c r="J208" s="7" t="s">
        <v>18</v>
      </c>
      <c r="K208" s="7" t="s">
        <v>19</v>
      </c>
      <c r="L208" s="8">
        <v>1.770162885775E12</v>
      </c>
      <c r="M208" s="9"/>
      <c r="N208" s="10"/>
      <c r="O208" s="10"/>
      <c r="P208" s="10"/>
      <c r="Q208" s="10"/>
      <c r="R208" s="10"/>
      <c r="S208" s="10"/>
      <c r="T208" s="10"/>
      <c r="U208" s="10"/>
      <c r="V208" s="10"/>
    </row>
    <row r="209" ht="22.5" customHeight="1">
      <c r="A209" s="5">
        <v>1.99314159782E11</v>
      </c>
      <c r="B209" s="5" t="s">
        <v>287</v>
      </c>
      <c r="C209" s="5">
        <v>51986849202</v>
      </c>
      <c r="D209" s="5" t="s">
        <v>22</v>
      </c>
      <c r="E209" s="5">
        <v>8.0566583E7</v>
      </c>
      <c r="F209" s="5" t="s">
        <v>39</v>
      </c>
      <c r="G209" s="5" t="s">
        <v>44</v>
      </c>
      <c r="H209" s="5" t="s">
        <v>33</v>
      </c>
      <c r="I209" s="6" t="s">
        <v>63</v>
      </c>
      <c r="J209" s="7" t="s">
        <v>18</v>
      </c>
      <c r="K209" s="7" t="s">
        <v>19</v>
      </c>
      <c r="L209" s="8">
        <v>1.770163524216E12</v>
      </c>
      <c r="M209" s="9"/>
      <c r="N209" s="10"/>
      <c r="O209" s="10"/>
      <c r="P209" s="10"/>
      <c r="Q209" s="10"/>
      <c r="R209" s="10"/>
      <c r="S209" s="10"/>
      <c r="T209" s="10"/>
      <c r="U209" s="10"/>
      <c r="V209" s="10"/>
    </row>
    <row r="210" ht="22.5" customHeight="1">
      <c r="A210" s="5">
        <v>1.99284015625E11</v>
      </c>
      <c r="B210" s="5" t="s">
        <v>288</v>
      </c>
      <c r="C210" s="5">
        <v>5598981704383</v>
      </c>
      <c r="D210" s="5" t="s">
        <v>22</v>
      </c>
      <c r="E210" s="5">
        <v>7.9360573E7</v>
      </c>
      <c r="F210" s="5" t="s">
        <v>93</v>
      </c>
      <c r="G210" s="5">
        <v>50</v>
      </c>
      <c r="H210" s="5" t="s">
        <v>114</v>
      </c>
      <c r="I210" s="6" t="s">
        <v>148</v>
      </c>
      <c r="J210" s="7" t="s">
        <v>34</v>
      </c>
      <c r="K210" s="7"/>
      <c r="L210" s="8">
        <v>1.77016447493E12</v>
      </c>
      <c r="M210" s="9"/>
      <c r="N210" s="10"/>
      <c r="O210" s="10"/>
      <c r="P210" s="10"/>
      <c r="Q210" s="10"/>
      <c r="R210" s="10"/>
      <c r="S210" s="10"/>
      <c r="T210" s="10"/>
      <c r="U210" s="10"/>
      <c r="V210" s="10"/>
    </row>
    <row r="211" ht="22.5" customHeight="1">
      <c r="A211" s="5">
        <v>1.99314971964E11</v>
      </c>
      <c r="B211" s="5" t="s">
        <v>289</v>
      </c>
      <c r="C211" s="5">
        <v>51997421245</v>
      </c>
      <c r="D211" s="5" t="s">
        <v>38</v>
      </c>
      <c r="E211" s="5">
        <v>8.7547393E7</v>
      </c>
      <c r="F211" s="5"/>
      <c r="G211" s="5"/>
      <c r="H211" s="5"/>
      <c r="I211" s="6"/>
      <c r="J211" s="7" t="s">
        <v>18</v>
      </c>
      <c r="K211" s="7" t="s">
        <v>19</v>
      </c>
      <c r="L211" s="8">
        <v>1.770164848681E12</v>
      </c>
      <c r="M211" s="9"/>
      <c r="N211" s="10"/>
      <c r="O211" s="10"/>
      <c r="P211" s="10"/>
      <c r="Q211" s="10"/>
      <c r="R211" s="10"/>
      <c r="S211" s="10"/>
      <c r="T211" s="10"/>
      <c r="U211" s="10"/>
      <c r="V211" s="10"/>
    </row>
    <row r="212" ht="22.5" customHeight="1">
      <c r="A212" s="5">
        <v>1.99320896407E11</v>
      </c>
      <c r="B212" s="5" t="s">
        <v>290</v>
      </c>
      <c r="C212" s="5">
        <v>51994708237</v>
      </c>
      <c r="D212" s="5" t="s">
        <v>22</v>
      </c>
      <c r="E212" s="5">
        <v>8.7547393E7</v>
      </c>
      <c r="F212" s="5" t="s">
        <v>39</v>
      </c>
      <c r="G212" s="5" t="s">
        <v>32</v>
      </c>
      <c r="H212" s="5" t="s">
        <v>112</v>
      </c>
      <c r="I212" s="6" t="s">
        <v>148</v>
      </c>
      <c r="J212" s="7" t="s">
        <v>124</v>
      </c>
      <c r="K212" s="7" t="s">
        <v>284</v>
      </c>
      <c r="L212" s="8">
        <v>1.770165748881E12</v>
      </c>
      <c r="M212" s="9"/>
      <c r="N212" s="10"/>
      <c r="O212" s="10"/>
      <c r="P212" s="10"/>
      <c r="Q212" s="10"/>
      <c r="R212" s="10"/>
      <c r="S212" s="10"/>
      <c r="T212" s="10"/>
      <c r="U212" s="10"/>
      <c r="V212" s="10"/>
    </row>
    <row r="213" ht="22.5" customHeight="1">
      <c r="A213" s="5">
        <v>1.9931978637E11</v>
      </c>
      <c r="B213" s="5" t="s">
        <v>291</v>
      </c>
      <c r="C213" s="5">
        <v>5583991243924</v>
      </c>
      <c r="D213" s="5" t="s">
        <v>13</v>
      </c>
      <c r="E213" s="5">
        <v>8.7547393E7</v>
      </c>
      <c r="F213" s="5" t="s">
        <v>31</v>
      </c>
      <c r="G213" s="5" t="s">
        <v>15</v>
      </c>
      <c r="H213" s="5" t="s">
        <v>24</v>
      </c>
      <c r="I213" s="6" t="s">
        <v>17</v>
      </c>
      <c r="J213" s="7" t="s">
        <v>34</v>
      </c>
      <c r="K213" s="7"/>
      <c r="L213" s="8">
        <v>1.770166127179E12</v>
      </c>
      <c r="M213" s="9"/>
      <c r="N213" s="10"/>
      <c r="O213" s="10"/>
      <c r="P213" s="10"/>
      <c r="Q213" s="10"/>
      <c r="R213" s="10"/>
      <c r="S213" s="10"/>
      <c r="T213" s="10"/>
      <c r="U213" s="10"/>
      <c r="V213" s="10"/>
    </row>
    <row r="214" ht="22.5" customHeight="1">
      <c r="A214" s="5">
        <v>1.98982884535E11</v>
      </c>
      <c r="B214" s="5" t="s">
        <v>218</v>
      </c>
      <c r="C214" s="5">
        <v>527737345889</v>
      </c>
      <c r="D214" s="5" t="s">
        <v>13</v>
      </c>
      <c r="E214" s="5">
        <v>8.0566583E7</v>
      </c>
      <c r="F214" s="5" t="s">
        <v>42</v>
      </c>
      <c r="G214" s="5" t="s">
        <v>32</v>
      </c>
      <c r="H214" s="5" t="s">
        <v>24</v>
      </c>
      <c r="I214" s="6" t="s">
        <v>17</v>
      </c>
      <c r="J214" s="7" t="s">
        <v>34</v>
      </c>
      <c r="K214" s="7"/>
      <c r="L214" s="8">
        <v>1.770166729289E12</v>
      </c>
      <c r="M214" s="9"/>
      <c r="N214" s="10"/>
      <c r="O214" s="10"/>
      <c r="P214" s="10"/>
      <c r="Q214" s="10"/>
      <c r="R214" s="10"/>
      <c r="S214" s="10"/>
      <c r="T214" s="10"/>
      <c r="U214" s="10"/>
      <c r="V214" s="10"/>
    </row>
    <row r="215" ht="22.5" customHeight="1">
      <c r="A215" s="5">
        <v>1.99321785107E11</v>
      </c>
      <c r="B215" s="5" t="s">
        <v>292</v>
      </c>
      <c r="C215" s="5">
        <v>5575981604770</v>
      </c>
      <c r="D215" s="5" t="s">
        <v>22</v>
      </c>
      <c r="E215" s="5">
        <v>7.9360573E7</v>
      </c>
      <c r="F215" s="5" t="s">
        <v>28</v>
      </c>
      <c r="G215" s="5" t="s">
        <v>44</v>
      </c>
      <c r="H215" s="5" t="s">
        <v>100</v>
      </c>
      <c r="I215" s="6" t="s">
        <v>49</v>
      </c>
      <c r="J215" s="7" t="s">
        <v>34</v>
      </c>
      <c r="K215" s="7"/>
      <c r="L215" s="8">
        <v>1.770166963281E12</v>
      </c>
      <c r="M215" s="9"/>
      <c r="N215" s="10"/>
      <c r="O215" s="10"/>
      <c r="P215" s="10"/>
      <c r="Q215" s="10"/>
      <c r="R215" s="10"/>
      <c r="S215" s="10"/>
      <c r="T215" s="10"/>
      <c r="U215" s="10"/>
      <c r="V215" s="10"/>
    </row>
    <row r="216" ht="22.5" customHeight="1">
      <c r="A216" s="5">
        <v>1.99285703203E11</v>
      </c>
      <c r="B216" s="5" t="s">
        <v>293</v>
      </c>
      <c r="C216" s="5">
        <v>51956268626</v>
      </c>
      <c r="D216" s="5" t="s">
        <v>13</v>
      </c>
      <c r="E216" s="5">
        <v>8.0566583E7</v>
      </c>
      <c r="F216" s="5" t="s">
        <v>23</v>
      </c>
      <c r="G216" s="5" t="s">
        <v>32</v>
      </c>
      <c r="H216" s="5" t="s">
        <v>24</v>
      </c>
      <c r="I216" s="6" t="s">
        <v>17</v>
      </c>
      <c r="J216" s="7" t="s">
        <v>18</v>
      </c>
      <c r="K216" s="7" t="s">
        <v>19</v>
      </c>
      <c r="L216" s="8">
        <v>1.77016710745E12</v>
      </c>
      <c r="M216" s="9"/>
      <c r="N216" s="10"/>
      <c r="O216" s="10"/>
      <c r="P216" s="10"/>
      <c r="Q216" s="10"/>
      <c r="R216" s="10"/>
      <c r="S216" s="10"/>
      <c r="T216" s="10"/>
      <c r="U216" s="10"/>
      <c r="V216" s="10"/>
    </row>
    <row r="217" ht="22.5" customHeight="1">
      <c r="A217" s="5">
        <v>1.99288980599E11</v>
      </c>
      <c r="B217" s="5" t="s">
        <v>294</v>
      </c>
      <c r="C217" s="5">
        <v>5533988805229</v>
      </c>
      <c r="D217" s="5" t="s">
        <v>22</v>
      </c>
      <c r="E217" s="5">
        <v>7.9360573E7</v>
      </c>
      <c r="F217" s="5" t="s">
        <v>23</v>
      </c>
      <c r="G217" s="5" t="s">
        <v>32</v>
      </c>
      <c r="H217" s="5" t="s">
        <v>33</v>
      </c>
      <c r="I217" s="6" t="s">
        <v>17</v>
      </c>
      <c r="J217" s="7" t="s">
        <v>34</v>
      </c>
      <c r="K217" s="7"/>
      <c r="L217" s="8">
        <v>1.770167727809E12</v>
      </c>
      <c r="M217" s="9"/>
      <c r="N217" s="10"/>
      <c r="O217" s="10"/>
      <c r="P217" s="10"/>
      <c r="Q217" s="10"/>
      <c r="R217" s="10"/>
      <c r="S217" s="10"/>
      <c r="T217" s="10"/>
      <c r="U217" s="10"/>
      <c r="V217" s="10"/>
    </row>
    <row r="218" ht="22.5" customHeight="1">
      <c r="A218" s="5">
        <v>1.99328060565E11</v>
      </c>
      <c r="B218" s="5" t="s">
        <v>295</v>
      </c>
      <c r="C218" s="5">
        <v>51940554675</v>
      </c>
      <c r="D218" s="5" t="s">
        <v>13</v>
      </c>
      <c r="E218" s="5">
        <v>8.7547393E7</v>
      </c>
      <c r="F218" s="5" t="s">
        <v>39</v>
      </c>
      <c r="G218" s="5" t="s">
        <v>32</v>
      </c>
      <c r="H218" s="5" t="s">
        <v>16</v>
      </c>
      <c r="I218" s="6" t="s">
        <v>17</v>
      </c>
      <c r="J218" s="7" t="s">
        <v>25</v>
      </c>
      <c r="K218" s="7" t="s">
        <v>26</v>
      </c>
      <c r="L218" s="8">
        <v>1.770170204484E12</v>
      </c>
      <c r="M218" s="9"/>
      <c r="N218" s="10"/>
      <c r="O218" s="10"/>
      <c r="P218" s="10"/>
      <c r="Q218" s="10"/>
      <c r="R218" s="10"/>
      <c r="S218" s="10"/>
      <c r="T218" s="10"/>
      <c r="U218" s="10"/>
      <c r="V218" s="10"/>
    </row>
    <row r="219" ht="22.5" customHeight="1">
      <c r="A219" s="5">
        <v>1.99326460568E11</v>
      </c>
      <c r="B219" s="5" t="s">
        <v>296</v>
      </c>
      <c r="C219" s="5">
        <v>51981150838</v>
      </c>
      <c r="D219" s="5" t="s">
        <v>13</v>
      </c>
      <c r="E219" s="5">
        <v>8.7547393E7</v>
      </c>
      <c r="F219" s="5" t="s">
        <v>42</v>
      </c>
      <c r="G219" s="5" t="s">
        <v>15</v>
      </c>
      <c r="H219" s="5" t="s">
        <v>66</v>
      </c>
      <c r="I219" s="6" t="s">
        <v>17</v>
      </c>
      <c r="J219" s="7" t="s">
        <v>18</v>
      </c>
      <c r="K219" s="7" t="s">
        <v>19</v>
      </c>
      <c r="L219" s="8">
        <v>1.770171185378E12</v>
      </c>
      <c r="M219" s="9"/>
      <c r="N219" s="10"/>
      <c r="O219" s="10"/>
      <c r="P219" s="10"/>
      <c r="Q219" s="10"/>
      <c r="R219" s="10"/>
      <c r="S219" s="10"/>
      <c r="T219" s="10"/>
      <c r="U219" s="10"/>
      <c r="V219" s="10"/>
    </row>
    <row r="220" ht="22.5" customHeight="1">
      <c r="A220" s="5">
        <v>1.99325846965E11</v>
      </c>
      <c r="B220" s="5" t="s">
        <v>297</v>
      </c>
      <c r="C220" s="5">
        <v>5516981819083</v>
      </c>
      <c r="D220" s="5" t="s">
        <v>13</v>
      </c>
      <c r="E220" s="5">
        <v>7.9360573E7</v>
      </c>
      <c r="F220" s="5" t="s">
        <v>93</v>
      </c>
      <c r="G220" s="5" t="s">
        <v>15</v>
      </c>
      <c r="H220" s="5" t="s">
        <v>51</v>
      </c>
      <c r="I220" s="6" t="s">
        <v>17</v>
      </c>
      <c r="J220" s="7" t="s">
        <v>34</v>
      </c>
      <c r="K220" s="7"/>
      <c r="L220" s="8">
        <v>1.770172048052E12</v>
      </c>
      <c r="M220" s="9"/>
      <c r="N220" s="10"/>
      <c r="O220" s="10"/>
      <c r="P220" s="10"/>
      <c r="Q220" s="10"/>
      <c r="R220" s="10"/>
      <c r="S220" s="10"/>
      <c r="T220" s="10"/>
      <c r="U220" s="10"/>
      <c r="V220" s="10"/>
    </row>
    <row r="221" ht="22.5" customHeight="1">
      <c r="A221" s="5">
        <v>1.99293704865E11</v>
      </c>
      <c r="B221" s="5" t="s">
        <v>298</v>
      </c>
      <c r="C221" s="5">
        <v>522212704216</v>
      </c>
      <c r="D221" s="5" t="s">
        <v>13</v>
      </c>
      <c r="E221" s="5">
        <v>8.7547393E7</v>
      </c>
      <c r="F221" s="5"/>
      <c r="G221" s="5" t="s">
        <v>15</v>
      </c>
      <c r="H221" s="5" t="s">
        <v>51</v>
      </c>
      <c r="I221" s="6" t="s">
        <v>63</v>
      </c>
      <c r="J221" s="7" t="s">
        <v>18</v>
      </c>
      <c r="K221" s="7" t="s">
        <v>61</v>
      </c>
      <c r="L221" s="8">
        <v>1.770174913014E12</v>
      </c>
      <c r="M221" s="9"/>
      <c r="N221" s="10"/>
      <c r="O221" s="10"/>
      <c r="P221" s="10"/>
      <c r="Q221" s="10"/>
      <c r="R221" s="10"/>
      <c r="S221" s="10"/>
      <c r="T221" s="10"/>
      <c r="U221" s="10"/>
      <c r="V221" s="10"/>
    </row>
    <row r="222" ht="22.5" customHeight="1">
      <c r="A222" s="5">
        <v>1.97799820441E11</v>
      </c>
      <c r="B222" s="5" t="s">
        <v>299</v>
      </c>
      <c r="C222" s="5">
        <v>51941104328</v>
      </c>
      <c r="D222" s="5" t="s">
        <v>103</v>
      </c>
      <c r="E222" s="5"/>
      <c r="F222" s="5" t="s">
        <v>28</v>
      </c>
      <c r="G222" s="5" t="s">
        <v>79</v>
      </c>
      <c r="H222" s="5" t="s">
        <v>188</v>
      </c>
      <c r="I222" s="6" t="s">
        <v>17</v>
      </c>
      <c r="J222" s="7" t="s">
        <v>18</v>
      </c>
      <c r="K222" s="7" t="s">
        <v>19</v>
      </c>
      <c r="L222" s="8">
        <v>1.770175143193E12</v>
      </c>
      <c r="M222" s="9"/>
      <c r="N222" s="10"/>
      <c r="O222" s="10"/>
      <c r="P222" s="10"/>
      <c r="Q222" s="10"/>
      <c r="R222" s="10"/>
      <c r="S222" s="10"/>
      <c r="T222" s="10"/>
      <c r="U222" s="10"/>
      <c r="V222" s="10"/>
    </row>
    <row r="223" ht="22.5" customHeight="1">
      <c r="A223" s="5">
        <v>1.88737898417E11</v>
      </c>
      <c r="B223" s="5" t="s">
        <v>300</v>
      </c>
      <c r="C223" s="5">
        <v>51948704928</v>
      </c>
      <c r="D223" s="5" t="s">
        <v>22</v>
      </c>
      <c r="E223" s="5">
        <v>8.0566583E7</v>
      </c>
      <c r="F223" s="5" t="s">
        <v>23</v>
      </c>
      <c r="G223" s="5" t="s">
        <v>44</v>
      </c>
      <c r="H223" s="5" t="s">
        <v>16</v>
      </c>
      <c r="I223" s="6"/>
      <c r="J223" s="7" t="s">
        <v>18</v>
      </c>
      <c r="K223" s="7" t="s">
        <v>19</v>
      </c>
      <c r="L223" s="8">
        <v>1.770176375666E12</v>
      </c>
      <c r="M223" s="9"/>
      <c r="N223" s="10"/>
      <c r="O223" s="10"/>
      <c r="P223" s="10"/>
      <c r="Q223" s="10"/>
      <c r="R223" s="10"/>
      <c r="S223" s="10"/>
      <c r="T223" s="10"/>
      <c r="U223" s="10"/>
      <c r="V223" s="10"/>
    </row>
    <row r="224" ht="22.5" customHeight="1">
      <c r="A224" s="5">
        <v>1.99294573677E11</v>
      </c>
      <c r="B224" s="5" t="s">
        <v>301</v>
      </c>
      <c r="C224" s="5">
        <v>51924237895</v>
      </c>
      <c r="D224" s="5" t="s">
        <v>13</v>
      </c>
      <c r="E224" s="5">
        <v>8.0566583E7</v>
      </c>
      <c r="F224" s="5" t="s">
        <v>28</v>
      </c>
      <c r="G224" s="5" t="s">
        <v>15</v>
      </c>
      <c r="H224" s="5" t="s">
        <v>51</v>
      </c>
      <c r="I224" s="6" t="s">
        <v>63</v>
      </c>
      <c r="J224" s="7" t="s">
        <v>18</v>
      </c>
      <c r="K224" s="7" t="s">
        <v>19</v>
      </c>
      <c r="L224" s="8">
        <v>1.770179042546E12</v>
      </c>
      <c r="M224" s="9"/>
      <c r="N224" s="10"/>
      <c r="O224" s="10"/>
      <c r="P224" s="10"/>
      <c r="Q224" s="10"/>
      <c r="R224" s="10"/>
      <c r="S224" s="10"/>
      <c r="T224" s="10"/>
      <c r="U224" s="10"/>
      <c r="V224" s="10"/>
    </row>
    <row r="225" ht="22.5" customHeight="1">
      <c r="A225" s="5">
        <v>1.99297888868E11</v>
      </c>
      <c r="B225" s="5" t="s">
        <v>302</v>
      </c>
      <c r="C225" s="5">
        <v>5524981042135</v>
      </c>
      <c r="D225" s="5" t="s">
        <v>103</v>
      </c>
      <c r="E225" s="5">
        <v>7.9360573E7</v>
      </c>
      <c r="F225" s="5" t="s">
        <v>23</v>
      </c>
      <c r="G225" s="5" t="s">
        <v>79</v>
      </c>
      <c r="H225" s="5" t="s">
        <v>114</v>
      </c>
      <c r="I225" s="6" t="s">
        <v>17</v>
      </c>
      <c r="J225" s="7" t="s">
        <v>34</v>
      </c>
      <c r="K225" s="7"/>
      <c r="L225" s="8">
        <v>1.770179669149E12</v>
      </c>
      <c r="M225" s="9"/>
      <c r="N225" s="10"/>
      <c r="O225" s="10"/>
      <c r="P225" s="10"/>
      <c r="Q225" s="10"/>
      <c r="R225" s="10"/>
      <c r="S225" s="10"/>
      <c r="T225" s="10"/>
      <c r="U225" s="10"/>
      <c r="V225" s="10"/>
    </row>
    <row r="226" ht="22.5" customHeight="1">
      <c r="A226" s="5">
        <v>1.99298556043E11</v>
      </c>
      <c r="B226" s="5" t="s">
        <v>303</v>
      </c>
      <c r="C226" s="5">
        <v>51986181590</v>
      </c>
      <c r="D226" s="5" t="s">
        <v>22</v>
      </c>
      <c r="E226" s="5">
        <v>8.0566583E7</v>
      </c>
      <c r="F226" s="5" t="s">
        <v>14</v>
      </c>
      <c r="G226" s="5" t="s">
        <v>44</v>
      </c>
      <c r="H226" s="5" t="s">
        <v>24</v>
      </c>
      <c r="I226" s="6" t="s">
        <v>17</v>
      </c>
      <c r="J226" s="7" t="s">
        <v>18</v>
      </c>
      <c r="K226" s="7" t="s">
        <v>19</v>
      </c>
      <c r="L226" s="8">
        <v>1.770180741863E12</v>
      </c>
      <c r="M226" s="9"/>
      <c r="N226" s="10"/>
      <c r="O226" s="10"/>
      <c r="P226" s="10"/>
      <c r="Q226" s="10"/>
      <c r="R226" s="10"/>
      <c r="S226" s="10"/>
      <c r="T226" s="10"/>
      <c r="U226" s="10"/>
      <c r="V226" s="10"/>
    </row>
    <row r="227" ht="22.5" customHeight="1">
      <c r="A227" s="5">
        <v>1.99337041322E11</v>
      </c>
      <c r="B227" s="5" t="s">
        <v>304</v>
      </c>
      <c r="C227" s="5">
        <v>51925057775</v>
      </c>
      <c r="D227" s="5" t="s">
        <v>13</v>
      </c>
      <c r="E227" s="5">
        <v>8.0566583E7</v>
      </c>
      <c r="F227" s="5" t="s">
        <v>39</v>
      </c>
      <c r="G227" s="5" t="s">
        <v>15</v>
      </c>
      <c r="H227" s="5" t="s">
        <v>66</v>
      </c>
      <c r="I227" s="6" t="s">
        <v>17</v>
      </c>
      <c r="J227" s="7" t="s">
        <v>18</v>
      </c>
      <c r="K227" s="7" t="s">
        <v>19</v>
      </c>
      <c r="L227" s="8">
        <v>1.770188168523E12</v>
      </c>
      <c r="M227" s="9"/>
      <c r="N227" s="10"/>
      <c r="O227" s="10"/>
      <c r="P227" s="10"/>
      <c r="Q227" s="10"/>
      <c r="R227" s="10"/>
      <c r="S227" s="10"/>
      <c r="T227" s="10"/>
      <c r="U227" s="10"/>
      <c r="V227" s="10"/>
    </row>
    <row r="228" ht="22.5" customHeight="1">
      <c r="A228" s="5">
        <v>1.99368069946E11</v>
      </c>
      <c r="B228" s="5" t="s">
        <v>305</v>
      </c>
      <c r="C228" s="5">
        <v>573208947259</v>
      </c>
      <c r="D228" s="5" t="s">
        <v>13</v>
      </c>
      <c r="E228" s="5">
        <v>8.0566583E7</v>
      </c>
      <c r="F228" s="5" t="s">
        <v>39</v>
      </c>
      <c r="G228" s="5" t="s">
        <v>15</v>
      </c>
      <c r="H228" s="5" t="s">
        <v>16</v>
      </c>
      <c r="I228" s="6" t="s">
        <v>17</v>
      </c>
      <c r="J228" s="7" t="s">
        <v>124</v>
      </c>
      <c r="K228" s="7" t="s">
        <v>284</v>
      </c>
      <c r="L228" s="8">
        <v>1.770200580244E12</v>
      </c>
      <c r="M228" s="9"/>
      <c r="N228" s="10"/>
      <c r="O228" s="10"/>
      <c r="P228" s="10"/>
      <c r="Q228" s="10"/>
      <c r="R228" s="10"/>
      <c r="S228" s="10"/>
      <c r="T228" s="10"/>
      <c r="U228" s="10"/>
      <c r="V228" s="10"/>
    </row>
    <row r="229" ht="22.5" customHeight="1">
      <c r="A229" s="5">
        <v>1.99345485113E11</v>
      </c>
      <c r="B229" s="5" t="s">
        <v>306</v>
      </c>
      <c r="C229" s="5">
        <v>51970851842</v>
      </c>
      <c r="D229" s="5" t="s">
        <v>22</v>
      </c>
      <c r="E229" s="5">
        <v>8.0566583E7</v>
      </c>
      <c r="F229" s="5" t="s">
        <v>39</v>
      </c>
      <c r="G229" s="5" t="s">
        <v>44</v>
      </c>
      <c r="H229" s="5" t="s">
        <v>112</v>
      </c>
      <c r="I229" s="6"/>
      <c r="J229" s="7" t="s">
        <v>34</v>
      </c>
      <c r="K229" s="7"/>
      <c r="L229" s="8">
        <v>1.770201105412E12</v>
      </c>
      <c r="M229" s="9"/>
      <c r="N229" s="10"/>
      <c r="O229" s="10"/>
      <c r="P229" s="10"/>
      <c r="Q229" s="10"/>
      <c r="R229" s="10"/>
      <c r="S229" s="10"/>
      <c r="T229" s="10"/>
      <c r="U229" s="10"/>
      <c r="V229" s="10"/>
    </row>
    <row r="230" ht="22.5" customHeight="1">
      <c r="A230" s="5">
        <v>1.99396532359E11</v>
      </c>
      <c r="B230" s="5" t="s">
        <v>307</v>
      </c>
      <c r="C230" s="5">
        <v>51989675632</v>
      </c>
      <c r="D230" s="5" t="s">
        <v>38</v>
      </c>
      <c r="E230" s="5">
        <v>8.7547393E7</v>
      </c>
      <c r="F230" s="5" t="s">
        <v>31</v>
      </c>
      <c r="G230" s="5" t="s">
        <v>44</v>
      </c>
      <c r="H230" s="5" t="s">
        <v>114</v>
      </c>
      <c r="I230" s="6" t="s">
        <v>36</v>
      </c>
      <c r="J230" s="7" t="s">
        <v>18</v>
      </c>
      <c r="K230" s="7" t="s">
        <v>19</v>
      </c>
      <c r="L230" s="8">
        <v>1.770204675918E12</v>
      </c>
      <c r="M230" s="9"/>
      <c r="N230" s="10"/>
      <c r="O230" s="10"/>
      <c r="P230" s="10"/>
      <c r="Q230" s="10"/>
      <c r="R230" s="10"/>
      <c r="S230" s="10"/>
      <c r="T230" s="10"/>
      <c r="U230" s="10"/>
      <c r="V230" s="10"/>
    </row>
    <row r="231" ht="22.5" customHeight="1">
      <c r="A231" s="5">
        <v>1.99407834378E11</v>
      </c>
      <c r="B231" s="5" t="s">
        <v>308</v>
      </c>
      <c r="C231" s="5">
        <v>51975445651</v>
      </c>
      <c r="D231" s="5" t="s">
        <v>103</v>
      </c>
      <c r="E231" s="5">
        <v>8.0566583E7</v>
      </c>
      <c r="F231" s="5" t="s">
        <v>28</v>
      </c>
      <c r="G231" s="5" t="s">
        <v>104</v>
      </c>
      <c r="H231" s="5" t="s">
        <v>66</v>
      </c>
      <c r="I231" s="6" t="s">
        <v>17</v>
      </c>
      <c r="J231" s="7" t="s">
        <v>58</v>
      </c>
      <c r="K231" s="11" t="s">
        <v>59</v>
      </c>
      <c r="L231" s="8">
        <v>1.770205551014E12</v>
      </c>
      <c r="M231" s="9"/>
      <c r="N231" s="10"/>
      <c r="O231" s="10"/>
      <c r="P231" s="10"/>
      <c r="Q231" s="10"/>
      <c r="R231" s="10"/>
      <c r="S231" s="10"/>
      <c r="T231" s="10"/>
      <c r="U231" s="10"/>
      <c r="V231" s="10"/>
    </row>
    <row r="232" ht="22.5" customHeight="1">
      <c r="A232" s="5">
        <v>1.60919350424E11</v>
      </c>
      <c r="B232" s="5" t="s">
        <v>309</v>
      </c>
      <c r="C232" s="5">
        <v>51991845454</v>
      </c>
      <c r="D232" s="5" t="s">
        <v>13</v>
      </c>
      <c r="E232" s="5">
        <v>8.7547393E7</v>
      </c>
      <c r="F232" s="5" t="s">
        <v>23</v>
      </c>
      <c r="G232" s="5" t="s">
        <v>15</v>
      </c>
      <c r="H232" s="5" t="s">
        <v>66</v>
      </c>
      <c r="I232" s="6" t="s">
        <v>17</v>
      </c>
      <c r="J232" s="7" t="s">
        <v>18</v>
      </c>
      <c r="K232" s="7" t="s">
        <v>19</v>
      </c>
      <c r="L232" s="8">
        <v>1.770207222581E12</v>
      </c>
      <c r="M232" s="9"/>
      <c r="N232" s="10"/>
      <c r="O232" s="10"/>
      <c r="P232" s="10"/>
      <c r="Q232" s="10"/>
      <c r="R232" s="10"/>
      <c r="S232" s="10"/>
      <c r="T232" s="10"/>
      <c r="U232" s="10"/>
      <c r="V232" s="10"/>
    </row>
    <row r="233" ht="22.5" customHeight="1">
      <c r="A233" s="5">
        <v>1.99408944563E11</v>
      </c>
      <c r="B233" s="5" t="s">
        <v>310</v>
      </c>
      <c r="C233" s="5">
        <v>595974111101</v>
      </c>
      <c r="D233" s="5" t="s">
        <v>103</v>
      </c>
      <c r="E233" s="5">
        <v>8.0566583E7</v>
      </c>
      <c r="F233" s="5" t="s">
        <v>28</v>
      </c>
      <c r="G233" s="5" t="s">
        <v>104</v>
      </c>
      <c r="H233" s="5" t="s">
        <v>16</v>
      </c>
      <c r="I233" s="6" t="s">
        <v>17</v>
      </c>
      <c r="J233" s="7" t="s">
        <v>124</v>
      </c>
      <c r="K233" s="7" t="s">
        <v>125</v>
      </c>
      <c r="L233" s="8">
        <v>1.770208563681E12</v>
      </c>
      <c r="M233" s="9"/>
      <c r="N233" s="10"/>
      <c r="O233" s="10"/>
      <c r="P233" s="10"/>
      <c r="Q233" s="10"/>
      <c r="R233" s="10"/>
      <c r="S233" s="10"/>
      <c r="T233" s="10"/>
      <c r="U233" s="10"/>
      <c r="V233" s="10"/>
    </row>
    <row r="234" ht="22.5" customHeight="1">
      <c r="A234" s="5">
        <v>1.99407562292E11</v>
      </c>
      <c r="B234" s="5" t="s">
        <v>311</v>
      </c>
      <c r="C234" s="5">
        <v>51933755187</v>
      </c>
      <c r="D234" s="5" t="s">
        <v>13</v>
      </c>
      <c r="E234" s="5">
        <v>8.7547393E7</v>
      </c>
      <c r="F234" s="5" t="s">
        <v>42</v>
      </c>
      <c r="G234" s="5" t="s">
        <v>15</v>
      </c>
      <c r="H234" s="5" t="s">
        <v>51</v>
      </c>
      <c r="I234" s="6" t="s">
        <v>17</v>
      </c>
      <c r="J234" s="7" t="s">
        <v>18</v>
      </c>
      <c r="K234" s="7" t="s">
        <v>19</v>
      </c>
      <c r="L234" s="8">
        <v>1.770209334235E12</v>
      </c>
      <c r="M234" s="9"/>
      <c r="N234" s="10"/>
      <c r="O234" s="10"/>
      <c r="P234" s="10"/>
      <c r="Q234" s="10"/>
      <c r="R234" s="10"/>
      <c r="S234" s="10"/>
      <c r="T234" s="10"/>
      <c r="U234" s="10"/>
      <c r="V234" s="10"/>
    </row>
    <row r="235" ht="22.5" customHeight="1">
      <c r="A235" s="5">
        <v>1.9941960734E11</v>
      </c>
      <c r="B235" s="5" t="s">
        <v>312</v>
      </c>
      <c r="C235" s="5">
        <v>527445717930</v>
      </c>
      <c r="D235" s="5" t="s">
        <v>22</v>
      </c>
      <c r="E235" s="5">
        <v>8.0566583E7</v>
      </c>
      <c r="F235" s="5" t="s">
        <v>28</v>
      </c>
      <c r="G235" s="5" t="s">
        <v>32</v>
      </c>
      <c r="H235" s="5" t="s">
        <v>114</v>
      </c>
      <c r="I235" s="6" t="s">
        <v>17</v>
      </c>
      <c r="J235" s="7" t="s">
        <v>18</v>
      </c>
      <c r="K235" s="7" t="s">
        <v>61</v>
      </c>
      <c r="L235" s="8">
        <v>1.770214175861E12</v>
      </c>
      <c r="M235" s="9"/>
      <c r="N235" s="10"/>
      <c r="O235" s="10"/>
      <c r="P235" s="10"/>
      <c r="Q235" s="10"/>
      <c r="R235" s="10"/>
      <c r="S235" s="10"/>
      <c r="T235" s="10"/>
      <c r="U235" s="10"/>
      <c r="V235" s="10"/>
    </row>
    <row r="236" ht="22.5" customHeight="1">
      <c r="A236" s="5">
        <v>1.99432712039E11</v>
      </c>
      <c r="B236" s="5" t="s">
        <v>313</v>
      </c>
      <c r="C236" s="5">
        <v>51986564646</v>
      </c>
      <c r="D236" s="5" t="s">
        <v>13</v>
      </c>
      <c r="E236" s="5">
        <v>8.0566583E7</v>
      </c>
      <c r="F236" s="5" t="s">
        <v>93</v>
      </c>
      <c r="G236" s="5" t="s">
        <v>15</v>
      </c>
      <c r="H236" s="5" t="s">
        <v>114</v>
      </c>
      <c r="I236" s="6" t="s">
        <v>17</v>
      </c>
      <c r="J236" s="7" t="s">
        <v>34</v>
      </c>
      <c r="K236" s="7"/>
      <c r="L236" s="8">
        <v>1.770216557705E12</v>
      </c>
      <c r="M236" s="9"/>
      <c r="N236" s="10"/>
      <c r="O236" s="10"/>
      <c r="P236" s="10"/>
      <c r="Q236" s="10"/>
      <c r="R236" s="10"/>
      <c r="S236" s="10"/>
      <c r="T236" s="10"/>
      <c r="U236" s="10"/>
      <c r="V236" s="10"/>
    </row>
    <row r="237" ht="22.5" customHeight="1">
      <c r="A237" s="5">
        <v>1.99426653311E11</v>
      </c>
      <c r="B237" s="5" t="s">
        <v>314</v>
      </c>
      <c r="C237" s="5">
        <v>5562984824810</v>
      </c>
      <c r="D237" s="5" t="s">
        <v>13</v>
      </c>
      <c r="E237" s="5">
        <v>7.9360573E7</v>
      </c>
      <c r="F237" s="5" t="s">
        <v>28</v>
      </c>
      <c r="G237" s="5" t="s">
        <v>15</v>
      </c>
      <c r="H237" s="5" t="s">
        <v>86</v>
      </c>
      <c r="I237" s="6" t="s">
        <v>36</v>
      </c>
      <c r="J237" s="7" t="s">
        <v>18</v>
      </c>
      <c r="K237" s="7" t="s">
        <v>45</v>
      </c>
      <c r="L237" s="8">
        <v>1.77021679537E12</v>
      </c>
      <c r="M237" s="9"/>
      <c r="N237" s="10"/>
      <c r="O237" s="10"/>
      <c r="P237" s="10"/>
      <c r="Q237" s="10"/>
      <c r="R237" s="10"/>
      <c r="S237" s="10"/>
      <c r="T237" s="10"/>
      <c r="U237" s="10"/>
      <c r="V237" s="10"/>
    </row>
    <row r="238" ht="22.5" customHeight="1">
      <c r="A238" s="5">
        <v>1.71055376055E11</v>
      </c>
      <c r="B238" s="5" t="s">
        <v>315</v>
      </c>
      <c r="C238" s="5">
        <v>5581999832887</v>
      </c>
      <c r="D238" s="5" t="s">
        <v>103</v>
      </c>
      <c r="E238" s="5">
        <v>7.9360573E7</v>
      </c>
      <c r="F238" s="5" t="s">
        <v>39</v>
      </c>
      <c r="G238" s="5" t="s">
        <v>79</v>
      </c>
      <c r="H238" s="5" t="s">
        <v>33</v>
      </c>
      <c r="I238" s="6" t="s">
        <v>63</v>
      </c>
      <c r="J238" s="7" t="s">
        <v>34</v>
      </c>
      <c r="K238" s="7"/>
      <c r="L238" s="8">
        <v>1.770217798853E12</v>
      </c>
      <c r="M238" s="9"/>
      <c r="N238" s="10"/>
      <c r="O238" s="10"/>
      <c r="P238" s="10"/>
      <c r="Q238" s="10"/>
      <c r="R238" s="10"/>
      <c r="S238" s="10"/>
      <c r="T238" s="10"/>
      <c r="U238" s="10"/>
      <c r="V238" s="10"/>
    </row>
    <row r="239" ht="22.5" customHeight="1">
      <c r="A239" s="5">
        <v>1.99438229119E11</v>
      </c>
      <c r="B239" s="5" t="s">
        <v>316</v>
      </c>
      <c r="C239" s="5">
        <v>529181152494</v>
      </c>
      <c r="D239" s="5" t="s">
        <v>13</v>
      </c>
      <c r="E239" s="5">
        <v>8.0566583E7</v>
      </c>
      <c r="F239" s="5" t="s">
        <v>31</v>
      </c>
      <c r="G239" s="5" t="s">
        <v>32</v>
      </c>
      <c r="H239" s="5" t="s">
        <v>16</v>
      </c>
      <c r="I239" s="6" t="s">
        <v>17</v>
      </c>
      <c r="J239" s="7" t="s">
        <v>18</v>
      </c>
      <c r="K239" s="7" t="s">
        <v>61</v>
      </c>
      <c r="L239" s="8">
        <v>1.770220954789E12</v>
      </c>
      <c r="M239" s="9"/>
      <c r="N239" s="10"/>
      <c r="O239" s="10"/>
      <c r="P239" s="10"/>
      <c r="Q239" s="10"/>
      <c r="R239" s="10"/>
      <c r="S239" s="10"/>
      <c r="T239" s="10"/>
      <c r="U239" s="10"/>
      <c r="V239" s="10"/>
    </row>
    <row r="240" ht="22.5" customHeight="1">
      <c r="A240" s="5">
        <v>1.9944422404E11</v>
      </c>
      <c r="B240" s="5" t="s">
        <v>317</v>
      </c>
      <c r="C240" s="5">
        <v>56949629684</v>
      </c>
      <c r="D240" s="5" t="s">
        <v>13</v>
      </c>
      <c r="E240" s="5">
        <v>8.7547393E7</v>
      </c>
      <c r="F240" s="5" t="s">
        <v>14</v>
      </c>
      <c r="G240" s="5" t="s">
        <v>15</v>
      </c>
      <c r="H240" s="5" t="s">
        <v>29</v>
      </c>
      <c r="I240" s="6" t="s">
        <v>49</v>
      </c>
      <c r="J240" s="7" t="s">
        <v>34</v>
      </c>
      <c r="K240" s="7"/>
      <c r="L240" s="8">
        <v>1.770221623269E12</v>
      </c>
      <c r="M240" s="9"/>
      <c r="N240" s="10"/>
      <c r="O240" s="10"/>
      <c r="P240" s="10"/>
      <c r="Q240" s="10"/>
      <c r="R240" s="10"/>
      <c r="S240" s="10"/>
      <c r="T240" s="10"/>
      <c r="U240" s="10"/>
      <c r="V240" s="10"/>
    </row>
    <row r="241" ht="22.5" customHeight="1">
      <c r="A241" s="5">
        <v>1.54617839175E11</v>
      </c>
      <c r="B241" s="5" t="s">
        <v>318</v>
      </c>
      <c r="C241" s="5">
        <v>51997122044</v>
      </c>
      <c r="D241" s="5" t="s">
        <v>13</v>
      </c>
      <c r="E241" s="5">
        <v>8.5569856E7</v>
      </c>
      <c r="F241" s="5" t="s">
        <v>42</v>
      </c>
      <c r="G241" s="5" t="s">
        <v>15</v>
      </c>
      <c r="H241" s="5" t="s">
        <v>51</v>
      </c>
      <c r="I241" s="6" t="s">
        <v>17</v>
      </c>
      <c r="J241" s="7" t="s">
        <v>34</v>
      </c>
      <c r="K241" s="7"/>
      <c r="L241" s="8">
        <v>1.770222545106E12</v>
      </c>
      <c r="M241" s="9"/>
      <c r="N241" s="10"/>
      <c r="O241" s="10"/>
      <c r="P241" s="10"/>
      <c r="Q241" s="10"/>
      <c r="R241" s="10"/>
      <c r="S241" s="10"/>
      <c r="T241" s="10"/>
      <c r="U241" s="10"/>
      <c r="V241" s="10"/>
    </row>
    <row r="242" ht="22.5" customHeight="1">
      <c r="A242" s="5">
        <v>1.99446566228E11</v>
      </c>
      <c r="B242" s="5" t="s">
        <v>319</v>
      </c>
      <c r="C242" s="5">
        <v>51992284529</v>
      </c>
      <c r="D242" s="5" t="s">
        <v>22</v>
      </c>
      <c r="E242" s="5">
        <v>8.0566583E7</v>
      </c>
      <c r="F242" s="5" t="s">
        <v>28</v>
      </c>
      <c r="G242" s="5" t="s">
        <v>44</v>
      </c>
      <c r="H242" s="5" t="s">
        <v>80</v>
      </c>
      <c r="I242" s="6" t="s">
        <v>36</v>
      </c>
      <c r="J242" s="7" t="s">
        <v>34</v>
      </c>
      <c r="K242" s="7"/>
      <c r="L242" s="8">
        <v>1.770222706471E12</v>
      </c>
      <c r="M242" s="9"/>
      <c r="N242" s="10"/>
      <c r="O242" s="10"/>
      <c r="P242" s="10"/>
      <c r="Q242" s="10"/>
      <c r="R242" s="10"/>
      <c r="S242" s="10"/>
      <c r="T242" s="10"/>
      <c r="U242" s="10"/>
      <c r="V242" s="10"/>
    </row>
    <row r="243" ht="22.5" customHeight="1">
      <c r="A243" s="5">
        <v>1.99449428341E11</v>
      </c>
      <c r="B243" s="5" t="s">
        <v>320</v>
      </c>
      <c r="C243" s="5">
        <v>5541988520285</v>
      </c>
      <c r="D243" s="5" t="s">
        <v>13</v>
      </c>
      <c r="E243" s="5">
        <v>7.9360573E7</v>
      </c>
      <c r="F243" s="5" t="s">
        <v>14</v>
      </c>
      <c r="G243" s="5" t="s">
        <v>32</v>
      </c>
      <c r="H243" s="5" t="s">
        <v>16</v>
      </c>
      <c r="I243" s="6" t="s">
        <v>36</v>
      </c>
      <c r="J243" s="7" t="s">
        <v>34</v>
      </c>
      <c r="K243" s="7"/>
      <c r="L243" s="8">
        <v>1.770222805919E12</v>
      </c>
      <c r="M243" s="9"/>
      <c r="N243" s="10"/>
      <c r="O243" s="10"/>
      <c r="P243" s="10"/>
      <c r="Q243" s="10"/>
      <c r="R243" s="10"/>
      <c r="S243" s="10"/>
      <c r="T243" s="10"/>
      <c r="U243" s="10"/>
      <c r="V243" s="10"/>
    </row>
    <row r="244" ht="22.5" customHeight="1">
      <c r="A244" s="5">
        <v>1.99451905382E11</v>
      </c>
      <c r="B244" s="5" t="s">
        <v>321</v>
      </c>
      <c r="C244" s="5">
        <v>51923349929</v>
      </c>
      <c r="D244" s="5" t="s">
        <v>13</v>
      </c>
      <c r="E244" s="5">
        <v>8.7547393E7</v>
      </c>
      <c r="F244" s="5" t="s">
        <v>31</v>
      </c>
      <c r="G244" s="5" t="s">
        <v>15</v>
      </c>
      <c r="H244" s="5" t="s">
        <v>16</v>
      </c>
      <c r="I244" s="6" t="s">
        <v>17</v>
      </c>
      <c r="J244" s="7" t="s">
        <v>25</v>
      </c>
      <c r="K244" s="7" t="s">
        <v>26</v>
      </c>
      <c r="L244" s="8">
        <v>1.770224068109E12</v>
      </c>
      <c r="M244" s="9"/>
      <c r="N244" s="10"/>
      <c r="O244" s="10"/>
      <c r="P244" s="10"/>
      <c r="Q244" s="10"/>
      <c r="R244" s="10"/>
      <c r="S244" s="10"/>
      <c r="T244" s="10"/>
      <c r="U244" s="10"/>
      <c r="V244" s="10"/>
    </row>
    <row r="245" ht="22.5" customHeight="1">
      <c r="A245" s="5">
        <v>1.99446566228E11</v>
      </c>
      <c r="B245" s="5" t="s">
        <v>319</v>
      </c>
      <c r="C245" s="5">
        <v>51992284529</v>
      </c>
      <c r="D245" s="5" t="s">
        <v>22</v>
      </c>
      <c r="E245" s="5">
        <v>8.0566583E7</v>
      </c>
      <c r="F245" s="5" t="s">
        <v>28</v>
      </c>
      <c r="G245" s="5" t="s">
        <v>44</v>
      </c>
      <c r="H245" s="5" t="s">
        <v>80</v>
      </c>
      <c r="I245" s="6" t="s">
        <v>36</v>
      </c>
      <c r="J245" s="7" t="s">
        <v>34</v>
      </c>
      <c r="K245" s="7"/>
      <c r="L245" s="8">
        <v>1.770222435919E12</v>
      </c>
      <c r="M245" s="9"/>
      <c r="N245" s="10"/>
      <c r="O245" s="10"/>
      <c r="P245" s="10"/>
      <c r="Q245" s="10"/>
      <c r="R245" s="10"/>
      <c r="S245" s="10"/>
      <c r="T245" s="10"/>
      <c r="U245" s="10"/>
      <c r="V245" s="10"/>
    </row>
    <row r="246" ht="22.5" customHeight="1">
      <c r="A246" s="5">
        <v>1.99458948945E11</v>
      </c>
      <c r="B246" s="5" t="s">
        <v>322</v>
      </c>
      <c r="C246" s="5">
        <v>50364322836</v>
      </c>
      <c r="D246" s="5" t="s">
        <v>13</v>
      </c>
      <c r="E246" s="5">
        <v>8.7547393E7</v>
      </c>
      <c r="F246" s="5" t="s">
        <v>28</v>
      </c>
      <c r="G246" s="5" t="s">
        <v>15</v>
      </c>
      <c r="H246" s="5" t="s">
        <v>51</v>
      </c>
      <c r="I246" s="6" t="s">
        <v>49</v>
      </c>
      <c r="J246" s="7" t="s">
        <v>34</v>
      </c>
      <c r="K246" s="7"/>
      <c r="L246" s="8">
        <v>1.770224336204E12</v>
      </c>
      <c r="M246" s="9"/>
      <c r="N246" s="10"/>
      <c r="O246" s="10"/>
      <c r="P246" s="10"/>
      <c r="Q246" s="10"/>
      <c r="R246" s="10"/>
      <c r="S246" s="10"/>
      <c r="T246" s="10"/>
      <c r="U246" s="10"/>
      <c r="V246" s="10"/>
    </row>
    <row r="247" ht="22.5" customHeight="1">
      <c r="A247" s="5">
        <v>1.6141679879E11</v>
      </c>
      <c r="B247" s="5" t="s">
        <v>323</v>
      </c>
      <c r="C247" s="5">
        <v>51933803790</v>
      </c>
      <c r="D247" s="5" t="s">
        <v>22</v>
      </c>
      <c r="E247" s="5">
        <v>8.7547393E7</v>
      </c>
      <c r="F247" s="5" t="s">
        <v>28</v>
      </c>
      <c r="G247" s="5" t="s">
        <v>44</v>
      </c>
      <c r="H247" s="5" t="s">
        <v>24</v>
      </c>
      <c r="I247" s="6" t="s">
        <v>36</v>
      </c>
      <c r="J247" s="7" t="s">
        <v>18</v>
      </c>
      <c r="K247" s="7" t="s">
        <v>19</v>
      </c>
      <c r="L247" s="8">
        <v>1.770226497957E12</v>
      </c>
      <c r="M247" s="9"/>
      <c r="N247" s="10"/>
      <c r="O247" s="10"/>
      <c r="P247" s="10"/>
      <c r="Q247" s="10"/>
      <c r="R247" s="10"/>
      <c r="S247" s="10"/>
      <c r="T247" s="10"/>
      <c r="U247" s="10"/>
      <c r="V247" s="10"/>
    </row>
    <row r="248" ht="22.5" customHeight="1">
      <c r="A248" s="5">
        <v>1.82798085199E11</v>
      </c>
      <c r="B248" s="5" t="s">
        <v>324</v>
      </c>
      <c r="C248" s="5">
        <v>51970190845</v>
      </c>
      <c r="D248" s="5" t="s">
        <v>22</v>
      </c>
      <c r="E248" s="5">
        <v>8.5569856E7</v>
      </c>
      <c r="F248" s="5" t="s">
        <v>31</v>
      </c>
      <c r="G248" s="5" t="s">
        <v>104</v>
      </c>
      <c r="H248" s="5" t="s">
        <v>24</v>
      </c>
      <c r="I248" s="6" t="s">
        <v>36</v>
      </c>
      <c r="J248" s="7" t="s">
        <v>34</v>
      </c>
      <c r="K248" s="7"/>
      <c r="L248" s="8">
        <v>1.770228110021E12</v>
      </c>
      <c r="M248" s="9"/>
      <c r="N248" s="10"/>
      <c r="O248" s="10"/>
      <c r="P248" s="10"/>
      <c r="Q248" s="10"/>
      <c r="R248" s="10"/>
      <c r="S248" s="10"/>
      <c r="T248" s="10"/>
      <c r="U248" s="10"/>
      <c r="V248" s="10"/>
    </row>
    <row r="249" ht="22.5" customHeight="1">
      <c r="A249" s="5">
        <v>1.99467551041E11</v>
      </c>
      <c r="B249" s="5" t="s">
        <v>325</v>
      </c>
      <c r="C249" s="5">
        <v>5511984026622</v>
      </c>
      <c r="D249" s="5" t="s">
        <v>22</v>
      </c>
      <c r="E249" s="5">
        <v>7.9360573E7</v>
      </c>
      <c r="F249" s="5" t="s">
        <v>23</v>
      </c>
      <c r="G249" s="5" t="s">
        <v>44</v>
      </c>
      <c r="H249" s="5" t="s">
        <v>326</v>
      </c>
      <c r="I249" s="6" t="s">
        <v>49</v>
      </c>
      <c r="J249" s="7" t="s">
        <v>58</v>
      </c>
      <c r="K249" s="11" t="s">
        <v>59</v>
      </c>
      <c r="L249" s="8">
        <v>1.770228581035E12</v>
      </c>
      <c r="M249" s="9"/>
      <c r="N249" s="10"/>
      <c r="O249" s="10"/>
      <c r="P249" s="10"/>
      <c r="Q249" s="10"/>
      <c r="R249" s="10"/>
      <c r="S249" s="10"/>
      <c r="T249" s="10"/>
      <c r="U249" s="10"/>
      <c r="V249" s="10"/>
    </row>
    <row r="250" ht="22.5" customHeight="1">
      <c r="A250" s="5">
        <v>1.99475302002E11</v>
      </c>
      <c r="B250" s="5" t="s">
        <v>327</v>
      </c>
      <c r="C250" s="5">
        <v>5598987348970</v>
      </c>
      <c r="D250" s="5" t="s">
        <v>13</v>
      </c>
      <c r="E250" s="5">
        <v>7.9360573E7</v>
      </c>
      <c r="F250" s="5" t="s">
        <v>31</v>
      </c>
      <c r="G250" s="5" t="s">
        <v>32</v>
      </c>
      <c r="H250" s="5" t="s">
        <v>29</v>
      </c>
      <c r="I250" s="6" t="s">
        <v>17</v>
      </c>
      <c r="J250" s="7" t="s">
        <v>34</v>
      </c>
      <c r="K250" s="7"/>
      <c r="L250" s="8">
        <v>1.770229551598E12</v>
      </c>
      <c r="M250" s="9"/>
      <c r="N250" s="10"/>
      <c r="O250" s="10"/>
      <c r="P250" s="10"/>
      <c r="Q250" s="10"/>
      <c r="R250" s="10"/>
      <c r="S250" s="10"/>
      <c r="T250" s="10"/>
      <c r="U250" s="10"/>
      <c r="V250" s="10"/>
    </row>
    <row r="251" ht="22.5" customHeight="1">
      <c r="A251" s="5">
        <v>1.99469287197E11</v>
      </c>
      <c r="B251" s="5" t="s">
        <v>328</v>
      </c>
      <c r="C251" s="5">
        <v>51972028349</v>
      </c>
      <c r="D251" s="5" t="s">
        <v>13</v>
      </c>
      <c r="E251" s="5">
        <v>8.0566583E7</v>
      </c>
      <c r="F251" s="5" t="s">
        <v>65</v>
      </c>
      <c r="G251" s="5" t="s">
        <v>32</v>
      </c>
      <c r="H251" s="5" t="s">
        <v>114</v>
      </c>
      <c r="I251" s="6" t="s">
        <v>17</v>
      </c>
      <c r="J251" s="7" t="s">
        <v>34</v>
      </c>
      <c r="K251" s="7"/>
      <c r="L251" s="8">
        <v>1.770229766087E12</v>
      </c>
      <c r="M251" s="9"/>
      <c r="N251" s="10"/>
      <c r="O251" s="10"/>
      <c r="P251" s="10"/>
      <c r="Q251" s="10"/>
      <c r="R251" s="10"/>
      <c r="S251" s="10"/>
      <c r="T251" s="10"/>
      <c r="U251" s="10"/>
      <c r="V251" s="10"/>
    </row>
    <row r="252" ht="22.5" customHeight="1">
      <c r="A252" s="5">
        <v>1.99483157323E11</v>
      </c>
      <c r="B252" s="5" t="s">
        <v>329</v>
      </c>
      <c r="C252" s="5">
        <v>5545991021613</v>
      </c>
      <c r="D252" s="5" t="s">
        <v>13</v>
      </c>
      <c r="E252" s="5">
        <v>7.9360573E7</v>
      </c>
      <c r="F252" s="5" t="s">
        <v>31</v>
      </c>
      <c r="G252" s="5" t="s">
        <v>44</v>
      </c>
      <c r="H252" s="5" t="s">
        <v>16</v>
      </c>
      <c r="I252" s="6" t="s">
        <v>49</v>
      </c>
      <c r="J252" s="7" t="s">
        <v>34</v>
      </c>
      <c r="K252" s="7"/>
      <c r="L252" s="8">
        <v>1.770231067427E12</v>
      </c>
      <c r="M252" s="9"/>
      <c r="N252" s="10"/>
      <c r="O252" s="10"/>
      <c r="P252" s="10"/>
      <c r="Q252" s="10"/>
      <c r="R252" s="10"/>
      <c r="S252" s="10"/>
      <c r="T252" s="10"/>
      <c r="U252" s="10"/>
      <c r="V252" s="10"/>
    </row>
    <row r="253" ht="22.5" customHeight="1">
      <c r="A253" s="5">
        <v>1.97511819173E11</v>
      </c>
      <c r="B253" s="5" t="s">
        <v>330</v>
      </c>
      <c r="C253" s="5">
        <v>5562981273155</v>
      </c>
      <c r="D253" s="5" t="s">
        <v>13</v>
      </c>
      <c r="E253" s="5">
        <v>7.9360573E7</v>
      </c>
      <c r="F253" s="5" t="s">
        <v>28</v>
      </c>
      <c r="G253" s="5" t="s">
        <v>32</v>
      </c>
      <c r="H253" s="5" t="s">
        <v>331</v>
      </c>
      <c r="I253" s="6" t="s">
        <v>17</v>
      </c>
      <c r="J253" s="7" t="s">
        <v>34</v>
      </c>
      <c r="K253" s="7"/>
      <c r="L253" s="8">
        <v>1.77023190275E12</v>
      </c>
      <c r="M253" s="9"/>
      <c r="N253" s="10"/>
      <c r="O253" s="10"/>
      <c r="P253" s="10"/>
      <c r="Q253" s="10"/>
      <c r="R253" s="10"/>
      <c r="S253" s="10"/>
      <c r="T253" s="10"/>
      <c r="U253" s="10"/>
      <c r="V253" s="10"/>
    </row>
    <row r="254" ht="22.5" customHeight="1">
      <c r="A254" s="5">
        <v>1.99488182278E11</v>
      </c>
      <c r="B254" s="5" t="s">
        <v>332</v>
      </c>
      <c r="C254" s="5">
        <v>51920512703</v>
      </c>
      <c r="D254" s="5" t="s">
        <v>13</v>
      </c>
      <c r="E254" s="5">
        <v>8.7547393E7</v>
      </c>
      <c r="F254" s="5" t="s">
        <v>28</v>
      </c>
      <c r="G254" s="5" t="s">
        <v>15</v>
      </c>
      <c r="H254" s="5" t="s">
        <v>16</v>
      </c>
      <c r="I254" s="6" t="s">
        <v>49</v>
      </c>
      <c r="J254" s="7" t="s">
        <v>34</v>
      </c>
      <c r="K254" s="7"/>
      <c r="L254" s="8">
        <v>1.770234212905E12</v>
      </c>
      <c r="M254" s="9"/>
      <c r="N254" s="10"/>
      <c r="O254" s="10"/>
      <c r="P254" s="10"/>
      <c r="Q254" s="10"/>
      <c r="R254" s="10"/>
      <c r="S254" s="10"/>
      <c r="T254" s="10"/>
      <c r="U254" s="10"/>
      <c r="V254" s="10"/>
    </row>
    <row r="255" ht="22.5" customHeight="1">
      <c r="A255" s="5">
        <v>1.99500393788E11</v>
      </c>
      <c r="B255" s="5" t="s">
        <v>333</v>
      </c>
      <c r="C255" s="5">
        <v>524686871651</v>
      </c>
      <c r="D255" s="5" t="s">
        <v>13</v>
      </c>
      <c r="E255" s="5">
        <v>8.0566583E7</v>
      </c>
      <c r="F255" s="5" t="s">
        <v>39</v>
      </c>
      <c r="G255" s="5" t="s">
        <v>15</v>
      </c>
      <c r="H255" s="5" t="s">
        <v>51</v>
      </c>
      <c r="I255" s="6" t="s">
        <v>17</v>
      </c>
      <c r="J255" s="7" t="s">
        <v>18</v>
      </c>
      <c r="K255" s="7" t="s">
        <v>61</v>
      </c>
      <c r="L255" s="8">
        <v>1.770237392297E12</v>
      </c>
      <c r="M255" s="9"/>
      <c r="N255" s="10"/>
      <c r="O255" s="10"/>
      <c r="P255" s="10"/>
      <c r="Q255" s="10"/>
      <c r="R255" s="10"/>
      <c r="S255" s="10"/>
      <c r="T255" s="10"/>
      <c r="U255" s="10"/>
      <c r="V255" s="10"/>
    </row>
    <row r="256" ht="22.5" customHeight="1">
      <c r="A256" s="5">
        <v>1.99502705198E11</v>
      </c>
      <c r="B256" s="5" t="s">
        <v>334</v>
      </c>
      <c r="C256" s="5">
        <v>51990029755</v>
      </c>
      <c r="D256" s="5" t="s">
        <v>22</v>
      </c>
      <c r="E256" s="5">
        <v>8.0566583E7</v>
      </c>
      <c r="F256" s="5" t="s">
        <v>23</v>
      </c>
      <c r="G256" s="5" t="s">
        <v>44</v>
      </c>
      <c r="H256" s="5" t="s">
        <v>16</v>
      </c>
      <c r="I256" s="6" t="s">
        <v>36</v>
      </c>
      <c r="J256" s="7" t="s">
        <v>34</v>
      </c>
      <c r="K256" s="7"/>
      <c r="L256" s="8">
        <v>1.770237564505E12</v>
      </c>
      <c r="M256" s="9"/>
      <c r="N256" s="10"/>
      <c r="O256" s="10"/>
      <c r="P256" s="10"/>
      <c r="Q256" s="10"/>
      <c r="R256" s="10"/>
      <c r="S256" s="10"/>
      <c r="T256" s="10"/>
      <c r="U256" s="10"/>
      <c r="V256" s="10"/>
    </row>
    <row r="257" ht="22.5" customHeight="1">
      <c r="A257" s="5">
        <v>1.9950429608E11</v>
      </c>
      <c r="B257" s="5" t="s">
        <v>335</v>
      </c>
      <c r="C257" s="5">
        <v>527207674837</v>
      </c>
      <c r="D257" s="5" t="s">
        <v>13</v>
      </c>
      <c r="E257" s="5">
        <v>8.7547393E7</v>
      </c>
      <c r="F257" s="5" t="s">
        <v>93</v>
      </c>
      <c r="G257" s="5" t="s">
        <v>15</v>
      </c>
      <c r="H257" s="5" t="s">
        <v>16</v>
      </c>
      <c r="I257" s="6" t="s">
        <v>17</v>
      </c>
      <c r="J257" s="7" t="s">
        <v>34</v>
      </c>
      <c r="K257" s="7"/>
      <c r="L257" s="8">
        <v>1.770238558649E12</v>
      </c>
      <c r="M257" s="9"/>
      <c r="N257" s="10"/>
      <c r="O257" s="10"/>
      <c r="P257" s="10"/>
      <c r="Q257" s="10"/>
      <c r="R257" s="10"/>
      <c r="S257" s="10"/>
      <c r="T257" s="10"/>
      <c r="U257" s="10"/>
      <c r="V257" s="10"/>
    </row>
    <row r="258" ht="22.5" customHeight="1">
      <c r="A258" s="5">
        <v>1.98857198934E11</v>
      </c>
      <c r="B258" s="5" t="s">
        <v>336</v>
      </c>
      <c r="C258" s="5">
        <v>525564914194</v>
      </c>
      <c r="D258" s="5" t="s">
        <v>13</v>
      </c>
      <c r="E258" s="5">
        <v>8.7547393E7</v>
      </c>
      <c r="F258" s="5" t="s">
        <v>14</v>
      </c>
      <c r="G258" s="5" t="s">
        <v>15</v>
      </c>
      <c r="H258" s="5" t="s">
        <v>16</v>
      </c>
      <c r="I258" s="6" t="s">
        <v>17</v>
      </c>
      <c r="J258" s="7" t="s">
        <v>34</v>
      </c>
      <c r="K258" s="7"/>
      <c r="L258" s="8">
        <v>1.770239082322E12</v>
      </c>
      <c r="M258" s="9"/>
      <c r="N258" s="10"/>
      <c r="O258" s="10"/>
      <c r="P258" s="10"/>
      <c r="Q258" s="10"/>
      <c r="R258" s="10"/>
      <c r="S258" s="10"/>
      <c r="T258" s="10"/>
      <c r="U258" s="10"/>
      <c r="V258" s="10"/>
    </row>
    <row r="259" ht="22.5" customHeight="1">
      <c r="A259" s="5">
        <v>1.77903074735E11</v>
      </c>
      <c r="B259" s="5" t="s">
        <v>337</v>
      </c>
      <c r="C259" s="5">
        <v>51937282322</v>
      </c>
      <c r="D259" s="5" t="s">
        <v>13</v>
      </c>
      <c r="E259" s="5">
        <v>8.7547393E7</v>
      </c>
      <c r="F259" s="5" t="s">
        <v>23</v>
      </c>
      <c r="G259" s="5" t="s">
        <v>32</v>
      </c>
      <c r="H259" s="5" t="s">
        <v>16</v>
      </c>
      <c r="I259" s="6" t="s">
        <v>17</v>
      </c>
      <c r="J259" s="7" t="s">
        <v>18</v>
      </c>
      <c r="K259" s="7" t="s">
        <v>116</v>
      </c>
      <c r="L259" s="8">
        <v>1.770240334984E12</v>
      </c>
      <c r="M259" s="9"/>
      <c r="N259" s="10"/>
      <c r="O259" s="10"/>
      <c r="P259" s="10"/>
      <c r="Q259" s="10"/>
      <c r="R259" s="10"/>
      <c r="S259" s="10"/>
      <c r="T259" s="10"/>
      <c r="U259" s="10"/>
      <c r="V259" s="10"/>
    </row>
    <row r="260" ht="22.5" customHeight="1">
      <c r="A260" s="5">
        <v>1.99525569371E11</v>
      </c>
      <c r="B260" s="5" t="s">
        <v>338</v>
      </c>
      <c r="C260" s="5">
        <v>522711951939</v>
      </c>
      <c r="D260" s="5" t="s">
        <v>13</v>
      </c>
      <c r="E260" s="5">
        <v>8.0566583E7</v>
      </c>
      <c r="F260" s="5" t="s">
        <v>39</v>
      </c>
      <c r="G260" s="5" t="s">
        <v>32</v>
      </c>
      <c r="H260" s="5" t="s">
        <v>66</v>
      </c>
      <c r="I260" s="6" t="s">
        <v>17</v>
      </c>
      <c r="J260" s="7" t="s">
        <v>34</v>
      </c>
      <c r="K260" s="7"/>
      <c r="L260" s="8">
        <v>1.770241333015E12</v>
      </c>
      <c r="M260" s="9"/>
      <c r="N260" s="10"/>
      <c r="O260" s="10"/>
      <c r="P260" s="10"/>
      <c r="Q260" s="10"/>
      <c r="R260" s="10"/>
      <c r="S260" s="10"/>
      <c r="T260" s="10"/>
      <c r="U260" s="10"/>
      <c r="V260" s="10"/>
    </row>
    <row r="261" ht="22.5" customHeight="1">
      <c r="A261" s="5">
        <v>1.99513263779E11</v>
      </c>
      <c r="B261" s="5" t="s">
        <v>339</v>
      </c>
      <c r="C261" s="5">
        <v>51901200886</v>
      </c>
      <c r="D261" s="5" t="s">
        <v>22</v>
      </c>
      <c r="E261" s="5">
        <v>8.7547393E7</v>
      </c>
      <c r="F261" s="5" t="s">
        <v>93</v>
      </c>
      <c r="G261" s="5" t="s">
        <v>32</v>
      </c>
      <c r="H261" s="5" t="s">
        <v>80</v>
      </c>
      <c r="I261" s="6"/>
      <c r="J261" s="7" t="s">
        <v>34</v>
      </c>
      <c r="K261" s="7"/>
      <c r="L261" s="8">
        <v>1.770242951599E12</v>
      </c>
      <c r="M261" s="9"/>
      <c r="N261" s="10"/>
      <c r="O261" s="10"/>
      <c r="P261" s="10"/>
      <c r="Q261" s="10"/>
      <c r="R261" s="10"/>
      <c r="S261" s="10"/>
      <c r="T261" s="10"/>
      <c r="U261" s="10"/>
      <c r="V261" s="10"/>
    </row>
    <row r="262" ht="22.5" customHeight="1">
      <c r="A262" s="5">
        <v>1.99446566228E11</v>
      </c>
      <c r="B262" s="5" t="s">
        <v>319</v>
      </c>
      <c r="C262" s="5">
        <v>51992284529</v>
      </c>
      <c r="D262" s="5" t="s">
        <v>22</v>
      </c>
      <c r="E262" s="5">
        <v>8.0566583E7</v>
      </c>
      <c r="F262" s="5" t="s">
        <v>42</v>
      </c>
      <c r="G262" s="5" t="s">
        <v>32</v>
      </c>
      <c r="H262" s="5" t="s">
        <v>80</v>
      </c>
      <c r="I262" s="6" t="s">
        <v>17</v>
      </c>
      <c r="J262" s="7" t="s">
        <v>34</v>
      </c>
      <c r="K262" s="7"/>
      <c r="L262" s="8">
        <v>1.77024368249E12</v>
      </c>
      <c r="M262" s="9"/>
      <c r="N262" s="10"/>
      <c r="O262" s="10"/>
      <c r="P262" s="10"/>
      <c r="Q262" s="10"/>
      <c r="R262" s="10"/>
      <c r="S262" s="10"/>
      <c r="T262" s="10"/>
      <c r="U262" s="10"/>
      <c r="V262" s="10"/>
    </row>
    <row r="263" ht="22.5" customHeight="1">
      <c r="A263" s="5">
        <v>1.99528940127E11</v>
      </c>
      <c r="B263" s="5" t="s">
        <v>340</v>
      </c>
      <c r="C263" s="5">
        <v>51965775288</v>
      </c>
      <c r="D263" s="5" t="s">
        <v>13</v>
      </c>
      <c r="E263" s="5">
        <v>8.7547393E7</v>
      </c>
      <c r="F263" s="5" t="s">
        <v>39</v>
      </c>
      <c r="G263" s="5" t="s">
        <v>32</v>
      </c>
      <c r="H263" s="5" t="s">
        <v>16</v>
      </c>
      <c r="I263" s="6" t="s">
        <v>17</v>
      </c>
      <c r="J263" s="7" t="s">
        <v>18</v>
      </c>
      <c r="K263" s="7" t="s">
        <v>19</v>
      </c>
      <c r="L263" s="8">
        <v>1.770244157322E12</v>
      </c>
      <c r="M263" s="9"/>
      <c r="N263" s="10"/>
      <c r="O263" s="10"/>
      <c r="P263" s="10"/>
      <c r="Q263" s="10"/>
      <c r="R263" s="10"/>
      <c r="S263" s="10"/>
      <c r="T263" s="10"/>
      <c r="U263" s="10"/>
      <c r="V263" s="10"/>
    </row>
    <row r="264" ht="22.5" customHeight="1">
      <c r="A264" s="5">
        <v>1.97850008087E11</v>
      </c>
      <c r="B264" s="5" t="s">
        <v>341</v>
      </c>
      <c r="C264" s="5">
        <v>51993781897</v>
      </c>
      <c r="D264" s="5" t="s">
        <v>22</v>
      </c>
      <c r="E264" s="5">
        <v>8.7547393E7</v>
      </c>
      <c r="F264" s="5" t="s">
        <v>14</v>
      </c>
      <c r="G264" s="5" t="s">
        <v>44</v>
      </c>
      <c r="H264" s="5" t="s">
        <v>16</v>
      </c>
      <c r="I264" s="6" t="s">
        <v>49</v>
      </c>
      <c r="J264" s="7" t="s">
        <v>34</v>
      </c>
      <c r="K264" s="7"/>
      <c r="L264" s="8">
        <v>1.770248159582E12</v>
      </c>
      <c r="M264" s="9"/>
      <c r="N264" s="10"/>
      <c r="O264" s="10"/>
      <c r="P264" s="10"/>
      <c r="Q264" s="10"/>
      <c r="R264" s="10"/>
      <c r="S264" s="10"/>
      <c r="T264" s="10"/>
      <c r="U264" s="10"/>
      <c r="V264" s="10"/>
    </row>
    <row r="265" ht="22.5" customHeight="1">
      <c r="A265" s="5">
        <v>1.99095713114E11</v>
      </c>
      <c r="B265" s="5" t="s">
        <v>342</v>
      </c>
      <c r="C265" s="5">
        <v>51998979576</v>
      </c>
      <c r="D265" s="5" t="s">
        <v>38</v>
      </c>
      <c r="E265" s="5">
        <v>8.7547393E7</v>
      </c>
      <c r="F265" s="5"/>
      <c r="G265" s="5"/>
      <c r="H265" s="5"/>
      <c r="I265" s="6"/>
      <c r="J265" s="7" t="s">
        <v>34</v>
      </c>
      <c r="K265" s="7"/>
      <c r="L265" s="8">
        <v>1.770248260443E12</v>
      </c>
      <c r="M265" s="9"/>
      <c r="N265" s="10"/>
      <c r="O265" s="10"/>
      <c r="P265" s="10"/>
      <c r="Q265" s="10"/>
      <c r="R265" s="10"/>
      <c r="S265" s="10"/>
      <c r="T265" s="10"/>
      <c r="U265" s="10"/>
      <c r="V265" s="10"/>
    </row>
    <row r="266" ht="22.5" customHeight="1">
      <c r="A266" s="5">
        <v>1.99540716034E11</v>
      </c>
      <c r="B266" s="5" t="s">
        <v>343</v>
      </c>
      <c r="C266" s="5">
        <v>524424682031</v>
      </c>
      <c r="D266" s="5" t="s">
        <v>13</v>
      </c>
      <c r="E266" s="5">
        <v>8.0566583E7</v>
      </c>
      <c r="F266" s="5" t="s">
        <v>28</v>
      </c>
      <c r="G266" s="5" t="s">
        <v>15</v>
      </c>
      <c r="H266" s="5" t="s">
        <v>16</v>
      </c>
      <c r="I266" s="6" t="s">
        <v>17</v>
      </c>
      <c r="J266" s="7" t="s">
        <v>18</v>
      </c>
      <c r="K266" s="7" t="s">
        <v>61</v>
      </c>
      <c r="L266" s="8">
        <v>1.770249331689E12</v>
      </c>
      <c r="M266" s="9"/>
      <c r="N266" s="10"/>
      <c r="O266" s="10"/>
      <c r="P266" s="10"/>
      <c r="Q266" s="10"/>
      <c r="R266" s="10"/>
      <c r="S266" s="10"/>
      <c r="T266" s="10"/>
      <c r="U266" s="10"/>
      <c r="V266" s="10"/>
    </row>
    <row r="267" ht="22.5" customHeight="1">
      <c r="A267" s="5">
        <v>1.99544605004E11</v>
      </c>
      <c r="B267" s="5" t="s">
        <v>344</v>
      </c>
      <c r="C267" s="5">
        <v>51932654112</v>
      </c>
      <c r="D267" s="5" t="s">
        <v>13</v>
      </c>
      <c r="E267" s="5">
        <v>8.7547393E7</v>
      </c>
      <c r="F267" s="5" t="s">
        <v>39</v>
      </c>
      <c r="G267" s="5" t="s">
        <v>15</v>
      </c>
      <c r="H267" s="5" t="s">
        <v>66</v>
      </c>
      <c r="I267" s="6" t="s">
        <v>17</v>
      </c>
      <c r="J267" s="7" t="s">
        <v>58</v>
      </c>
      <c r="K267" s="11" t="s">
        <v>59</v>
      </c>
      <c r="L267" s="8">
        <v>1.770251025274E12</v>
      </c>
      <c r="M267" s="9"/>
      <c r="N267" s="10"/>
      <c r="O267" s="10"/>
      <c r="P267" s="10"/>
      <c r="Q267" s="10"/>
      <c r="R267" s="10"/>
      <c r="S267" s="10"/>
      <c r="T267" s="10"/>
      <c r="U267" s="10"/>
      <c r="V267" s="10"/>
    </row>
    <row r="268" ht="22.5" customHeight="1">
      <c r="A268" s="5">
        <v>1.99559076278E11</v>
      </c>
      <c r="B268" s="5" t="s">
        <v>345</v>
      </c>
      <c r="C268" s="5">
        <v>51990342770</v>
      </c>
      <c r="D268" s="5" t="s">
        <v>13</v>
      </c>
      <c r="E268" s="5">
        <v>8.0566583E7</v>
      </c>
      <c r="F268" s="5" t="s">
        <v>39</v>
      </c>
      <c r="G268" s="5" t="s">
        <v>15</v>
      </c>
      <c r="H268" s="5" t="s">
        <v>210</v>
      </c>
      <c r="I268" s="6" t="s">
        <v>17</v>
      </c>
      <c r="J268" s="7" t="s">
        <v>18</v>
      </c>
      <c r="K268" s="7" t="s">
        <v>19</v>
      </c>
      <c r="L268" s="8">
        <v>1.770253526772E12</v>
      </c>
      <c r="M268" s="9"/>
      <c r="N268" s="10"/>
      <c r="O268" s="10"/>
      <c r="P268" s="10"/>
      <c r="Q268" s="10"/>
      <c r="R268" s="10"/>
      <c r="S268" s="10"/>
      <c r="T268" s="10"/>
      <c r="U268" s="10"/>
      <c r="V268" s="10"/>
    </row>
    <row r="269" ht="22.5" customHeight="1">
      <c r="A269" s="5">
        <v>1.99547952553E11</v>
      </c>
      <c r="B269" s="5" t="s">
        <v>346</v>
      </c>
      <c r="C269" s="5">
        <v>51933686944</v>
      </c>
      <c r="D269" s="5" t="s">
        <v>13</v>
      </c>
      <c r="E269" s="5">
        <v>8.7547393E7</v>
      </c>
      <c r="F269" s="5" t="s">
        <v>28</v>
      </c>
      <c r="G269" s="5" t="s">
        <v>15</v>
      </c>
      <c r="H269" s="5" t="s">
        <v>51</v>
      </c>
      <c r="I269" s="6" t="s">
        <v>17</v>
      </c>
      <c r="J269" s="7" t="s">
        <v>18</v>
      </c>
      <c r="K269" s="7" t="s">
        <v>19</v>
      </c>
      <c r="L269" s="8">
        <v>1.770254649821E12</v>
      </c>
      <c r="M269" s="9"/>
      <c r="N269" s="10"/>
      <c r="O269" s="10"/>
      <c r="P269" s="10"/>
      <c r="Q269" s="10"/>
      <c r="R269" s="10"/>
      <c r="S269" s="10"/>
      <c r="T269" s="10"/>
      <c r="U269" s="10"/>
      <c r="V269" s="10"/>
    </row>
    <row r="270" ht="22.5" customHeight="1">
      <c r="A270" s="5">
        <v>1.94057708349E11</v>
      </c>
      <c r="B270" s="5" t="s">
        <v>347</v>
      </c>
      <c r="C270" s="5">
        <v>5591992182073</v>
      </c>
      <c r="D270" s="5" t="s">
        <v>13</v>
      </c>
      <c r="E270" s="5">
        <v>7.9360573E7</v>
      </c>
      <c r="F270" s="5" t="s">
        <v>28</v>
      </c>
      <c r="G270" s="5" t="s">
        <v>32</v>
      </c>
      <c r="H270" s="5" t="s">
        <v>16</v>
      </c>
      <c r="I270" s="6" t="s">
        <v>17</v>
      </c>
      <c r="J270" s="7" t="s">
        <v>34</v>
      </c>
      <c r="K270" s="7"/>
      <c r="L270" s="8">
        <v>1.770255928589E12</v>
      </c>
      <c r="M270" s="9"/>
      <c r="N270" s="10"/>
      <c r="O270" s="10"/>
      <c r="P270" s="10"/>
      <c r="Q270" s="10"/>
      <c r="R270" s="10"/>
      <c r="S270" s="10"/>
      <c r="T270" s="10"/>
      <c r="U270" s="10"/>
      <c r="V270" s="10"/>
    </row>
    <row r="271" ht="22.5" customHeight="1">
      <c r="A271" s="5">
        <v>1.99559238556E11</v>
      </c>
      <c r="B271" s="5" t="s">
        <v>348</v>
      </c>
      <c r="C271" s="5">
        <v>5521997775987</v>
      </c>
      <c r="D271" s="5" t="s">
        <v>22</v>
      </c>
      <c r="E271" s="5">
        <v>7.9360573E7</v>
      </c>
      <c r="F271" s="5" t="s">
        <v>28</v>
      </c>
      <c r="G271" s="5" t="s">
        <v>32</v>
      </c>
      <c r="H271" s="5" t="s">
        <v>74</v>
      </c>
      <c r="I271" s="6" t="s">
        <v>17</v>
      </c>
      <c r="J271" s="7" t="s">
        <v>18</v>
      </c>
      <c r="K271" s="7" t="s">
        <v>45</v>
      </c>
      <c r="L271" s="8">
        <v>1.770257650248E12</v>
      </c>
      <c r="M271" s="9"/>
      <c r="N271" s="10"/>
      <c r="O271" s="10"/>
      <c r="P271" s="10"/>
      <c r="Q271" s="10"/>
      <c r="R271" s="10"/>
      <c r="S271" s="10"/>
      <c r="T271" s="10"/>
      <c r="U271" s="10"/>
      <c r="V271" s="10"/>
    </row>
    <row r="272" ht="22.5" customHeight="1">
      <c r="A272" s="5">
        <v>5.0583861177E10</v>
      </c>
      <c r="B272" s="5" t="s">
        <v>349</v>
      </c>
      <c r="C272" s="5">
        <v>51979607880</v>
      </c>
      <c r="D272" s="5" t="s">
        <v>13</v>
      </c>
      <c r="E272" s="5">
        <v>8.0566583E7</v>
      </c>
      <c r="F272" s="5" t="s">
        <v>28</v>
      </c>
      <c r="G272" s="5" t="s">
        <v>15</v>
      </c>
      <c r="H272" s="5" t="s">
        <v>350</v>
      </c>
      <c r="I272" s="6" t="s">
        <v>17</v>
      </c>
      <c r="J272" s="7" t="s">
        <v>18</v>
      </c>
      <c r="K272" s="7" t="s">
        <v>19</v>
      </c>
      <c r="L272" s="8">
        <v>1.770258320315E12</v>
      </c>
      <c r="M272" s="9"/>
      <c r="N272" s="10"/>
      <c r="O272" s="10"/>
      <c r="P272" s="10"/>
      <c r="Q272" s="10"/>
      <c r="R272" s="10"/>
      <c r="S272" s="10"/>
      <c r="T272" s="10"/>
      <c r="U272" s="10"/>
      <c r="V272" s="10"/>
    </row>
    <row r="273" ht="22.5" customHeight="1">
      <c r="A273" s="5">
        <v>1.99565753496E11</v>
      </c>
      <c r="B273" s="5" t="s">
        <v>351</v>
      </c>
      <c r="C273" s="5">
        <v>5579988486604</v>
      </c>
      <c r="D273" s="5" t="s">
        <v>22</v>
      </c>
      <c r="E273" s="5">
        <v>7.9360573E7</v>
      </c>
      <c r="F273" s="5" t="s">
        <v>28</v>
      </c>
      <c r="G273" s="5" t="s">
        <v>44</v>
      </c>
      <c r="H273" s="5" t="s">
        <v>352</v>
      </c>
      <c r="I273" s="6" t="s">
        <v>17</v>
      </c>
      <c r="J273" s="7" t="s">
        <v>34</v>
      </c>
      <c r="K273" s="7"/>
      <c r="L273" s="8">
        <v>1.77025890732E12</v>
      </c>
      <c r="M273" s="9"/>
      <c r="N273" s="10"/>
      <c r="O273" s="10"/>
      <c r="P273" s="10"/>
      <c r="Q273" s="10"/>
      <c r="R273" s="10"/>
      <c r="S273" s="10"/>
      <c r="T273" s="10"/>
      <c r="U273" s="10"/>
      <c r="V273" s="10"/>
    </row>
    <row r="274" ht="22.5" customHeight="1">
      <c r="A274" s="5">
        <v>1.79671506041E11</v>
      </c>
      <c r="B274" s="5" t="s">
        <v>353</v>
      </c>
      <c r="C274" s="5">
        <v>523331461784</v>
      </c>
      <c r="D274" s="5" t="s">
        <v>13</v>
      </c>
      <c r="E274" s="5">
        <v>8.5569856E7</v>
      </c>
      <c r="F274" s="5" t="s">
        <v>93</v>
      </c>
      <c r="G274" s="5" t="s">
        <v>15</v>
      </c>
      <c r="H274" s="5" t="s">
        <v>51</v>
      </c>
      <c r="I274" s="6" t="s">
        <v>17</v>
      </c>
      <c r="J274" s="7" t="s">
        <v>124</v>
      </c>
      <c r="K274" s="7" t="s">
        <v>354</v>
      </c>
      <c r="L274" s="8">
        <v>1.770259276478E12</v>
      </c>
      <c r="M274" s="9"/>
      <c r="N274" s="10"/>
      <c r="O274" s="10"/>
      <c r="P274" s="10"/>
      <c r="Q274" s="10"/>
      <c r="R274" s="10"/>
      <c r="S274" s="10"/>
      <c r="T274" s="10"/>
      <c r="U274" s="10"/>
      <c r="V274" s="10"/>
    </row>
    <row r="275" ht="22.5" customHeight="1">
      <c r="A275" s="5">
        <v>1.99550561043E11</v>
      </c>
      <c r="B275" s="5" t="s">
        <v>355</v>
      </c>
      <c r="C275" s="5">
        <v>5524981529462</v>
      </c>
      <c r="D275" s="5" t="s">
        <v>13</v>
      </c>
      <c r="E275" s="5">
        <v>7.9360573E7</v>
      </c>
      <c r="F275" s="5" t="s">
        <v>28</v>
      </c>
      <c r="G275" s="5" t="s">
        <v>15</v>
      </c>
      <c r="H275" s="5" t="s">
        <v>33</v>
      </c>
      <c r="I275" s="6" t="s">
        <v>17</v>
      </c>
      <c r="J275" s="7" t="s">
        <v>34</v>
      </c>
      <c r="K275" s="7"/>
      <c r="L275" s="8">
        <v>1.770259484907E12</v>
      </c>
      <c r="M275" s="9"/>
      <c r="N275" s="10"/>
      <c r="O275" s="10"/>
      <c r="P275" s="10"/>
      <c r="Q275" s="10"/>
      <c r="R275" s="10"/>
      <c r="S275" s="10"/>
      <c r="T275" s="10"/>
      <c r="U275" s="10"/>
      <c r="V275" s="10"/>
    </row>
    <row r="276" ht="22.5" customHeight="1">
      <c r="A276" s="5">
        <v>1.99561280539E11</v>
      </c>
      <c r="B276" s="5" t="s">
        <v>356</v>
      </c>
      <c r="C276" s="5">
        <v>51996280164</v>
      </c>
      <c r="D276" s="5" t="s">
        <v>13</v>
      </c>
      <c r="E276" s="5">
        <v>8.7547393E7</v>
      </c>
      <c r="F276" s="5" t="s">
        <v>39</v>
      </c>
      <c r="G276" s="5" t="s">
        <v>32</v>
      </c>
      <c r="H276" s="5" t="s">
        <v>16</v>
      </c>
      <c r="I276" s="6" t="s">
        <v>17</v>
      </c>
      <c r="J276" s="7" t="s">
        <v>58</v>
      </c>
      <c r="K276" s="11" t="s">
        <v>59</v>
      </c>
      <c r="L276" s="8">
        <v>1.770260497918E12</v>
      </c>
      <c r="M276" s="9"/>
      <c r="N276" s="10"/>
      <c r="O276" s="10"/>
      <c r="P276" s="10"/>
      <c r="Q276" s="10"/>
      <c r="R276" s="10"/>
      <c r="S276" s="10"/>
      <c r="T276" s="10"/>
      <c r="U276" s="10"/>
      <c r="V276" s="10"/>
    </row>
    <row r="277" ht="22.5" customHeight="1">
      <c r="A277" s="5">
        <v>1.99568925617E11</v>
      </c>
      <c r="B277" s="5" t="s">
        <v>357</v>
      </c>
      <c r="C277" s="5">
        <v>50372692714</v>
      </c>
      <c r="D277" s="5" t="s">
        <v>13</v>
      </c>
      <c r="E277" s="5">
        <v>8.0566583E7</v>
      </c>
      <c r="F277" s="5" t="s">
        <v>65</v>
      </c>
      <c r="G277" s="5" t="s">
        <v>15</v>
      </c>
      <c r="H277" s="5" t="s">
        <v>24</v>
      </c>
      <c r="I277" s="6"/>
      <c r="J277" s="7" t="s">
        <v>34</v>
      </c>
      <c r="K277" s="7"/>
      <c r="L277" s="8">
        <v>1.770260983423E12</v>
      </c>
      <c r="M277" s="9"/>
      <c r="N277" s="10"/>
      <c r="O277" s="10"/>
      <c r="P277" s="10"/>
      <c r="Q277" s="10"/>
      <c r="R277" s="10"/>
      <c r="S277" s="10"/>
      <c r="T277" s="10"/>
      <c r="U277" s="10"/>
      <c r="V277" s="10"/>
    </row>
    <row r="278" ht="22.5" customHeight="1">
      <c r="A278" s="5">
        <v>1.99562739306E11</v>
      </c>
      <c r="B278" s="5" t="s">
        <v>358</v>
      </c>
      <c r="C278" s="5">
        <v>528141191781</v>
      </c>
      <c r="D278" s="5" t="s">
        <v>38</v>
      </c>
      <c r="E278" s="5">
        <v>8.0566583E7</v>
      </c>
      <c r="F278" s="5"/>
      <c r="G278" s="5"/>
      <c r="H278" s="5"/>
      <c r="I278" s="6"/>
      <c r="J278" s="7" t="s">
        <v>18</v>
      </c>
      <c r="K278" s="7" t="s">
        <v>61</v>
      </c>
      <c r="L278" s="8">
        <v>1.770262103289E12</v>
      </c>
      <c r="M278" s="9"/>
      <c r="N278" s="10"/>
      <c r="O278" s="10"/>
      <c r="P278" s="10"/>
      <c r="Q278" s="10"/>
      <c r="R278" s="10"/>
      <c r="S278" s="10"/>
      <c r="T278" s="10"/>
      <c r="U278" s="10"/>
      <c r="V278" s="10"/>
    </row>
    <row r="279" ht="22.5" customHeight="1">
      <c r="A279" s="5">
        <v>1.99553393783E11</v>
      </c>
      <c r="B279" s="5" t="s">
        <v>359</v>
      </c>
      <c r="C279" s="5">
        <v>526564223909</v>
      </c>
      <c r="D279" s="5" t="s">
        <v>13</v>
      </c>
      <c r="E279" s="5">
        <v>8.0566583E7</v>
      </c>
      <c r="F279" s="5" t="s">
        <v>28</v>
      </c>
      <c r="G279" s="5" t="s">
        <v>15</v>
      </c>
      <c r="H279" s="5" t="s">
        <v>66</v>
      </c>
      <c r="I279" s="6" t="s">
        <v>36</v>
      </c>
      <c r="J279" s="7" t="s">
        <v>34</v>
      </c>
      <c r="K279" s="7"/>
      <c r="L279" s="8">
        <v>1.770262496022E12</v>
      </c>
      <c r="M279" s="9"/>
      <c r="N279" s="10"/>
      <c r="O279" s="10"/>
      <c r="P279" s="10"/>
      <c r="Q279" s="10"/>
      <c r="R279" s="10"/>
      <c r="S279" s="10"/>
      <c r="T279" s="10"/>
      <c r="U279" s="10"/>
      <c r="V279" s="10"/>
    </row>
    <row r="280" ht="22.5" customHeight="1">
      <c r="A280" s="5">
        <v>1.99570548122E11</v>
      </c>
      <c r="B280" s="5" t="s">
        <v>360</v>
      </c>
      <c r="C280" s="5">
        <v>526562172201</v>
      </c>
      <c r="D280" s="5" t="s">
        <v>22</v>
      </c>
      <c r="E280" s="5">
        <v>8.0566583E7</v>
      </c>
      <c r="F280" s="5" t="s">
        <v>93</v>
      </c>
      <c r="G280" s="5" t="s">
        <v>44</v>
      </c>
      <c r="H280" s="5" t="s">
        <v>16</v>
      </c>
      <c r="I280" s="6" t="s">
        <v>148</v>
      </c>
      <c r="J280" s="7" t="s">
        <v>34</v>
      </c>
      <c r="K280" s="7"/>
      <c r="L280" s="8">
        <v>1.770262538634E12</v>
      </c>
      <c r="M280" s="9"/>
      <c r="N280" s="10"/>
      <c r="O280" s="10"/>
      <c r="P280" s="10"/>
      <c r="Q280" s="10"/>
      <c r="R280" s="10"/>
      <c r="S280" s="10"/>
      <c r="T280" s="10"/>
      <c r="U280" s="10"/>
      <c r="V280" s="10"/>
    </row>
    <row r="281" ht="22.5" customHeight="1">
      <c r="A281" s="5">
        <v>1.99553598241E11</v>
      </c>
      <c r="B281" s="5" t="s">
        <v>361</v>
      </c>
      <c r="C281" s="5">
        <v>51980436626</v>
      </c>
      <c r="D281" s="5" t="s">
        <v>22</v>
      </c>
      <c r="E281" s="5">
        <v>8.7547393E7</v>
      </c>
      <c r="F281" s="5" t="s">
        <v>28</v>
      </c>
      <c r="G281" s="5" t="s">
        <v>44</v>
      </c>
      <c r="H281" s="5" t="s">
        <v>16</v>
      </c>
      <c r="I281" s="6" t="s">
        <v>17</v>
      </c>
      <c r="J281" s="7" t="s">
        <v>18</v>
      </c>
      <c r="K281" s="7" t="s">
        <v>19</v>
      </c>
      <c r="L281" s="8">
        <v>1.77026298396E12</v>
      </c>
      <c r="M281" s="9"/>
      <c r="N281" s="10"/>
      <c r="O281" s="10"/>
      <c r="P281" s="10"/>
      <c r="Q281" s="10"/>
      <c r="R281" s="10"/>
      <c r="S281" s="10"/>
      <c r="T281" s="10"/>
      <c r="U281" s="10"/>
      <c r="V281" s="10"/>
    </row>
    <row r="282" ht="22.5" customHeight="1">
      <c r="A282" s="5">
        <v>1.9957073184E11</v>
      </c>
      <c r="B282" s="5" t="s">
        <v>362</v>
      </c>
      <c r="C282" s="5">
        <v>50373350665</v>
      </c>
      <c r="D282" s="5" t="s">
        <v>38</v>
      </c>
      <c r="E282" s="5">
        <v>8.7547393E7</v>
      </c>
      <c r="F282" s="5"/>
      <c r="G282" s="5"/>
      <c r="H282" s="5"/>
      <c r="I282" s="6"/>
      <c r="J282" s="7" t="s">
        <v>34</v>
      </c>
      <c r="K282" s="7"/>
      <c r="L282" s="8">
        <v>1.770263349825E12</v>
      </c>
      <c r="M282" s="9"/>
      <c r="N282" s="10"/>
      <c r="O282" s="10"/>
      <c r="P282" s="10"/>
      <c r="Q282" s="10"/>
      <c r="R282" s="10"/>
      <c r="S282" s="10"/>
      <c r="T282" s="10"/>
      <c r="U282" s="10"/>
      <c r="V282" s="10"/>
    </row>
    <row r="283" ht="22.5" customHeight="1">
      <c r="A283" s="5">
        <v>1.99572838838E11</v>
      </c>
      <c r="B283" s="5" t="s">
        <v>363</v>
      </c>
      <c r="C283" s="5">
        <v>525591985187</v>
      </c>
      <c r="D283" s="5" t="s">
        <v>13</v>
      </c>
      <c r="E283" s="5">
        <v>8.0566583E7</v>
      </c>
      <c r="F283" s="5" t="s">
        <v>23</v>
      </c>
      <c r="G283" s="5" t="s">
        <v>15</v>
      </c>
      <c r="H283" s="5" t="s">
        <v>69</v>
      </c>
      <c r="I283" s="6" t="s">
        <v>17</v>
      </c>
      <c r="J283" s="7" t="s">
        <v>18</v>
      </c>
      <c r="K283" s="7" t="s">
        <v>61</v>
      </c>
      <c r="L283" s="8">
        <v>1.770263455669E12</v>
      </c>
      <c r="M283" s="9"/>
      <c r="N283" s="10"/>
      <c r="O283" s="10"/>
      <c r="P283" s="10"/>
      <c r="Q283" s="10"/>
      <c r="R283" s="10"/>
      <c r="S283" s="10"/>
      <c r="T283" s="10"/>
      <c r="U283" s="10"/>
      <c r="V283" s="10"/>
    </row>
    <row r="284" ht="22.5" customHeight="1">
      <c r="A284" s="5">
        <v>1.99570489446E11</v>
      </c>
      <c r="B284" s="5" t="s">
        <v>364</v>
      </c>
      <c r="C284" s="5">
        <v>51959593640</v>
      </c>
      <c r="D284" s="5" t="s">
        <v>38</v>
      </c>
      <c r="E284" s="5">
        <v>8.0566583E7</v>
      </c>
      <c r="F284" s="5"/>
      <c r="G284" s="5"/>
      <c r="H284" s="5"/>
      <c r="I284" s="6"/>
      <c r="J284" s="7" t="s">
        <v>18</v>
      </c>
      <c r="K284" s="7" t="s">
        <v>19</v>
      </c>
      <c r="L284" s="8">
        <v>1.770265377485E12</v>
      </c>
      <c r="M284" s="9"/>
      <c r="N284" s="10"/>
      <c r="O284" s="10"/>
      <c r="P284" s="10"/>
      <c r="Q284" s="10"/>
      <c r="R284" s="10"/>
      <c r="S284" s="10"/>
      <c r="T284" s="10"/>
      <c r="U284" s="10"/>
      <c r="V284" s="10"/>
    </row>
    <row r="285" ht="22.5" customHeight="1">
      <c r="A285" s="5">
        <v>1.99570867486E11</v>
      </c>
      <c r="B285" s="5" t="s">
        <v>365</v>
      </c>
      <c r="C285" s="5">
        <v>51946567097</v>
      </c>
      <c r="D285" s="5" t="s">
        <v>13</v>
      </c>
      <c r="E285" s="5">
        <v>8.7547393E7</v>
      </c>
      <c r="F285" s="5" t="s">
        <v>39</v>
      </c>
      <c r="G285" s="5" t="s">
        <v>32</v>
      </c>
      <c r="H285" s="5" t="s">
        <v>66</v>
      </c>
      <c r="I285" s="6" t="s">
        <v>17</v>
      </c>
      <c r="J285" s="7" t="s">
        <v>58</v>
      </c>
      <c r="K285" s="11" t="s">
        <v>59</v>
      </c>
      <c r="L285" s="8">
        <v>1.770265586012E12</v>
      </c>
      <c r="M285" s="9"/>
      <c r="N285" s="10"/>
      <c r="O285" s="10"/>
      <c r="P285" s="10"/>
      <c r="Q285" s="10"/>
      <c r="R285" s="10"/>
      <c r="S285" s="10"/>
      <c r="T285" s="10"/>
      <c r="U285" s="10"/>
      <c r="V285" s="10"/>
    </row>
    <row r="286" ht="22.5" customHeight="1">
      <c r="A286" s="5">
        <v>1.99574538002E11</v>
      </c>
      <c r="B286" s="5" t="s">
        <v>366</v>
      </c>
      <c r="C286" s="5">
        <v>529512175164</v>
      </c>
      <c r="D286" s="5" t="s">
        <v>13</v>
      </c>
      <c r="E286" s="5">
        <v>8.0566583E7</v>
      </c>
      <c r="F286" s="5" t="s">
        <v>31</v>
      </c>
      <c r="G286" s="5" t="s">
        <v>15</v>
      </c>
      <c r="H286" s="5" t="s">
        <v>16</v>
      </c>
      <c r="I286" s="6" t="s">
        <v>17</v>
      </c>
      <c r="J286" s="7" t="s">
        <v>18</v>
      </c>
      <c r="K286" s="7" t="s">
        <v>61</v>
      </c>
      <c r="L286" s="8">
        <v>1.770266563772E12</v>
      </c>
      <c r="M286" s="9"/>
      <c r="N286" s="10"/>
      <c r="O286" s="10"/>
      <c r="P286" s="10"/>
      <c r="Q286" s="10"/>
      <c r="R286" s="10"/>
      <c r="S286" s="10"/>
      <c r="T286" s="10"/>
      <c r="U286" s="10"/>
      <c r="V286" s="10"/>
    </row>
    <row r="287" ht="22.5" customHeight="1">
      <c r="A287" s="5">
        <v>1.99593887903E11</v>
      </c>
      <c r="B287" s="5" t="s">
        <v>367</v>
      </c>
      <c r="C287" s="5">
        <v>522212256281</v>
      </c>
      <c r="D287" s="5" t="s">
        <v>13</v>
      </c>
      <c r="E287" s="5">
        <v>8.0566583E7</v>
      </c>
      <c r="F287" s="5" t="s">
        <v>39</v>
      </c>
      <c r="G287" s="5" t="s">
        <v>32</v>
      </c>
      <c r="H287" s="5" t="s">
        <v>16</v>
      </c>
      <c r="I287" s="6" t="s">
        <v>36</v>
      </c>
      <c r="J287" s="7" t="s">
        <v>34</v>
      </c>
      <c r="K287" s="7"/>
      <c r="L287" s="8">
        <v>1.770267026395E12</v>
      </c>
      <c r="M287" s="9"/>
      <c r="N287" s="10"/>
      <c r="O287" s="10"/>
      <c r="P287" s="10"/>
      <c r="Q287" s="10"/>
      <c r="R287" s="10"/>
      <c r="S287" s="10"/>
      <c r="T287" s="10"/>
      <c r="U287" s="10"/>
      <c r="V287" s="10"/>
    </row>
    <row r="288" ht="22.5" customHeight="1">
      <c r="A288" s="5">
        <v>1.99547516749E11</v>
      </c>
      <c r="B288" s="5" t="s">
        <v>368</v>
      </c>
      <c r="C288" s="5">
        <v>51992719895</v>
      </c>
      <c r="D288" s="5" t="s">
        <v>22</v>
      </c>
      <c r="E288" s="5">
        <v>8.7547393E7</v>
      </c>
      <c r="F288" s="5" t="s">
        <v>28</v>
      </c>
      <c r="G288" s="5" t="s">
        <v>44</v>
      </c>
      <c r="H288" s="5" t="s">
        <v>114</v>
      </c>
      <c r="I288" s="6" t="s">
        <v>17</v>
      </c>
      <c r="J288" s="7" t="s">
        <v>34</v>
      </c>
      <c r="K288" s="7"/>
      <c r="L288" s="8">
        <v>1.770268752207E12</v>
      </c>
      <c r="M288" s="9"/>
      <c r="N288" s="10"/>
      <c r="O288" s="10"/>
      <c r="P288" s="10"/>
      <c r="Q288" s="10"/>
      <c r="R288" s="10"/>
      <c r="S288" s="10"/>
      <c r="T288" s="10"/>
      <c r="U288" s="10"/>
      <c r="V288" s="10"/>
    </row>
    <row r="289" ht="22.5" customHeight="1">
      <c r="A289" s="5">
        <v>1.99580801917E11</v>
      </c>
      <c r="B289" s="5" t="s">
        <v>369</v>
      </c>
      <c r="C289" s="5">
        <v>51999534583</v>
      </c>
      <c r="D289" s="5" t="s">
        <v>13</v>
      </c>
      <c r="E289" s="5">
        <v>8.0566583E7</v>
      </c>
      <c r="F289" s="5" t="s">
        <v>31</v>
      </c>
      <c r="G289" s="5" t="s">
        <v>15</v>
      </c>
      <c r="H289" s="5" t="s">
        <v>16</v>
      </c>
      <c r="I289" s="6" t="s">
        <v>63</v>
      </c>
      <c r="J289" s="7" t="s">
        <v>18</v>
      </c>
      <c r="K289" s="7" t="s">
        <v>19</v>
      </c>
      <c r="L289" s="8">
        <v>1.770273377824E12</v>
      </c>
      <c r="M289" s="9"/>
      <c r="N289" s="10"/>
      <c r="O289" s="10"/>
      <c r="P289" s="10"/>
      <c r="Q289" s="10"/>
      <c r="R289" s="10"/>
      <c r="S289" s="10"/>
      <c r="T289" s="10"/>
      <c r="U289" s="10"/>
      <c r="V289" s="10"/>
    </row>
    <row r="290" ht="22.5" customHeight="1">
      <c r="A290" s="5">
        <v>1.76852283137E11</v>
      </c>
      <c r="B290" s="5" t="s">
        <v>370</v>
      </c>
      <c r="C290" s="5">
        <v>51943026361</v>
      </c>
      <c r="D290" s="5" t="s">
        <v>22</v>
      </c>
      <c r="E290" s="5">
        <v>8.0566583E7</v>
      </c>
      <c r="F290" s="5" t="s">
        <v>23</v>
      </c>
      <c r="G290" s="5" t="s">
        <v>79</v>
      </c>
      <c r="H290" s="5" t="s">
        <v>371</v>
      </c>
      <c r="I290" s="6" t="s">
        <v>17</v>
      </c>
      <c r="J290" s="7" t="s">
        <v>25</v>
      </c>
      <c r="K290" s="7"/>
      <c r="L290" s="8">
        <v>1.770278356414E12</v>
      </c>
      <c r="M290" s="9"/>
      <c r="N290" s="10"/>
      <c r="O290" s="10"/>
      <c r="P290" s="10"/>
      <c r="Q290" s="10"/>
      <c r="R290" s="10"/>
      <c r="S290" s="10"/>
      <c r="T290" s="10"/>
      <c r="U290" s="10"/>
      <c r="V290" s="10"/>
    </row>
    <row r="291" ht="22.5" customHeight="1">
      <c r="A291" s="5">
        <v>1.99636845163E11</v>
      </c>
      <c r="B291" s="5" t="s">
        <v>372</v>
      </c>
      <c r="C291" s="5">
        <v>51975016609</v>
      </c>
      <c r="D291" s="5" t="s">
        <v>13</v>
      </c>
      <c r="E291" s="5">
        <v>8.0566583E7</v>
      </c>
      <c r="F291" s="5" t="s">
        <v>65</v>
      </c>
      <c r="G291" s="5" t="s">
        <v>15</v>
      </c>
      <c r="H291" s="5" t="s">
        <v>16</v>
      </c>
      <c r="I291" s="6" t="s">
        <v>17</v>
      </c>
      <c r="J291" s="7" t="s">
        <v>18</v>
      </c>
      <c r="K291" s="7" t="s">
        <v>19</v>
      </c>
      <c r="L291" s="8">
        <v>1.770279630766E12</v>
      </c>
      <c r="M291" s="9"/>
      <c r="N291" s="10"/>
      <c r="O291" s="10"/>
      <c r="P291" s="10"/>
      <c r="Q291" s="10"/>
      <c r="R291" s="10"/>
      <c r="S291" s="10"/>
      <c r="T291" s="10"/>
      <c r="U291" s="10"/>
      <c r="V291" s="10"/>
    </row>
    <row r="292" ht="22.5" customHeight="1">
      <c r="A292" s="5">
        <v>1.99656028429E11</v>
      </c>
      <c r="B292" s="5" t="s">
        <v>373</v>
      </c>
      <c r="C292" s="5">
        <v>51902574284</v>
      </c>
      <c r="D292" s="5" t="s">
        <v>22</v>
      </c>
      <c r="E292" s="5">
        <v>8.0566583E7</v>
      </c>
      <c r="F292" s="5" t="s">
        <v>39</v>
      </c>
      <c r="G292" s="5" t="s">
        <v>44</v>
      </c>
      <c r="H292" s="5" t="s">
        <v>29</v>
      </c>
      <c r="I292" s="6" t="s">
        <v>17</v>
      </c>
      <c r="J292" s="7" t="s">
        <v>18</v>
      </c>
      <c r="K292" s="7" t="s">
        <v>19</v>
      </c>
      <c r="L292" s="8">
        <v>1.770286082397E12</v>
      </c>
      <c r="M292" s="9"/>
      <c r="N292" s="10"/>
      <c r="O292" s="10"/>
      <c r="P292" s="10"/>
      <c r="Q292" s="10"/>
      <c r="R292" s="10"/>
      <c r="S292" s="10"/>
      <c r="T292" s="10"/>
      <c r="U292" s="10"/>
      <c r="V292" s="10"/>
    </row>
    <row r="293" ht="22.5" customHeight="1">
      <c r="A293" s="5">
        <v>1.9969545376E11</v>
      </c>
      <c r="B293" s="5" t="s">
        <v>374</v>
      </c>
      <c r="C293" s="5">
        <v>51922457967</v>
      </c>
      <c r="D293" s="5" t="s">
        <v>13</v>
      </c>
      <c r="E293" s="5">
        <v>8.7547393E7</v>
      </c>
      <c r="F293" s="5" t="s">
        <v>14</v>
      </c>
      <c r="G293" s="5" t="s">
        <v>15</v>
      </c>
      <c r="H293" s="5" t="s">
        <v>51</v>
      </c>
      <c r="I293" s="6" t="s">
        <v>17</v>
      </c>
      <c r="J293" s="7" t="s">
        <v>18</v>
      </c>
      <c r="K293" s="7" t="s">
        <v>19</v>
      </c>
      <c r="L293" s="8">
        <v>1.77029016894E12</v>
      </c>
      <c r="M293" s="9"/>
      <c r="N293" s="10"/>
      <c r="O293" s="10"/>
      <c r="P293" s="10"/>
      <c r="Q293" s="10"/>
      <c r="R293" s="10"/>
      <c r="S293" s="10"/>
      <c r="T293" s="10"/>
      <c r="U293" s="10"/>
      <c r="V293" s="10"/>
    </row>
    <row r="294" ht="22.5" customHeight="1">
      <c r="A294" s="5">
        <v>1.64105728106E11</v>
      </c>
      <c r="B294" s="5" t="s">
        <v>375</v>
      </c>
      <c r="C294" s="5">
        <v>51991690035</v>
      </c>
      <c r="D294" s="5" t="s">
        <v>13</v>
      </c>
      <c r="E294" s="5">
        <v>8.7547393E7</v>
      </c>
      <c r="F294" s="5" t="s">
        <v>39</v>
      </c>
      <c r="G294" s="5" t="s">
        <v>15</v>
      </c>
      <c r="H294" s="5" t="s">
        <v>114</v>
      </c>
      <c r="I294" s="6" t="s">
        <v>17</v>
      </c>
      <c r="J294" s="7" t="s">
        <v>18</v>
      </c>
      <c r="K294" s="7" t="s">
        <v>116</v>
      </c>
      <c r="L294" s="8">
        <v>1.770290314778E12</v>
      </c>
      <c r="M294" s="9"/>
      <c r="N294" s="10"/>
      <c r="O294" s="10"/>
      <c r="P294" s="10"/>
      <c r="Q294" s="10"/>
      <c r="R294" s="10"/>
      <c r="S294" s="10"/>
      <c r="T294" s="10"/>
      <c r="U294" s="10"/>
      <c r="V294" s="10"/>
    </row>
    <row r="295" ht="22.5" customHeight="1">
      <c r="A295" s="5">
        <v>1.99660390994E11</v>
      </c>
      <c r="B295" s="5" t="s">
        <v>376</v>
      </c>
      <c r="C295" s="5">
        <v>5511978351877</v>
      </c>
      <c r="D295" s="5" t="s">
        <v>13</v>
      </c>
      <c r="E295" s="5">
        <v>7.9360573E7</v>
      </c>
      <c r="F295" s="5" t="s">
        <v>39</v>
      </c>
      <c r="G295" s="5" t="s">
        <v>32</v>
      </c>
      <c r="H295" s="5" t="s">
        <v>55</v>
      </c>
      <c r="I295" s="6" t="s">
        <v>148</v>
      </c>
      <c r="J295" s="7" t="s">
        <v>34</v>
      </c>
      <c r="K295" s="7"/>
      <c r="L295" s="8">
        <v>1.770292794266E12</v>
      </c>
      <c r="M295" s="9"/>
      <c r="N295" s="10"/>
      <c r="O295" s="10"/>
      <c r="P295" s="10"/>
      <c r="Q295" s="10"/>
      <c r="R295" s="10"/>
      <c r="S295" s="10"/>
      <c r="T295" s="10"/>
      <c r="U295" s="10"/>
      <c r="V295" s="10"/>
    </row>
    <row r="296" ht="22.5" customHeight="1">
      <c r="A296" s="5">
        <v>1.71322283042E11</v>
      </c>
      <c r="B296" s="5" t="s">
        <v>377</v>
      </c>
      <c r="C296" s="5">
        <v>51961872165</v>
      </c>
      <c r="D296" s="5" t="s">
        <v>22</v>
      </c>
      <c r="E296" s="5">
        <v>8.0566583E7</v>
      </c>
      <c r="F296" s="5" t="s">
        <v>28</v>
      </c>
      <c r="G296" s="5" t="s">
        <v>44</v>
      </c>
      <c r="H296" s="5" t="s">
        <v>16</v>
      </c>
      <c r="I296" s="6" t="s">
        <v>17</v>
      </c>
      <c r="J296" s="7" t="s">
        <v>18</v>
      </c>
      <c r="K296" s="7" t="s">
        <v>116</v>
      </c>
      <c r="L296" s="8">
        <v>1.77029425594E12</v>
      </c>
      <c r="M296" s="9"/>
      <c r="N296" s="10"/>
      <c r="O296" s="10"/>
      <c r="P296" s="10"/>
      <c r="Q296" s="10"/>
      <c r="R296" s="10"/>
      <c r="S296" s="10"/>
      <c r="T296" s="10"/>
      <c r="U296" s="10"/>
      <c r="V296" s="10"/>
    </row>
    <row r="297" ht="22.5" customHeight="1">
      <c r="A297" s="5">
        <v>1.99707102235E11</v>
      </c>
      <c r="B297" s="5" t="s">
        <v>378</v>
      </c>
      <c r="C297" s="5">
        <v>51902884123</v>
      </c>
      <c r="D297" s="5" t="s">
        <v>13</v>
      </c>
      <c r="E297" s="5">
        <v>8.7547393E7</v>
      </c>
      <c r="F297" s="5" t="s">
        <v>93</v>
      </c>
      <c r="G297" s="5" t="s">
        <v>15</v>
      </c>
      <c r="H297" s="5" t="s">
        <v>51</v>
      </c>
      <c r="I297" s="6" t="s">
        <v>17</v>
      </c>
      <c r="J297" s="7" t="s">
        <v>18</v>
      </c>
      <c r="K297" s="7" t="s">
        <v>19</v>
      </c>
      <c r="L297" s="8">
        <v>1.770294807256E12</v>
      </c>
      <c r="M297" s="9"/>
      <c r="N297" s="10"/>
      <c r="O297" s="10"/>
      <c r="P297" s="10"/>
      <c r="Q297" s="10"/>
      <c r="R297" s="10"/>
      <c r="S297" s="10"/>
      <c r="T297" s="10"/>
      <c r="U297" s="10"/>
      <c r="V297" s="10"/>
    </row>
    <row r="298" ht="22.5" customHeight="1">
      <c r="A298" s="5">
        <v>1.99696726107E11</v>
      </c>
      <c r="B298" s="5" t="s">
        <v>379</v>
      </c>
      <c r="C298" s="5">
        <v>51960340026</v>
      </c>
      <c r="D298" s="5" t="s">
        <v>13</v>
      </c>
      <c r="E298" s="5">
        <v>8.0566583E7</v>
      </c>
      <c r="F298" s="5" t="s">
        <v>39</v>
      </c>
      <c r="G298" s="5" t="s">
        <v>15</v>
      </c>
      <c r="H298" s="5" t="s">
        <v>51</v>
      </c>
      <c r="I298" s="6" t="s">
        <v>17</v>
      </c>
      <c r="J298" s="7" t="s">
        <v>18</v>
      </c>
      <c r="K298" s="7" t="s">
        <v>19</v>
      </c>
      <c r="L298" s="8">
        <v>1.77029530032E12</v>
      </c>
      <c r="M298" s="9"/>
      <c r="N298" s="10"/>
      <c r="O298" s="10"/>
      <c r="P298" s="10"/>
      <c r="Q298" s="10"/>
      <c r="R298" s="10"/>
      <c r="S298" s="10"/>
      <c r="T298" s="10"/>
      <c r="U298" s="10"/>
      <c r="V298" s="10"/>
    </row>
    <row r="299" ht="22.5" customHeight="1">
      <c r="A299" s="5">
        <v>1.99711381683E11</v>
      </c>
      <c r="B299" s="5" t="s">
        <v>380</v>
      </c>
      <c r="C299" s="5">
        <v>51981192380</v>
      </c>
      <c r="D299" s="5" t="s">
        <v>13</v>
      </c>
      <c r="E299" s="5">
        <v>8.0566583E7</v>
      </c>
      <c r="F299" s="5" t="s">
        <v>65</v>
      </c>
      <c r="G299" s="5" t="s">
        <v>32</v>
      </c>
      <c r="H299" s="5" t="s">
        <v>66</v>
      </c>
      <c r="I299" s="6" t="s">
        <v>17</v>
      </c>
      <c r="J299" s="7" t="s">
        <v>18</v>
      </c>
      <c r="K299" s="7" t="s">
        <v>19</v>
      </c>
      <c r="L299" s="8">
        <v>1.770295341189E12</v>
      </c>
      <c r="M299" s="9"/>
      <c r="N299" s="10"/>
      <c r="O299" s="10"/>
      <c r="P299" s="10"/>
      <c r="Q299" s="10"/>
      <c r="R299" s="10"/>
      <c r="S299" s="10"/>
      <c r="T299" s="10"/>
      <c r="U299" s="10"/>
      <c r="V299" s="10"/>
    </row>
    <row r="300" ht="22.5" customHeight="1">
      <c r="A300" s="5">
        <v>1.99695856233E11</v>
      </c>
      <c r="B300" s="5" t="s">
        <v>381</v>
      </c>
      <c r="C300" s="5">
        <v>51988141600</v>
      </c>
      <c r="D300" s="5" t="s">
        <v>13</v>
      </c>
      <c r="E300" s="5">
        <v>8.7547393E7</v>
      </c>
      <c r="F300" s="5" t="s">
        <v>28</v>
      </c>
      <c r="G300" s="5" t="s">
        <v>15</v>
      </c>
      <c r="H300" s="5" t="s">
        <v>16</v>
      </c>
      <c r="I300" s="6" t="s">
        <v>17</v>
      </c>
      <c r="J300" s="7" t="s">
        <v>18</v>
      </c>
      <c r="K300" s="7" t="s">
        <v>19</v>
      </c>
      <c r="L300" s="8">
        <v>1.770295425493E12</v>
      </c>
      <c r="M300" s="9"/>
      <c r="N300" s="10"/>
      <c r="O300" s="10"/>
      <c r="P300" s="10"/>
      <c r="Q300" s="10"/>
      <c r="R300" s="10"/>
      <c r="S300" s="10"/>
      <c r="T300" s="10"/>
      <c r="U300" s="10"/>
      <c r="V300" s="10"/>
    </row>
    <row r="301" ht="22.5" customHeight="1">
      <c r="A301" s="5">
        <v>1.99713746535E11</v>
      </c>
      <c r="B301" s="5" t="s">
        <v>382</v>
      </c>
      <c r="C301" s="5">
        <v>51954396936</v>
      </c>
      <c r="D301" s="5" t="s">
        <v>13</v>
      </c>
      <c r="E301" s="5">
        <v>8.0566583E7</v>
      </c>
      <c r="F301" s="5" t="s">
        <v>28</v>
      </c>
      <c r="G301" s="5" t="s">
        <v>15</v>
      </c>
      <c r="H301" s="5" t="s">
        <v>16</v>
      </c>
      <c r="I301" s="6" t="s">
        <v>17</v>
      </c>
      <c r="J301" s="7" t="s">
        <v>18</v>
      </c>
      <c r="K301" s="7" t="s">
        <v>19</v>
      </c>
      <c r="L301" s="8">
        <v>1.770297734296E12</v>
      </c>
      <c r="M301" s="9"/>
      <c r="N301" s="10"/>
      <c r="O301" s="10"/>
      <c r="P301" s="10"/>
      <c r="Q301" s="10"/>
      <c r="R301" s="10"/>
      <c r="S301" s="10"/>
      <c r="T301" s="10"/>
      <c r="U301" s="10"/>
      <c r="V301" s="10"/>
    </row>
    <row r="302" ht="22.5" customHeight="1">
      <c r="A302" s="5">
        <v>1.997300294E11</v>
      </c>
      <c r="B302" s="5" t="s">
        <v>383</v>
      </c>
      <c r="C302" s="5">
        <v>51946272287</v>
      </c>
      <c r="D302" s="5" t="s">
        <v>22</v>
      </c>
      <c r="E302" s="5">
        <v>8.7547393E7</v>
      </c>
      <c r="F302" s="5" t="s">
        <v>39</v>
      </c>
      <c r="G302" s="5" t="s">
        <v>44</v>
      </c>
      <c r="H302" s="5" t="s">
        <v>16</v>
      </c>
      <c r="I302" s="6" t="s">
        <v>49</v>
      </c>
      <c r="J302" s="7" t="s">
        <v>124</v>
      </c>
      <c r="K302" s="7" t="s">
        <v>125</v>
      </c>
      <c r="L302" s="8">
        <v>1.770300818043E12</v>
      </c>
      <c r="M302" s="9"/>
      <c r="N302" s="10"/>
      <c r="O302" s="10"/>
      <c r="P302" s="10"/>
      <c r="Q302" s="10"/>
      <c r="R302" s="10"/>
      <c r="S302" s="10"/>
      <c r="T302" s="10"/>
      <c r="U302" s="10"/>
      <c r="V302" s="10"/>
    </row>
    <row r="303" ht="22.5" customHeight="1">
      <c r="A303" s="5">
        <v>1.7663820705E11</v>
      </c>
      <c r="B303" s="5" t="s">
        <v>384</v>
      </c>
      <c r="C303" s="5">
        <v>51978717279</v>
      </c>
      <c r="D303" s="5" t="s">
        <v>13</v>
      </c>
      <c r="E303" s="5">
        <v>8.0566583E7</v>
      </c>
      <c r="F303" s="5" t="s">
        <v>31</v>
      </c>
      <c r="G303" s="5" t="s">
        <v>32</v>
      </c>
      <c r="H303" s="5" t="s">
        <v>16</v>
      </c>
      <c r="I303" s="6" t="s">
        <v>49</v>
      </c>
      <c r="J303" s="7" t="s">
        <v>34</v>
      </c>
      <c r="K303" s="7"/>
      <c r="L303" s="8">
        <v>1.770304332618E12</v>
      </c>
      <c r="M303" s="9"/>
      <c r="N303" s="10"/>
      <c r="O303" s="10"/>
      <c r="P303" s="10"/>
      <c r="Q303" s="10"/>
      <c r="R303" s="10"/>
      <c r="S303" s="10"/>
      <c r="T303" s="10"/>
      <c r="U303" s="10"/>
      <c r="V303" s="10"/>
    </row>
    <row r="304" ht="22.5" customHeight="1">
      <c r="A304" s="5">
        <v>1.99748953929E11</v>
      </c>
      <c r="B304" s="5" t="s">
        <v>385</v>
      </c>
      <c r="C304" s="5">
        <v>14075496076</v>
      </c>
      <c r="D304" s="5" t="s">
        <v>13</v>
      </c>
      <c r="E304" s="5">
        <v>8.7547393E7</v>
      </c>
      <c r="F304" s="5" t="s">
        <v>28</v>
      </c>
      <c r="G304" s="5" t="s">
        <v>15</v>
      </c>
      <c r="H304" s="5" t="s">
        <v>51</v>
      </c>
      <c r="I304" s="6" t="s">
        <v>17</v>
      </c>
      <c r="J304" s="7" t="s">
        <v>18</v>
      </c>
      <c r="K304" s="7" t="s">
        <v>19</v>
      </c>
      <c r="L304" s="8">
        <v>1.770304719311E12</v>
      </c>
      <c r="M304" s="9"/>
      <c r="N304" s="10"/>
      <c r="O304" s="10"/>
      <c r="P304" s="10"/>
      <c r="Q304" s="10"/>
      <c r="R304" s="10"/>
      <c r="S304" s="10"/>
      <c r="T304" s="10"/>
      <c r="U304" s="10"/>
      <c r="V304" s="10"/>
    </row>
    <row r="305" ht="22.5" customHeight="1">
      <c r="A305" s="5">
        <v>1.99753676326E11</v>
      </c>
      <c r="B305" s="5" t="s">
        <v>386</v>
      </c>
      <c r="C305" s="5">
        <v>526679530556</v>
      </c>
      <c r="D305" s="5" t="s">
        <v>13</v>
      </c>
      <c r="E305" s="5">
        <v>8.0566583E7</v>
      </c>
      <c r="F305" s="5" t="s">
        <v>31</v>
      </c>
      <c r="G305" s="5">
        <v>50</v>
      </c>
      <c r="H305" s="5" t="s">
        <v>24</v>
      </c>
      <c r="I305" s="6" t="s">
        <v>36</v>
      </c>
      <c r="J305" s="7" t="s">
        <v>18</v>
      </c>
      <c r="K305" s="7" t="s">
        <v>61</v>
      </c>
      <c r="L305" s="8">
        <v>1.770306517197E12</v>
      </c>
      <c r="M305" s="9"/>
      <c r="N305" s="10"/>
      <c r="O305" s="10"/>
      <c r="P305" s="10"/>
      <c r="Q305" s="10"/>
      <c r="R305" s="10"/>
      <c r="S305" s="10"/>
      <c r="T305" s="10"/>
      <c r="U305" s="10"/>
      <c r="V305" s="10"/>
    </row>
    <row r="306" ht="22.5" customHeight="1">
      <c r="A306" s="5">
        <v>1.99753729095E11</v>
      </c>
      <c r="B306" s="5" t="s">
        <v>387</v>
      </c>
      <c r="C306" s="5">
        <v>5594999346005</v>
      </c>
      <c r="D306" s="5" t="s">
        <v>13</v>
      </c>
      <c r="E306" s="5">
        <v>7.9360573E7</v>
      </c>
      <c r="F306" s="5" t="s">
        <v>31</v>
      </c>
      <c r="G306" s="5" t="s">
        <v>15</v>
      </c>
      <c r="H306" s="5" t="s">
        <v>24</v>
      </c>
      <c r="I306" s="6" t="s">
        <v>63</v>
      </c>
      <c r="J306" s="7" t="s">
        <v>34</v>
      </c>
      <c r="K306" s="7"/>
      <c r="L306" s="8">
        <v>1.770306920768E12</v>
      </c>
      <c r="M306" s="9"/>
      <c r="N306" s="10"/>
      <c r="O306" s="10"/>
      <c r="P306" s="10"/>
      <c r="Q306" s="10"/>
      <c r="R306" s="10"/>
      <c r="S306" s="10"/>
      <c r="T306" s="10"/>
      <c r="U306" s="10"/>
      <c r="V306" s="10"/>
    </row>
    <row r="307" ht="22.5" customHeight="1">
      <c r="A307" s="5">
        <v>1.99754721209E11</v>
      </c>
      <c r="B307" s="5" t="s">
        <v>388</v>
      </c>
      <c r="C307" s="5">
        <v>51946363901</v>
      </c>
      <c r="D307" s="5" t="s">
        <v>38</v>
      </c>
      <c r="E307" s="5">
        <v>8.7547393E7</v>
      </c>
      <c r="F307" s="5"/>
      <c r="G307" s="5"/>
      <c r="H307" s="5"/>
      <c r="I307" s="6"/>
      <c r="J307" s="7" t="s">
        <v>18</v>
      </c>
      <c r="K307" s="7" t="s">
        <v>19</v>
      </c>
      <c r="L307" s="8">
        <v>1.770307154706E12</v>
      </c>
      <c r="M307" s="9"/>
      <c r="N307" s="10"/>
      <c r="O307" s="10"/>
      <c r="P307" s="10"/>
      <c r="Q307" s="10"/>
      <c r="R307" s="10"/>
      <c r="S307" s="10"/>
      <c r="T307" s="10"/>
      <c r="U307" s="10"/>
      <c r="V307" s="10"/>
    </row>
    <row r="308" ht="22.5" customHeight="1">
      <c r="A308" s="5">
        <v>1.99753413744E11</v>
      </c>
      <c r="B308" s="5" t="s">
        <v>389</v>
      </c>
      <c r="C308" s="5">
        <v>527717120481</v>
      </c>
      <c r="D308" s="5" t="s">
        <v>13</v>
      </c>
      <c r="E308" s="5">
        <v>8.0566583E7</v>
      </c>
      <c r="F308" s="5" t="s">
        <v>65</v>
      </c>
      <c r="G308" s="5" t="s">
        <v>32</v>
      </c>
      <c r="H308" s="5" t="s">
        <v>24</v>
      </c>
      <c r="I308" s="6" t="s">
        <v>17</v>
      </c>
      <c r="J308" s="7" t="s">
        <v>18</v>
      </c>
      <c r="K308" s="7" t="s">
        <v>61</v>
      </c>
      <c r="L308" s="8">
        <v>1.770307395935E12</v>
      </c>
      <c r="M308" s="9"/>
      <c r="N308" s="10"/>
      <c r="O308" s="10"/>
      <c r="P308" s="10"/>
      <c r="Q308" s="10"/>
      <c r="R308" s="10"/>
      <c r="S308" s="10"/>
      <c r="T308" s="10"/>
      <c r="U308" s="10"/>
      <c r="V308" s="10"/>
    </row>
    <row r="309" ht="22.5" customHeight="1">
      <c r="A309" s="5">
        <v>1.99779872164E11</v>
      </c>
      <c r="B309" s="5" t="s">
        <v>390</v>
      </c>
      <c r="C309" s="5">
        <v>51989561021</v>
      </c>
      <c r="D309" s="5" t="s">
        <v>22</v>
      </c>
      <c r="E309" s="5">
        <v>8.7547393E7</v>
      </c>
      <c r="F309" s="5" t="s">
        <v>28</v>
      </c>
      <c r="G309" s="5" t="s">
        <v>32</v>
      </c>
      <c r="H309" s="5" t="s">
        <v>33</v>
      </c>
      <c r="I309" s="6" t="s">
        <v>17</v>
      </c>
      <c r="J309" s="7" t="s">
        <v>25</v>
      </c>
      <c r="K309" s="7" t="s">
        <v>26</v>
      </c>
      <c r="L309" s="8">
        <v>1.770309255302E12</v>
      </c>
      <c r="M309" s="9"/>
      <c r="N309" s="10"/>
      <c r="O309" s="10"/>
      <c r="P309" s="10"/>
      <c r="Q309" s="10"/>
      <c r="R309" s="10"/>
      <c r="S309" s="10"/>
      <c r="T309" s="10"/>
      <c r="U309" s="10"/>
      <c r="V309" s="10"/>
    </row>
    <row r="310" ht="22.5" customHeight="1">
      <c r="A310" s="5">
        <v>1.99759640464E11</v>
      </c>
      <c r="B310" s="5" t="s">
        <v>391</v>
      </c>
      <c r="C310" s="5">
        <v>51908819021</v>
      </c>
      <c r="D310" s="5" t="s">
        <v>13</v>
      </c>
      <c r="E310" s="5">
        <v>8.7547393E7</v>
      </c>
      <c r="F310" s="5" t="s">
        <v>39</v>
      </c>
      <c r="G310" s="5" t="s">
        <v>15</v>
      </c>
      <c r="H310" s="5" t="s">
        <v>114</v>
      </c>
      <c r="I310" s="6" t="s">
        <v>17</v>
      </c>
      <c r="J310" s="7" t="s">
        <v>34</v>
      </c>
      <c r="K310" s="7"/>
      <c r="L310" s="8">
        <v>1.770311161571E12</v>
      </c>
      <c r="M310" s="9"/>
      <c r="N310" s="10"/>
      <c r="O310" s="10"/>
      <c r="P310" s="10"/>
      <c r="Q310" s="10"/>
      <c r="R310" s="10"/>
      <c r="S310" s="10"/>
      <c r="T310" s="10"/>
      <c r="U310" s="10"/>
      <c r="V310" s="10"/>
    </row>
    <row r="311" ht="22.5" customHeight="1">
      <c r="A311" s="5">
        <v>1.99761862229E11</v>
      </c>
      <c r="B311" s="5" t="s">
        <v>392</v>
      </c>
      <c r="C311" s="5">
        <v>51940393758</v>
      </c>
      <c r="D311" s="5" t="s">
        <v>22</v>
      </c>
      <c r="E311" s="5">
        <v>8.0566583E7</v>
      </c>
      <c r="F311" s="5" t="s">
        <v>39</v>
      </c>
      <c r="G311" s="5" t="s">
        <v>44</v>
      </c>
      <c r="H311" s="5" t="s">
        <v>69</v>
      </c>
      <c r="I311" s="6" t="s">
        <v>17</v>
      </c>
      <c r="J311" s="7" t="s">
        <v>34</v>
      </c>
      <c r="K311" s="7"/>
      <c r="L311" s="8">
        <v>1.77031118465E12</v>
      </c>
      <c r="M311" s="9"/>
      <c r="N311" s="10"/>
      <c r="O311" s="10"/>
      <c r="P311" s="10"/>
      <c r="Q311" s="10"/>
      <c r="R311" s="10"/>
      <c r="S311" s="10"/>
      <c r="T311" s="10"/>
      <c r="U311" s="10"/>
      <c r="V311" s="10"/>
    </row>
    <row r="312" ht="22.5" customHeight="1">
      <c r="A312" s="5">
        <v>1.96244360823E11</v>
      </c>
      <c r="B312" s="5" t="s">
        <v>393</v>
      </c>
      <c r="C312" s="5">
        <v>51972610350</v>
      </c>
      <c r="D312" s="5"/>
      <c r="E312" s="5">
        <v>8.5569856E7</v>
      </c>
      <c r="F312" s="5" t="s">
        <v>65</v>
      </c>
      <c r="G312" s="5" t="s">
        <v>104</v>
      </c>
      <c r="H312" s="5"/>
      <c r="I312" s="6"/>
      <c r="J312" s="7" t="s">
        <v>177</v>
      </c>
      <c r="K312" s="7" t="s">
        <v>394</v>
      </c>
      <c r="L312" s="8">
        <v>1.770312212037E12</v>
      </c>
      <c r="M312" s="9"/>
      <c r="N312" s="10"/>
      <c r="O312" s="10"/>
      <c r="P312" s="10"/>
      <c r="Q312" s="10"/>
      <c r="R312" s="10"/>
      <c r="S312" s="10"/>
      <c r="T312" s="10"/>
      <c r="U312" s="10"/>
      <c r="V312" s="10"/>
    </row>
    <row r="313" ht="22.5" customHeight="1">
      <c r="A313" s="5">
        <v>1.9978525764E11</v>
      </c>
      <c r="B313" s="5" t="s">
        <v>395</v>
      </c>
      <c r="C313" s="5">
        <v>5551983119390</v>
      </c>
      <c r="D313" s="5" t="s">
        <v>22</v>
      </c>
      <c r="E313" s="5">
        <v>7.9360573E7</v>
      </c>
      <c r="F313" s="5" t="s">
        <v>28</v>
      </c>
      <c r="G313" s="5" t="s">
        <v>44</v>
      </c>
      <c r="H313" s="5" t="s">
        <v>396</v>
      </c>
      <c r="I313" s="6" t="s">
        <v>49</v>
      </c>
      <c r="J313" s="7" t="s">
        <v>34</v>
      </c>
      <c r="K313" s="7"/>
      <c r="L313" s="8">
        <v>1.770312850458E12</v>
      </c>
      <c r="M313" s="9"/>
      <c r="N313" s="10"/>
      <c r="O313" s="10"/>
      <c r="P313" s="10"/>
      <c r="Q313" s="10"/>
      <c r="R313" s="10"/>
      <c r="S313" s="10"/>
      <c r="T313" s="10"/>
      <c r="U313" s="10"/>
      <c r="V313" s="10"/>
    </row>
    <row r="314" ht="22.5" customHeight="1">
      <c r="A314" s="5">
        <v>1.9978367058E11</v>
      </c>
      <c r="B314" s="5" t="s">
        <v>397</v>
      </c>
      <c r="C314" s="5">
        <v>51940417957</v>
      </c>
      <c r="D314" s="5" t="s">
        <v>13</v>
      </c>
      <c r="E314" s="5">
        <v>8.0566583E7</v>
      </c>
      <c r="F314" s="5" t="s">
        <v>65</v>
      </c>
      <c r="G314" s="5" t="s">
        <v>32</v>
      </c>
      <c r="H314" s="5" t="s">
        <v>114</v>
      </c>
      <c r="I314" s="6" t="s">
        <v>17</v>
      </c>
      <c r="J314" s="7" t="s">
        <v>34</v>
      </c>
      <c r="K314" s="7"/>
      <c r="L314" s="8">
        <v>1.770312901886E12</v>
      </c>
      <c r="M314" s="9"/>
      <c r="N314" s="10"/>
      <c r="O314" s="10"/>
      <c r="P314" s="10"/>
      <c r="Q314" s="10"/>
      <c r="R314" s="10"/>
      <c r="S314" s="10"/>
      <c r="T314" s="10"/>
      <c r="U314" s="10"/>
      <c r="V314" s="10"/>
    </row>
    <row r="315" ht="22.5" customHeight="1">
      <c r="A315" s="5">
        <v>1.99784040062E11</v>
      </c>
      <c r="B315" s="5" t="s">
        <v>398</v>
      </c>
      <c r="C315" s="5">
        <v>51953266050</v>
      </c>
      <c r="D315" s="5" t="s">
        <v>13</v>
      </c>
      <c r="E315" s="5">
        <v>8.0566583E7</v>
      </c>
      <c r="F315" s="5" t="s">
        <v>28</v>
      </c>
      <c r="G315" s="5" t="s">
        <v>32</v>
      </c>
      <c r="H315" s="5" t="s">
        <v>66</v>
      </c>
      <c r="I315" s="6" t="s">
        <v>17</v>
      </c>
      <c r="J315" s="7" t="s">
        <v>58</v>
      </c>
      <c r="K315" s="11" t="s">
        <v>59</v>
      </c>
      <c r="L315" s="8">
        <v>1.770313123706E12</v>
      </c>
      <c r="M315" s="9"/>
      <c r="N315" s="10"/>
      <c r="O315" s="10"/>
      <c r="P315" s="10"/>
      <c r="Q315" s="10"/>
      <c r="R315" s="10"/>
      <c r="S315" s="10"/>
      <c r="T315" s="10"/>
      <c r="U315" s="10"/>
      <c r="V315" s="10"/>
    </row>
    <row r="316" ht="22.5" customHeight="1">
      <c r="A316" s="5">
        <v>1.99790144007E11</v>
      </c>
      <c r="B316" s="5" t="s">
        <v>399</v>
      </c>
      <c r="C316" s="5">
        <v>525620354050</v>
      </c>
      <c r="D316" s="5" t="s">
        <v>13</v>
      </c>
      <c r="E316" s="5">
        <v>8.7547393E7</v>
      </c>
      <c r="F316" s="5" t="s">
        <v>28</v>
      </c>
      <c r="G316" s="5" t="s">
        <v>15</v>
      </c>
      <c r="H316" s="5" t="s">
        <v>24</v>
      </c>
      <c r="I316" s="6" t="s">
        <v>17</v>
      </c>
      <c r="J316" s="7" t="s">
        <v>18</v>
      </c>
      <c r="K316" s="7" t="s">
        <v>61</v>
      </c>
      <c r="L316" s="8">
        <v>1.770316119637E12</v>
      </c>
      <c r="M316" s="9"/>
      <c r="N316" s="10"/>
      <c r="O316" s="10"/>
      <c r="P316" s="10"/>
      <c r="Q316" s="10"/>
      <c r="R316" s="10"/>
      <c r="S316" s="10"/>
      <c r="T316" s="10"/>
      <c r="U316" s="10"/>
      <c r="V316" s="10"/>
    </row>
    <row r="317" ht="22.5" customHeight="1">
      <c r="A317" s="5">
        <v>1.99791327122E11</v>
      </c>
      <c r="B317" s="5" t="s">
        <v>400</v>
      </c>
      <c r="C317" s="5">
        <v>5584991910151</v>
      </c>
      <c r="D317" s="5" t="s">
        <v>13</v>
      </c>
      <c r="E317" s="5">
        <v>7.9360573E7</v>
      </c>
      <c r="F317" s="5" t="s">
        <v>31</v>
      </c>
      <c r="G317" s="5" t="s">
        <v>32</v>
      </c>
      <c r="H317" s="5" t="s">
        <v>16</v>
      </c>
      <c r="I317" s="6" t="s">
        <v>17</v>
      </c>
      <c r="J317" s="7" t="s">
        <v>34</v>
      </c>
      <c r="K317" s="7"/>
      <c r="L317" s="8">
        <v>1.770316467926E12</v>
      </c>
      <c r="M317" s="9"/>
      <c r="N317" s="10"/>
      <c r="O317" s="10"/>
      <c r="P317" s="10"/>
      <c r="Q317" s="10"/>
      <c r="R317" s="10"/>
      <c r="S317" s="10"/>
      <c r="T317" s="10"/>
      <c r="U317" s="10"/>
      <c r="V317" s="10"/>
    </row>
    <row r="318" ht="22.5" customHeight="1">
      <c r="A318" s="5">
        <v>1.99808230975E11</v>
      </c>
      <c r="B318" s="5" t="s">
        <v>401</v>
      </c>
      <c r="C318" s="5">
        <v>51989833228</v>
      </c>
      <c r="D318" s="5" t="s">
        <v>38</v>
      </c>
      <c r="E318" s="5">
        <v>8.0566583E7</v>
      </c>
      <c r="F318" s="5" t="s">
        <v>14</v>
      </c>
      <c r="G318" s="5" t="s">
        <v>15</v>
      </c>
      <c r="H318" s="5" t="s">
        <v>51</v>
      </c>
      <c r="I318" s="6" t="s">
        <v>17</v>
      </c>
      <c r="J318" s="7" t="s">
        <v>18</v>
      </c>
      <c r="K318" s="7" t="s">
        <v>19</v>
      </c>
      <c r="L318" s="8">
        <v>1.770317016094E12</v>
      </c>
      <c r="M318" s="9"/>
      <c r="N318" s="10"/>
      <c r="O318" s="10"/>
      <c r="P318" s="10"/>
      <c r="Q318" s="10"/>
      <c r="R318" s="10"/>
      <c r="S318" s="10"/>
      <c r="T318" s="10"/>
      <c r="U318" s="10"/>
      <c r="V318" s="10"/>
    </row>
    <row r="319" ht="22.5" customHeight="1">
      <c r="A319" s="5">
        <v>1.99791569194E11</v>
      </c>
      <c r="B319" s="5" t="s">
        <v>402</v>
      </c>
      <c r="C319" s="5">
        <v>526566578376</v>
      </c>
      <c r="D319" s="5" t="s">
        <v>13</v>
      </c>
      <c r="E319" s="5">
        <v>8.0566583E7</v>
      </c>
      <c r="F319" s="5" t="s">
        <v>39</v>
      </c>
      <c r="G319" s="5" t="s">
        <v>15</v>
      </c>
      <c r="H319" s="5" t="s">
        <v>51</v>
      </c>
      <c r="I319" s="6" t="s">
        <v>36</v>
      </c>
      <c r="J319" s="7" t="s">
        <v>403</v>
      </c>
      <c r="K319" s="7">
        <v>236025.0</v>
      </c>
      <c r="L319" s="8">
        <v>1.770317160023E12</v>
      </c>
      <c r="M319" s="9"/>
      <c r="N319" s="10"/>
      <c r="O319" s="10"/>
      <c r="P319" s="10"/>
      <c r="Q319" s="10"/>
      <c r="R319" s="10"/>
      <c r="S319" s="10"/>
      <c r="T319" s="10"/>
      <c r="U319" s="10"/>
      <c r="V319" s="10"/>
    </row>
    <row r="320" ht="22.5" customHeight="1">
      <c r="A320" s="5">
        <v>1.99795794327E11</v>
      </c>
      <c r="B320" s="5" t="s">
        <v>404</v>
      </c>
      <c r="C320" s="5">
        <v>529931268394</v>
      </c>
      <c r="D320" s="5" t="s">
        <v>13</v>
      </c>
      <c r="E320" s="5">
        <v>8.7547393E7</v>
      </c>
      <c r="F320" s="5" t="s">
        <v>28</v>
      </c>
      <c r="G320" s="5" t="s">
        <v>32</v>
      </c>
      <c r="H320" s="5" t="s">
        <v>165</v>
      </c>
      <c r="I320" s="6" t="s">
        <v>17</v>
      </c>
      <c r="J320" s="7" t="s">
        <v>34</v>
      </c>
      <c r="K320" s="7"/>
      <c r="L320" s="8">
        <v>1.770319027224E12</v>
      </c>
      <c r="M320" s="9"/>
      <c r="N320" s="10"/>
      <c r="O320" s="10"/>
      <c r="P320" s="10"/>
      <c r="Q320" s="10"/>
      <c r="R320" s="10"/>
      <c r="S320" s="10"/>
      <c r="T320" s="10"/>
      <c r="U320" s="10"/>
      <c r="V320" s="10"/>
    </row>
    <row r="321" ht="22.5" customHeight="1">
      <c r="A321" s="5">
        <v>1.99795873203E11</v>
      </c>
      <c r="B321" s="5" t="s">
        <v>405</v>
      </c>
      <c r="C321" s="5">
        <v>51955736733</v>
      </c>
      <c r="D321" s="5" t="s">
        <v>13</v>
      </c>
      <c r="E321" s="5">
        <v>8.7547393E7</v>
      </c>
      <c r="F321" s="5"/>
      <c r="G321" s="5" t="s">
        <v>15</v>
      </c>
      <c r="H321" s="5" t="s">
        <v>180</v>
      </c>
      <c r="I321" s="6" t="s">
        <v>17</v>
      </c>
      <c r="J321" s="7" t="s">
        <v>18</v>
      </c>
      <c r="K321" s="7" t="s">
        <v>19</v>
      </c>
      <c r="L321" s="8">
        <v>1.770319548285E12</v>
      </c>
      <c r="M321" s="9"/>
      <c r="N321" s="10"/>
      <c r="O321" s="10"/>
      <c r="P321" s="10"/>
      <c r="Q321" s="10"/>
      <c r="R321" s="10"/>
      <c r="S321" s="10"/>
      <c r="T321" s="10"/>
      <c r="U321" s="10"/>
      <c r="V321" s="10"/>
    </row>
    <row r="322" ht="22.5" customHeight="1">
      <c r="A322" s="5">
        <v>1.99806708583E11</v>
      </c>
      <c r="B322" s="5" t="s">
        <v>406</v>
      </c>
      <c r="C322" s="5">
        <v>51988228822</v>
      </c>
      <c r="D322" s="5" t="s">
        <v>13</v>
      </c>
      <c r="E322" s="5">
        <v>8.7547393E7</v>
      </c>
      <c r="F322" s="5" t="s">
        <v>65</v>
      </c>
      <c r="G322" s="5" t="s">
        <v>15</v>
      </c>
      <c r="H322" s="5" t="s">
        <v>24</v>
      </c>
      <c r="I322" s="6"/>
      <c r="J322" s="7" t="s">
        <v>18</v>
      </c>
      <c r="K322" s="7" t="s">
        <v>19</v>
      </c>
      <c r="L322" s="8">
        <v>1.770319848096E12</v>
      </c>
      <c r="M322" s="9"/>
      <c r="N322" s="10"/>
      <c r="O322" s="10"/>
      <c r="P322" s="10"/>
      <c r="Q322" s="10"/>
      <c r="R322" s="10"/>
      <c r="S322" s="10"/>
      <c r="T322" s="10"/>
      <c r="U322" s="10"/>
      <c r="V322" s="10"/>
    </row>
    <row r="323" ht="22.5" customHeight="1">
      <c r="A323" s="5">
        <v>1.71055376055E11</v>
      </c>
      <c r="B323" s="5" t="s">
        <v>315</v>
      </c>
      <c r="C323" s="5">
        <v>5581999832887</v>
      </c>
      <c r="D323" s="5" t="s">
        <v>103</v>
      </c>
      <c r="E323" s="5">
        <v>7.9360573E7</v>
      </c>
      <c r="F323" s="5" t="s">
        <v>39</v>
      </c>
      <c r="G323" s="5" t="s">
        <v>79</v>
      </c>
      <c r="H323" s="5" t="s">
        <v>112</v>
      </c>
      <c r="I323" s="6" t="s">
        <v>63</v>
      </c>
      <c r="J323" s="7" t="s">
        <v>58</v>
      </c>
      <c r="K323" s="11" t="s">
        <v>59</v>
      </c>
      <c r="L323" s="8">
        <v>1.770320960059E12</v>
      </c>
      <c r="M323" s="9"/>
      <c r="N323" s="10"/>
      <c r="O323" s="10"/>
      <c r="P323" s="10"/>
      <c r="Q323" s="10"/>
      <c r="R323" s="10"/>
      <c r="S323" s="10"/>
      <c r="T323" s="10"/>
      <c r="U323" s="10"/>
      <c r="V323" s="10"/>
    </row>
    <row r="324" ht="22.5" customHeight="1">
      <c r="A324" s="5">
        <v>1.9982446069E11</v>
      </c>
      <c r="B324" s="5" t="s">
        <v>407</v>
      </c>
      <c r="C324" s="5">
        <v>51915951694</v>
      </c>
      <c r="D324" s="5" t="s">
        <v>13</v>
      </c>
      <c r="E324" s="5">
        <v>8.7547393E7</v>
      </c>
      <c r="F324" s="5" t="s">
        <v>39</v>
      </c>
      <c r="G324" s="5" t="s">
        <v>15</v>
      </c>
      <c r="H324" s="5" t="s">
        <v>16</v>
      </c>
      <c r="I324" s="6" t="s">
        <v>17</v>
      </c>
      <c r="J324" s="7" t="s">
        <v>18</v>
      </c>
      <c r="K324" s="7" t="s">
        <v>19</v>
      </c>
      <c r="L324" s="8">
        <v>1.770324877096E12</v>
      </c>
      <c r="M324" s="9"/>
      <c r="N324" s="10"/>
      <c r="O324" s="10"/>
      <c r="P324" s="10"/>
      <c r="Q324" s="10"/>
      <c r="R324" s="10"/>
      <c r="S324" s="10"/>
      <c r="T324" s="10"/>
      <c r="U324" s="10"/>
      <c r="V324" s="10"/>
    </row>
    <row r="325" ht="22.5" customHeight="1">
      <c r="A325" s="5">
        <v>1.99845846702E11</v>
      </c>
      <c r="B325" s="5" t="s">
        <v>408</v>
      </c>
      <c r="C325" s="5">
        <v>5517982121868</v>
      </c>
      <c r="D325" s="5" t="s">
        <v>13</v>
      </c>
      <c r="E325" s="5">
        <v>7.9360573E7</v>
      </c>
      <c r="F325" s="5" t="s">
        <v>28</v>
      </c>
      <c r="G325" s="5" t="s">
        <v>15</v>
      </c>
      <c r="H325" s="5" t="s">
        <v>51</v>
      </c>
      <c r="I325" s="6" t="s">
        <v>17</v>
      </c>
      <c r="J325" s="7" t="s">
        <v>34</v>
      </c>
      <c r="K325" s="7"/>
      <c r="L325" s="8">
        <v>1.770327939243E12</v>
      </c>
      <c r="M325" s="9"/>
      <c r="N325" s="10"/>
      <c r="O325" s="10"/>
      <c r="P325" s="10"/>
      <c r="Q325" s="10"/>
      <c r="R325" s="10"/>
      <c r="S325" s="10"/>
      <c r="T325" s="10"/>
      <c r="U325" s="10"/>
      <c r="V325" s="10"/>
    </row>
    <row r="326" ht="22.5" customHeight="1">
      <c r="A326" s="5">
        <v>1.87418927172E11</v>
      </c>
      <c r="B326" s="5" t="s">
        <v>409</v>
      </c>
      <c r="C326" s="5">
        <v>51931969018</v>
      </c>
      <c r="D326" s="5" t="s">
        <v>13</v>
      </c>
      <c r="E326" s="5">
        <v>8.0566583E7</v>
      </c>
      <c r="F326" s="5" t="s">
        <v>82</v>
      </c>
      <c r="G326" s="5" t="s">
        <v>15</v>
      </c>
      <c r="H326" s="5" t="s">
        <v>51</v>
      </c>
      <c r="I326" s="6" t="s">
        <v>36</v>
      </c>
      <c r="J326" s="7" t="s">
        <v>18</v>
      </c>
      <c r="K326" s="7" t="s">
        <v>19</v>
      </c>
      <c r="L326" s="8">
        <v>1.770328218186E12</v>
      </c>
      <c r="M326" s="9"/>
      <c r="N326" s="10"/>
      <c r="O326" s="10"/>
      <c r="P326" s="10"/>
      <c r="Q326" s="10"/>
      <c r="R326" s="10"/>
      <c r="S326" s="10"/>
      <c r="T326" s="10"/>
      <c r="U326" s="10"/>
      <c r="V326" s="10"/>
    </row>
    <row r="327" ht="22.5" customHeight="1">
      <c r="A327" s="5">
        <v>1.63945600905E11</v>
      </c>
      <c r="B327" s="5" t="s">
        <v>410</v>
      </c>
      <c r="C327" s="5">
        <v>51931286144</v>
      </c>
      <c r="D327" s="5" t="s">
        <v>13</v>
      </c>
      <c r="E327" s="5">
        <v>8.7547393E7</v>
      </c>
      <c r="F327" s="5" t="s">
        <v>28</v>
      </c>
      <c r="G327" s="5" t="s">
        <v>15</v>
      </c>
      <c r="H327" s="5" t="s">
        <v>51</v>
      </c>
      <c r="I327" s="6" t="s">
        <v>17</v>
      </c>
      <c r="J327" s="7" t="s">
        <v>18</v>
      </c>
      <c r="K327" s="7" t="s">
        <v>116</v>
      </c>
      <c r="L327" s="8">
        <v>1.770328551417E12</v>
      </c>
      <c r="M327" s="9"/>
      <c r="N327" s="10"/>
      <c r="O327" s="10"/>
      <c r="P327" s="10"/>
      <c r="Q327" s="10"/>
      <c r="R327" s="10"/>
      <c r="S327" s="10"/>
      <c r="T327" s="10"/>
      <c r="U327" s="10"/>
      <c r="V327" s="10"/>
    </row>
    <row r="328" ht="22.5" customHeight="1">
      <c r="A328" s="5">
        <v>1.99833427292E11</v>
      </c>
      <c r="B328" s="5" t="s">
        <v>411</v>
      </c>
      <c r="C328" s="5">
        <v>51939536427</v>
      </c>
      <c r="D328" s="5" t="s">
        <v>13</v>
      </c>
      <c r="E328" s="5">
        <v>8.0566583E7</v>
      </c>
      <c r="F328" s="5" t="s">
        <v>28</v>
      </c>
      <c r="G328" s="5" t="s">
        <v>32</v>
      </c>
      <c r="H328" s="5" t="s">
        <v>16</v>
      </c>
      <c r="I328" s="6" t="s">
        <v>63</v>
      </c>
      <c r="J328" s="7" t="s">
        <v>34</v>
      </c>
      <c r="K328" s="7"/>
      <c r="L328" s="8">
        <v>1.770329103004E12</v>
      </c>
      <c r="M328" s="9"/>
      <c r="N328" s="10"/>
      <c r="O328" s="10"/>
      <c r="P328" s="10"/>
      <c r="Q328" s="10"/>
      <c r="R328" s="10"/>
      <c r="S328" s="10"/>
      <c r="T328" s="10"/>
      <c r="U328" s="10"/>
      <c r="V328" s="10"/>
    </row>
    <row r="329" ht="22.5" customHeight="1">
      <c r="A329" s="5">
        <v>1.99849220886E11</v>
      </c>
      <c r="B329" s="5" t="s">
        <v>412</v>
      </c>
      <c r="C329" s="5">
        <v>51934646256</v>
      </c>
      <c r="D329" s="5" t="s">
        <v>13</v>
      </c>
      <c r="E329" s="5">
        <v>8.7547393E7</v>
      </c>
      <c r="F329" s="5" t="s">
        <v>14</v>
      </c>
      <c r="G329" s="5" t="s">
        <v>15</v>
      </c>
      <c r="H329" s="5" t="s">
        <v>51</v>
      </c>
      <c r="I329" s="6" t="s">
        <v>63</v>
      </c>
      <c r="J329" s="7" t="s">
        <v>34</v>
      </c>
      <c r="K329" s="7"/>
      <c r="L329" s="8">
        <v>1.770330049756E12</v>
      </c>
      <c r="M329" s="9"/>
      <c r="N329" s="10"/>
      <c r="O329" s="10"/>
      <c r="P329" s="10"/>
      <c r="Q329" s="10"/>
      <c r="R329" s="10"/>
      <c r="S329" s="10"/>
      <c r="T329" s="10"/>
      <c r="U329" s="10"/>
      <c r="V329" s="10"/>
    </row>
    <row r="330" ht="22.5" customHeight="1">
      <c r="A330" s="5">
        <v>1.87418927172E11</v>
      </c>
      <c r="B330" s="5" t="s">
        <v>409</v>
      </c>
      <c r="C330" s="5">
        <v>51931969018</v>
      </c>
      <c r="D330" s="5" t="s">
        <v>13</v>
      </c>
      <c r="E330" s="5">
        <v>8.0566583E7</v>
      </c>
      <c r="F330" s="5" t="s">
        <v>93</v>
      </c>
      <c r="G330" s="5" t="s">
        <v>15</v>
      </c>
      <c r="H330" s="5" t="s">
        <v>51</v>
      </c>
      <c r="I330" s="6" t="s">
        <v>17</v>
      </c>
      <c r="J330" s="7" t="s">
        <v>18</v>
      </c>
      <c r="K330" s="7" t="s">
        <v>19</v>
      </c>
      <c r="L330" s="8">
        <v>1.770330101436E12</v>
      </c>
      <c r="M330" s="9"/>
      <c r="N330" s="10"/>
      <c r="O330" s="10"/>
      <c r="P330" s="10"/>
      <c r="Q330" s="10"/>
      <c r="R330" s="10"/>
      <c r="S330" s="10"/>
      <c r="T330" s="10"/>
      <c r="U330" s="10"/>
      <c r="V330" s="10"/>
    </row>
    <row r="331" ht="22.5" customHeight="1">
      <c r="A331" s="5">
        <v>1.99833060746E11</v>
      </c>
      <c r="B331" s="5" t="s">
        <v>413</v>
      </c>
      <c r="C331" s="5">
        <v>2348105883004</v>
      </c>
      <c r="D331" s="5" t="s">
        <v>38</v>
      </c>
      <c r="E331" s="5">
        <v>8.7547393E7</v>
      </c>
      <c r="F331" s="5"/>
      <c r="G331" s="5"/>
      <c r="H331" s="5"/>
      <c r="I331" s="6"/>
      <c r="J331" s="7" t="s">
        <v>34</v>
      </c>
      <c r="K331" s="7"/>
      <c r="L331" s="8">
        <v>1.770331159407E12</v>
      </c>
      <c r="M331" s="9"/>
      <c r="N331" s="10"/>
      <c r="O331" s="10"/>
      <c r="P331" s="10"/>
      <c r="Q331" s="10"/>
      <c r="R331" s="10"/>
      <c r="S331" s="10"/>
      <c r="T331" s="10"/>
      <c r="U331" s="10"/>
      <c r="V331" s="10"/>
    </row>
    <row r="332" ht="22.5" customHeight="1">
      <c r="A332" s="5">
        <v>1.99748953929E11</v>
      </c>
      <c r="B332" s="5" t="s">
        <v>385</v>
      </c>
      <c r="C332" s="5">
        <v>14075496076</v>
      </c>
      <c r="D332" s="5" t="s">
        <v>13</v>
      </c>
      <c r="E332" s="5">
        <v>8.7547393E7</v>
      </c>
      <c r="F332" s="5" t="s">
        <v>28</v>
      </c>
      <c r="G332" s="5" t="s">
        <v>15</v>
      </c>
      <c r="H332" s="5" t="s">
        <v>51</v>
      </c>
      <c r="I332" s="6" t="s">
        <v>17</v>
      </c>
      <c r="J332" s="7" t="s">
        <v>34</v>
      </c>
      <c r="K332" s="7"/>
      <c r="L332" s="8">
        <v>1.770331805034E12</v>
      </c>
      <c r="M332" s="9"/>
      <c r="N332" s="10"/>
      <c r="O332" s="10"/>
      <c r="P332" s="10"/>
      <c r="Q332" s="10"/>
      <c r="R332" s="10"/>
      <c r="S332" s="10"/>
      <c r="T332" s="10"/>
      <c r="U332" s="10"/>
      <c r="V332" s="10"/>
    </row>
    <row r="333" ht="22.5" customHeight="1">
      <c r="A333" s="5">
        <v>1.9985101039E11</v>
      </c>
      <c r="B333" s="5" t="s">
        <v>414</v>
      </c>
      <c r="C333" s="5">
        <v>51986802494</v>
      </c>
      <c r="D333" s="5" t="s">
        <v>13</v>
      </c>
      <c r="E333" s="5">
        <v>8.0566583E7</v>
      </c>
      <c r="F333" s="5" t="s">
        <v>65</v>
      </c>
      <c r="G333" s="5" t="s">
        <v>15</v>
      </c>
      <c r="H333" s="5" t="s">
        <v>51</v>
      </c>
      <c r="I333" s="6" t="s">
        <v>17</v>
      </c>
      <c r="J333" s="7" t="s">
        <v>18</v>
      </c>
      <c r="K333" s="7" t="s">
        <v>116</v>
      </c>
      <c r="L333" s="8">
        <v>1.770331957704E12</v>
      </c>
      <c r="M333" s="9"/>
      <c r="N333" s="10"/>
      <c r="O333" s="10"/>
      <c r="P333" s="10"/>
      <c r="Q333" s="10"/>
      <c r="R333" s="10"/>
      <c r="S333" s="10"/>
      <c r="T333" s="10"/>
      <c r="U333" s="10"/>
      <c r="V333" s="10"/>
    </row>
    <row r="334" ht="22.5" customHeight="1">
      <c r="A334" s="5">
        <v>1.99844790299E11</v>
      </c>
      <c r="B334" s="5" t="s">
        <v>415</v>
      </c>
      <c r="C334" s="5">
        <v>5598985958258</v>
      </c>
      <c r="D334" s="5" t="s">
        <v>13</v>
      </c>
      <c r="E334" s="5">
        <v>7.9360573E7</v>
      </c>
      <c r="F334" s="5" t="s">
        <v>23</v>
      </c>
      <c r="G334" s="5" t="s">
        <v>15</v>
      </c>
      <c r="H334" s="5" t="s">
        <v>51</v>
      </c>
      <c r="I334" s="6" t="s">
        <v>17</v>
      </c>
      <c r="J334" s="7" t="s">
        <v>34</v>
      </c>
      <c r="K334" s="7"/>
      <c r="L334" s="8">
        <v>1.770331997292E12</v>
      </c>
      <c r="M334" s="9"/>
      <c r="N334" s="10"/>
      <c r="O334" s="10"/>
      <c r="P334" s="10"/>
      <c r="Q334" s="10"/>
      <c r="R334" s="10"/>
      <c r="S334" s="10"/>
      <c r="T334" s="10"/>
      <c r="U334" s="10"/>
      <c r="V334" s="10"/>
    </row>
    <row r="335" ht="22.5" customHeight="1">
      <c r="A335" s="5">
        <v>1.99843691075E11</v>
      </c>
      <c r="B335" s="5" t="s">
        <v>416</v>
      </c>
      <c r="C335" s="5">
        <v>5551995220473</v>
      </c>
      <c r="D335" s="5" t="s">
        <v>22</v>
      </c>
      <c r="E335" s="5">
        <v>7.9360573E7</v>
      </c>
      <c r="F335" s="5" t="s">
        <v>65</v>
      </c>
      <c r="G335" s="5" t="s">
        <v>44</v>
      </c>
      <c r="H335" s="5" t="s">
        <v>24</v>
      </c>
      <c r="I335" s="6"/>
      <c r="J335" s="7" t="s">
        <v>58</v>
      </c>
      <c r="K335" s="11" t="s">
        <v>59</v>
      </c>
      <c r="L335" s="8">
        <v>1.770332507487E12</v>
      </c>
      <c r="M335" s="9"/>
      <c r="N335" s="10"/>
      <c r="O335" s="10"/>
      <c r="P335" s="10"/>
      <c r="Q335" s="10"/>
      <c r="R335" s="10"/>
      <c r="S335" s="10"/>
      <c r="T335" s="10"/>
      <c r="U335" s="10"/>
      <c r="V335" s="10"/>
    </row>
    <row r="336" ht="22.5" customHeight="1">
      <c r="A336" s="5">
        <v>1.99853687417E11</v>
      </c>
      <c r="B336" s="5" t="s">
        <v>417</v>
      </c>
      <c r="C336" s="5">
        <v>5521998310113</v>
      </c>
      <c r="D336" s="5" t="s">
        <v>13</v>
      </c>
      <c r="E336" s="5">
        <v>7.9360573E7</v>
      </c>
      <c r="F336" s="5" t="s">
        <v>31</v>
      </c>
      <c r="G336" s="5" t="s">
        <v>15</v>
      </c>
      <c r="H336" s="5" t="s">
        <v>24</v>
      </c>
      <c r="I336" s="6" t="s">
        <v>17</v>
      </c>
      <c r="J336" s="7" t="s">
        <v>34</v>
      </c>
      <c r="K336" s="7"/>
      <c r="L336" s="8">
        <v>1.770335094772E12</v>
      </c>
      <c r="M336" s="9"/>
      <c r="N336" s="10"/>
      <c r="O336" s="10"/>
      <c r="P336" s="10"/>
      <c r="Q336" s="10"/>
      <c r="R336" s="10"/>
      <c r="S336" s="10"/>
      <c r="T336" s="10"/>
      <c r="U336" s="10"/>
      <c r="V336" s="10"/>
    </row>
    <row r="337" ht="22.5" customHeight="1">
      <c r="A337" s="5">
        <v>1.99862084188E11</v>
      </c>
      <c r="B337" s="5" t="s">
        <v>418</v>
      </c>
      <c r="C337" s="5">
        <v>524494372566</v>
      </c>
      <c r="D337" s="5" t="s">
        <v>13</v>
      </c>
      <c r="E337" s="5">
        <v>8.0566583E7</v>
      </c>
      <c r="F337" s="5" t="s">
        <v>28</v>
      </c>
      <c r="G337" s="5" t="s">
        <v>32</v>
      </c>
      <c r="H337" s="5" t="s">
        <v>66</v>
      </c>
      <c r="I337" s="6" t="s">
        <v>17</v>
      </c>
      <c r="J337" s="7" t="s">
        <v>18</v>
      </c>
      <c r="K337" s="7" t="s">
        <v>61</v>
      </c>
      <c r="L337" s="8">
        <v>1.770338888788E12</v>
      </c>
      <c r="M337" s="9"/>
      <c r="N337" s="10"/>
      <c r="O337" s="10"/>
      <c r="P337" s="10"/>
      <c r="Q337" s="10"/>
      <c r="R337" s="10"/>
      <c r="S337" s="10"/>
      <c r="T337" s="10"/>
      <c r="U337" s="10"/>
      <c r="V337" s="10"/>
    </row>
    <row r="338" ht="22.5" customHeight="1">
      <c r="A338" s="5">
        <v>1.99860335544E11</v>
      </c>
      <c r="B338" s="5" t="s">
        <v>419</v>
      </c>
      <c r="C338" s="5">
        <v>528118584427</v>
      </c>
      <c r="D338" s="5" t="s">
        <v>38</v>
      </c>
      <c r="E338" s="5">
        <v>8.7547393E7</v>
      </c>
      <c r="F338" s="5" t="s">
        <v>31</v>
      </c>
      <c r="G338" s="5" t="s">
        <v>79</v>
      </c>
      <c r="H338" s="5" t="s">
        <v>16</v>
      </c>
      <c r="I338" s="6" t="s">
        <v>17</v>
      </c>
      <c r="J338" s="7" t="s">
        <v>18</v>
      </c>
      <c r="K338" s="7" t="s">
        <v>61</v>
      </c>
      <c r="L338" s="8">
        <v>1.770339808696E12</v>
      </c>
      <c r="M338" s="9"/>
      <c r="N338" s="10"/>
      <c r="O338" s="10"/>
      <c r="P338" s="10"/>
      <c r="Q338" s="10"/>
      <c r="R338" s="10"/>
      <c r="S338" s="10"/>
      <c r="T338" s="10"/>
      <c r="U338" s="10"/>
      <c r="V338" s="10"/>
    </row>
    <row r="339" ht="22.5" customHeight="1">
      <c r="A339" s="5">
        <v>1.99864868654E11</v>
      </c>
      <c r="B339" s="5" t="s">
        <v>420</v>
      </c>
      <c r="C339" s="5">
        <v>51934691871</v>
      </c>
      <c r="D339" s="5" t="s">
        <v>13</v>
      </c>
      <c r="E339" s="5">
        <v>8.7547393E7</v>
      </c>
      <c r="F339" s="5" t="s">
        <v>39</v>
      </c>
      <c r="G339" s="5" t="s">
        <v>32</v>
      </c>
      <c r="H339" s="5" t="s">
        <v>29</v>
      </c>
      <c r="I339" s="6" t="s">
        <v>17</v>
      </c>
      <c r="J339" s="7" t="s">
        <v>25</v>
      </c>
      <c r="K339" s="7" t="s">
        <v>26</v>
      </c>
      <c r="L339" s="8">
        <v>1.770340489072E12</v>
      </c>
      <c r="M339" s="9"/>
      <c r="N339" s="10"/>
      <c r="O339" s="10"/>
      <c r="P339" s="10"/>
      <c r="Q339" s="10"/>
      <c r="R339" s="10"/>
      <c r="S339" s="10"/>
      <c r="T339" s="10"/>
      <c r="U339" s="10"/>
      <c r="V339" s="10"/>
    </row>
    <row r="340" ht="22.5" customHeight="1">
      <c r="A340" s="5">
        <v>1.99873005842E11</v>
      </c>
      <c r="B340" s="5" t="s">
        <v>421</v>
      </c>
      <c r="C340" s="5">
        <v>5528999944139</v>
      </c>
      <c r="D340" s="5" t="s">
        <v>13</v>
      </c>
      <c r="E340" s="5">
        <v>8.7547393E7</v>
      </c>
      <c r="F340" s="5" t="s">
        <v>93</v>
      </c>
      <c r="G340" s="5" t="s">
        <v>32</v>
      </c>
      <c r="H340" s="5" t="s">
        <v>66</v>
      </c>
      <c r="I340" s="6" t="s">
        <v>148</v>
      </c>
      <c r="J340" s="7" t="s">
        <v>34</v>
      </c>
      <c r="K340" s="7"/>
      <c r="L340" s="8">
        <v>1.770341260746E12</v>
      </c>
      <c r="M340" s="9"/>
      <c r="N340" s="10"/>
      <c r="O340" s="10"/>
      <c r="P340" s="10"/>
      <c r="Q340" s="10"/>
      <c r="R340" s="10"/>
      <c r="S340" s="10"/>
      <c r="T340" s="10"/>
      <c r="U340" s="10"/>
      <c r="V340" s="10"/>
    </row>
    <row r="341" ht="22.5" customHeight="1">
      <c r="A341" s="5">
        <v>1.99879756966E11</v>
      </c>
      <c r="B341" s="5" t="s">
        <v>422</v>
      </c>
      <c r="C341" s="5">
        <v>5581991097841</v>
      </c>
      <c r="D341" s="5" t="s">
        <v>13</v>
      </c>
      <c r="E341" s="5">
        <v>8.7547393E7</v>
      </c>
      <c r="F341" s="5"/>
      <c r="G341" s="5" t="s">
        <v>44</v>
      </c>
      <c r="H341" s="5" t="s">
        <v>66</v>
      </c>
      <c r="I341" s="6" t="s">
        <v>17</v>
      </c>
      <c r="J341" s="7" t="s">
        <v>34</v>
      </c>
      <c r="K341" s="7"/>
      <c r="L341" s="8">
        <v>1.770342570299E12</v>
      </c>
      <c r="M341" s="9"/>
      <c r="N341" s="10"/>
      <c r="O341" s="10"/>
      <c r="P341" s="10"/>
      <c r="Q341" s="10"/>
      <c r="R341" s="10"/>
      <c r="S341" s="10"/>
      <c r="T341" s="10"/>
      <c r="U341" s="10"/>
      <c r="V341" s="10"/>
    </row>
    <row r="342" ht="22.5" customHeight="1">
      <c r="A342" s="5">
        <v>1.99875659381E11</v>
      </c>
      <c r="B342" s="5" t="s">
        <v>423</v>
      </c>
      <c r="C342" s="5">
        <v>5524993209745</v>
      </c>
      <c r="D342" s="5" t="s">
        <v>22</v>
      </c>
      <c r="E342" s="5">
        <v>8.7547393E7</v>
      </c>
      <c r="F342" s="5" t="s">
        <v>28</v>
      </c>
      <c r="G342" s="5" t="s">
        <v>44</v>
      </c>
      <c r="H342" s="5" t="s">
        <v>24</v>
      </c>
      <c r="I342" s="6" t="s">
        <v>17</v>
      </c>
      <c r="J342" s="7" t="s">
        <v>34</v>
      </c>
      <c r="K342" s="7"/>
      <c r="L342" s="8">
        <v>1.770342593165E12</v>
      </c>
      <c r="M342" s="9"/>
      <c r="N342" s="10"/>
      <c r="O342" s="10"/>
      <c r="P342" s="10"/>
      <c r="Q342" s="10"/>
      <c r="R342" s="10"/>
      <c r="S342" s="10"/>
      <c r="T342" s="10"/>
      <c r="U342" s="10"/>
      <c r="V342" s="10"/>
    </row>
    <row r="343" ht="22.5" customHeight="1">
      <c r="A343" s="5">
        <v>1.99883734081E11</v>
      </c>
      <c r="B343" s="5" t="s">
        <v>424</v>
      </c>
      <c r="C343" s="5">
        <v>528111188104</v>
      </c>
      <c r="D343" s="5" t="s">
        <v>13</v>
      </c>
      <c r="E343" s="5">
        <v>8.7547393E7</v>
      </c>
      <c r="F343" s="5" t="s">
        <v>31</v>
      </c>
      <c r="G343" s="5" t="s">
        <v>32</v>
      </c>
      <c r="H343" s="5" t="s">
        <v>29</v>
      </c>
      <c r="I343" s="6" t="s">
        <v>17</v>
      </c>
      <c r="J343" s="7" t="s">
        <v>58</v>
      </c>
      <c r="K343" s="11" t="s">
        <v>59</v>
      </c>
      <c r="L343" s="8">
        <v>1.770343062453E12</v>
      </c>
      <c r="M343" s="9"/>
      <c r="N343" s="10"/>
      <c r="O343" s="10"/>
      <c r="P343" s="10"/>
      <c r="Q343" s="10"/>
      <c r="R343" s="10"/>
      <c r="S343" s="10"/>
      <c r="T343" s="10"/>
      <c r="U343" s="10"/>
      <c r="V343" s="10"/>
    </row>
    <row r="344" ht="22.5" customHeight="1">
      <c r="A344" s="5">
        <v>1.99885879866E11</v>
      </c>
      <c r="B344" s="5" t="s">
        <v>425</v>
      </c>
      <c r="C344" s="5">
        <v>5564996034205</v>
      </c>
      <c r="D344" s="5" t="s">
        <v>13</v>
      </c>
      <c r="E344" s="5">
        <v>7.9360573E7</v>
      </c>
      <c r="F344" s="5" t="s">
        <v>31</v>
      </c>
      <c r="G344" s="5" t="s">
        <v>15</v>
      </c>
      <c r="H344" s="5" t="s">
        <v>24</v>
      </c>
      <c r="I344" s="6" t="s">
        <v>17</v>
      </c>
      <c r="J344" s="7" t="s">
        <v>34</v>
      </c>
      <c r="K344" s="7"/>
      <c r="L344" s="8">
        <v>1.770344268001E12</v>
      </c>
      <c r="M344" s="9"/>
      <c r="N344" s="10"/>
      <c r="O344" s="10"/>
      <c r="P344" s="10"/>
      <c r="Q344" s="10"/>
      <c r="R344" s="10"/>
      <c r="S344" s="10"/>
      <c r="T344" s="10"/>
      <c r="U344" s="10"/>
      <c r="V344" s="10"/>
    </row>
    <row r="345" ht="22.5" customHeight="1">
      <c r="A345" s="5">
        <v>1.99881042983E11</v>
      </c>
      <c r="B345" s="5" t="s">
        <v>426</v>
      </c>
      <c r="C345" s="5">
        <v>51959582168</v>
      </c>
      <c r="D345" s="5" t="s">
        <v>13</v>
      </c>
      <c r="E345" s="5">
        <v>8.7547393E7</v>
      </c>
      <c r="F345" s="5" t="s">
        <v>31</v>
      </c>
      <c r="G345" s="5" t="s">
        <v>15</v>
      </c>
      <c r="H345" s="5" t="s">
        <v>66</v>
      </c>
      <c r="I345" s="6" t="s">
        <v>17</v>
      </c>
      <c r="J345" s="7" t="s">
        <v>18</v>
      </c>
      <c r="K345" s="7" t="s">
        <v>19</v>
      </c>
      <c r="L345" s="8">
        <v>1.77034499227E12</v>
      </c>
      <c r="M345" s="9"/>
      <c r="N345" s="10"/>
      <c r="O345" s="10"/>
      <c r="P345" s="10"/>
      <c r="Q345" s="10"/>
      <c r="R345" s="10"/>
      <c r="S345" s="10"/>
      <c r="T345" s="10"/>
      <c r="U345" s="10"/>
      <c r="V345" s="10"/>
    </row>
    <row r="346" ht="22.5" customHeight="1">
      <c r="A346" s="5">
        <v>1.99880827542E11</v>
      </c>
      <c r="B346" s="5" t="s">
        <v>427</v>
      </c>
      <c r="C346" s="5">
        <v>525541521980</v>
      </c>
      <c r="D346" s="5" t="s">
        <v>103</v>
      </c>
      <c r="E346" s="5">
        <v>8.0566583E7</v>
      </c>
      <c r="F346" s="5" t="s">
        <v>23</v>
      </c>
      <c r="G346" s="5" t="s">
        <v>79</v>
      </c>
      <c r="H346" s="5" t="s">
        <v>24</v>
      </c>
      <c r="I346" s="6" t="s">
        <v>63</v>
      </c>
      <c r="J346" s="7" t="s">
        <v>18</v>
      </c>
      <c r="K346" s="7" t="s">
        <v>61</v>
      </c>
      <c r="L346" s="8">
        <v>1.770345431266E12</v>
      </c>
      <c r="M346" s="9"/>
      <c r="N346" s="10"/>
      <c r="O346" s="10"/>
      <c r="P346" s="10"/>
      <c r="Q346" s="10"/>
      <c r="R346" s="10"/>
      <c r="S346" s="10"/>
      <c r="T346" s="10"/>
      <c r="U346" s="10"/>
      <c r="V346" s="10"/>
    </row>
    <row r="347" ht="22.5" customHeight="1">
      <c r="A347" s="5">
        <v>1.54615861271E11</v>
      </c>
      <c r="B347" s="5" t="s">
        <v>428</v>
      </c>
      <c r="C347" s="5">
        <v>51979632034</v>
      </c>
      <c r="D347" s="5" t="s">
        <v>13</v>
      </c>
      <c r="E347" s="5">
        <v>8.0566583E7</v>
      </c>
      <c r="F347" s="5" t="s">
        <v>65</v>
      </c>
      <c r="G347" s="5" t="s">
        <v>15</v>
      </c>
      <c r="H347" s="5" t="s">
        <v>16</v>
      </c>
      <c r="I347" s="6" t="s">
        <v>17</v>
      </c>
      <c r="J347" s="7" t="s">
        <v>18</v>
      </c>
      <c r="K347" s="7" t="s">
        <v>429</v>
      </c>
      <c r="L347" s="8">
        <v>1.770347953155E12</v>
      </c>
      <c r="M347" s="9"/>
      <c r="N347" s="10"/>
      <c r="O347" s="10"/>
      <c r="P347" s="10"/>
      <c r="Q347" s="10"/>
      <c r="R347" s="10"/>
      <c r="S347" s="10"/>
      <c r="T347" s="10"/>
      <c r="U347" s="10"/>
      <c r="V347" s="10"/>
    </row>
    <row r="348" ht="22.5" customHeight="1">
      <c r="A348" s="5">
        <v>1.99890312572E11</v>
      </c>
      <c r="B348" s="5" t="s">
        <v>430</v>
      </c>
      <c r="C348" s="5">
        <v>555436984275</v>
      </c>
      <c r="D348" s="5" t="s">
        <v>13</v>
      </c>
      <c r="E348" s="5">
        <v>8.7547393E7</v>
      </c>
      <c r="F348" s="5" t="s">
        <v>28</v>
      </c>
      <c r="G348" s="5" t="s">
        <v>15</v>
      </c>
      <c r="H348" s="5" t="s">
        <v>24</v>
      </c>
      <c r="I348" s="6" t="s">
        <v>89</v>
      </c>
      <c r="J348" s="7" t="s">
        <v>34</v>
      </c>
      <c r="K348" s="7"/>
      <c r="L348" s="8">
        <v>1.770349876201E12</v>
      </c>
      <c r="M348" s="9"/>
      <c r="N348" s="10"/>
      <c r="O348" s="10"/>
      <c r="P348" s="10"/>
      <c r="Q348" s="10"/>
      <c r="R348" s="10"/>
      <c r="S348" s="10"/>
      <c r="T348" s="10"/>
      <c r="U348" s="10"/>
      <c r="V348" s="10"/>
    </row>
    <row r="349" ht="22.5" customHeight="1">
      <c r="A349" s="5">
        <v>1.99893382402E11</v>
      </c>
      <c r="B349" s="5" t="s">
        <v>431</v>
      </c>
      <c r="C349" s="5">
        <v>525510528646</v>
      </c>
      <c r="D349" s="5" t="s">
        <v>13</v>
      </c>
      <c r="E349" s="5">
        <v>8.7547393E7</v>
      </c>
      <c r="F349" s="5" t="s">
        <v>28</v>
      </c>
      <c r="G349" s="5" t="s">
        <v>15</v>
      </c>
      <c r="H349" s="5" t="s">
        <v>51</v>
      </c>
      <c r="I349" s="6" t="s">
        <v>17</v>
      </c>
      <c r="J349" s="7" t="s">
        <v>18</v>
      </c>
      <c r="K349" s="7" t="s">
        <v>61</v>
      </c>
      <c r="L349" s="8">
        <v>1.770351058098E12</v>
      </c>
      <c r="M349" s="9"/>
      <c r="N349" s="10"/>
      <c r="O349" s="10"/>
      <c r="P349" s="10"/>
      <c r="Q349" s="10"/>
      <c r="R349" s="10"/>
      <c r="S349" s="10"/>
      <c r="T349" s="10"/>
      <c r="U349" s="10"/>
      <c r="V349" s="10"/>
    </row>
    <row r="350" ht="22.5" customHeight="1">
      <c r="A350" s="5">
        <v>1.98906546831E11</v>
      </c>
      <c r="B350" s="5" t="s">
        <v>208</v>
      </c>
      <c r="C350" s="5">
        <v>51922328202</v>
      </c>
      <c r="D350" s="5" t="s">
        <v>13</v>
      </c>
      <c r="E350" s="5">
        <v>8.0566583E7</v>
      </c>
      <c r="F350" s="5" t="s">
        <v>28</v>
      </c>
      <c r="G350" s="5" t="s">
        <v>32</v>
      </c>
      <c r="H350" s="5" t="s">
        <v>16</v>
      </c>
      <c r="I350" s="6"/>
      <c r="J350" s="7" t="s">
        <v>34</v>
      </c>
      <c r="K350" s="7"/>
      <c r="L350" s="8">
        <v>1.770352367089E12</v>
      </c>
      <c r="M350" s="9"/>
      <c r="N350" s="10"/>
      <c r="O350" s="10"/>
      <c r="P350" s="10"/>
      <c r="Q350" s="10"/>
      <c r="R350" s="10"/>
      <c r="S350" s="10"/>
      <c r="T350" s="10"/>
      <c r="U350" s="10"/>
      <c r="V350" s="10"/>
    </row>
    <row r="351" ht="22.5" customHeight="1">
      <c r="A351" s="5">
        <v>1.99469287197E11</v>
      </c>
      <c r="B351" s="5" t="s">
        <v>328</v>
      </c>
      <c r="C351" s="5">
        <v>51972028349</v>
      </c>
      <c r="D351" s="5" t="s">
        <v>13</v>
      </c>
      <c r="E351" s="5">
        <v>8.0566583E7</v>
      </c>
      <c r="F351" s="5" t="s">
        <v>65</v>
      </c>
      <c r="G351" s="5" t="s">
        <v>32</v>
      </c>
      <c r="H351" s="5" t="s">
        <v>114</v>
      </c>
      <c r="I351" s="6" t="s">
        <v>17</v>
      </c>
      <c r="J351" s="7" t="s">
        <v>34</v>
      </c>
      <c r="K351" s="7"/>
      <c r="L351" s="8">
        <v>1.770352421045E12</v>
      </c>
      <c r="M351" s="9"/>
      <c r="N351" s="10"/>
      <c r="O351" s="10"/>
      <c r="P351" s="10"/>
      <c r="Q351" s="10"/>
      <c r="R351" s="10"/>
      <c r="S351" s="10"/>
      <c r="T351" s="10"/>
      <c r="U351" s="10"/>
      <c r="V351" s="10"/>
    </row>
    <row r="352" ht="22.5" customHeight="1">
      <c r="A352" s="5">
        <v>1.99912377913E11</v>
      </c>
      <c r="B352" s="5" t="s">
        <v>432</v>
      </c>
      <c r="C352" s="5">
        <v>5542984021097</v>
      </c>
      <c r="D352" s="5" t="s">
        <v>13</v>
      </c>
      <c r="E352" s="5">
        <v>8.7547393E7</v>
      </c>
      <c r="F352" s="5" t="s">
        <v>31</v>
      </c>
      <c r="G352" s="5" t="s">
        <v>44</v>
      </c>
      <c r="H352" s="5" t="s">
        <v>16</v>
      </c>
      <c r="I352" s="6" t="s">
        <v>17</v>
      </c>
      <c r="J352" s="7" t="s">
        <v>18</v>
      </c>
      <c r="K352" s="7" t="s">
        <v>45</v>
      </c>
      <c r="L352" s="8">
        <v>1.770356053289E12</v>
      </c>
      <c r="M352" s="9"/>
      <c r="N352" s="10"/>
      <c r="O352" s="10"/>
      <c r="P352" s="10"/>
      <c r="Q352" s="10"/>
      <c r="R352" s="10"/>
      <c r="S352" s="10"/>
      <c r="T352" s="10"/>
      <c r="U352" s="10"/>
      <c r="V352" s="10"/>
    </row>
    <row r="353" ht="22.5" customHeight="1">
      <c r="A353" s="5">
        <v>1.99946723919E11</v>
      </c>
      <c r="B353" s="5" t="s">
        <v>433</v>
      </c>
      <c r="C353" s="5">
        <v>51947190765</v>
      </c>
      <c r="D353" s="5" t="s">
        <v>13</v>
      </c>
      <c r="E353" s="5">
        <v>8.0566583E7</v>
      </c>
      <c r="F353" s="5" t="s">
        <v>23</v>
      </c>
      <c r="G353" s="5" t="s">
        <v>15</v>
      </c>
      <c r="H353" s="5" t="s">
        <v>51</v>
      </c>
      <c r="I353" s="6" t="s">
        <v>17</v>
      </c>
      <c r="J353" s="7" t="s">
        <v>58</v>
      </c>
      <c r="K353" s="11" t="s">
        <v>59</v>
      </c>
      <c r="L353" s="8">
        <v>1.770376391862E12</v>
      </c>
      <c r="M353" s="9"/>
      <c r="N353" s="10"/>
      <c r="O353" s="10"/>
      <c r="P353" s="10"/>
      <c r="Q353" s="10"/>
      <c r="R353" s="10"/>
      <c r="S353" s="10"/>
      <c r="T353" s="10"/>
      <c r="U353" s="10"/>
      <c r="V353" s="10"/>
    </row>
    <row r="354" ht="22.5" customHeight="1">
      <c r="A354" s="5">
        <v>1.7569255261E11</v>
      </c>
      <c r="B354" s="5" t="s">
        <v>434</v>
      </c>
      <c r="C354" s="5">
        <v>5516997712075</v>
      </c>
      <c r="D354" s="5" t="s">
        <v>22</v>
      </c>
      <c r="E354" s="5">
        <v>7.9360573E7</v>
      </c>
      <c r="F354" s="5" t="s">
        <v>28</v>
      </c>
      <c r="G354" s="5" t="s">
        <v>260</v>
      </c>
      <c r="H354" s="5" t="s">
        <v>114</v>
      </c>
      <c r="I354" s="6" t="s">
        <v>49</v>
      </c>
      <c r="J354" s="7" t="s">
        <v>34</v>
      </c>
      <c r="K354" s="7"/>
      <c r="L354" s="8">
        <v>1.770377156419E12</v>
      </c>
      <c r="M354" s="9"/>
      <c r="N354" s="10"/>
      <c r="O354" s="10"/>
      <c r="P354" s="10"/>
      <c r="Q354" s="10"/>
      <c r="R354" s="10"/>
      <c r="S354" s="10"/>
      <c r="T354" s="10"/>
      <c r="U354" s="10"/>
      <c r="V354" s="10"/>
    </row>
    <row r="355" ht="22.5" customHeight="1">
      <c r="A355" s="5">
        <v>1.99013599579E11</v>
      </c>
      <c r="B355" s="5" t="s">
        <v>220</v>
      </c>
      <c r="C355" s="5">
        <v>5522998575420</v>
      </c>
      <c r="D355" s="5" t="s">
        <v>38</v>
      </c>
      <c r="E355" s="5">
        <v>7.9360573E7</v>
      </c>
      <c r="F355" s="5" t="s">
        <v>93</v>
      </c>
      <c r="G355" s="5" t="s">
        <v>15</v>
      </c>
      <c r="H355" s="5" t="s">
        <v>16</v>
      </c>
      <c r="I355" s="6" t="s">
        <v>17</v>
      </c>
      <c r="J355" s="7" t="s">
        <v>34</v>
      </c>
      <c r="K355" s="7"/>
      <c r="L355" s="8">
        <v>1.770377200027E12</v>
      </c>
      <c r="M355" s="9"/>
      <c r="N355" s="10"/>
      <c r="O355" s="10"/>
      <c r="P355" s="10"/>
      <c r="Q355" s="10"/>
      <c r="R355" s="10"/>
      <c r="S355" s="10"/>
      <c r="T355" s="10"/>
      <c r="U355" s="10"/>
      <c r="V355" s="10"/>
    </row>
    <row r="356" ht="22.5" customHeight="1">
      <c r="A356" s="5">
        <v>1.99952371038E11</v>
      </c>
      <c r="B356" s="5" t="s">
        <v>435</v>
      </c>
      <c r="C356" s="5">
        <v>526143589253</v>
      </c>
      <c r="D356" s="5" t="s">
        <v>13</v>
      </c>
      <c r="E356" s="5">
        <v>8.7547393E7</v>
      </c>
      <c r="F356" s="5" t="s">
        <v>31</v>
      </c>
      <c r="G356" s="5" t="s">
        <v>15</v>
      </c>
      <c r="H356" s="5" t="s">
        <v>51</v>
      </c>
      <c r="I356" s="6" t="s">
        <v>17</v>
      </c>
      <c r="J356" s="7" t="s">
        <v>18</v>
      </c>
      <c r="K356" s="7" t="s">
        <v>61</v>
      </c>
      <c r="L356" s="8">
        <v>1.770379117048E12</v>
      </c>
      <c r="M356" s="9"/>
      <c r="N356" s="10"/>
      <c r="O356" s="10"/>
      <c r="P356" s="10"/>
      <c r="Q356" s="10"/>
      <c r="R356" s="10"/>
      <c r="S356" s="10"/>
      <c r="T356" s="10"/>
      <c r="U356" s="10"/>
      <c r="V356" s="10"/>
    </row>
    <row r="357" ht="22.5" customHeight="1">
      <c r="A357" s="5">
        <v>1.88400420279E11</v>
      </c>
      <c r="B357" s="5" t="s">
        <v>436</v>
      </c>
      <c r="C357" s="5">
        <v>525649946121</v>
      </c>
      <c r="D357" s="5" t="s">
        <v>13</v>
      </c>
      <c r="E357" s="5">
        <v>8.0566583E7</v>
      </c>
      <c r="F357" s="5" t="s">
        <v>65</v>
      </c>
      <c r="G357" s="5" t="s">
        <v>15</v>
      </c>
      <c r="H357" s="5" t="s">
        <v>74</v>
      </c>
      <c r="I357" s="6" t="s">
        <v>17</v>
      </c>
      <c r="J357" s="7" t="s">
        <v>18</v>
      </c>
      <c r="K357" s="7" t="s">
        <v>61</v>
      </c>
      <c r="L357" s="8">
        <v>1.770379897544E12</v>
      </c>
      <c r="M357" s="9"/>
      <c r="N357" s="10"/>
      <c r="O357" s="10"/>
      <c r="P357" s="10"/>
      <c r="Q357" s="10"/>
      <c r="R357" s="10"/>
      <c r="S357" s="10"/>
      <c r="T357" s="10"/>
      <c r="U357" s="10"/>
      <c r="V357" s="10"/>
    </row>
    <row r="358" ht="22.5" customHeight="1">
      <c r="A358" s="5">
        <v>1.99952706881E11</v>
      </c>
      <c r="B358" s="5" t="s">
        <v>437</v>
      </c>
      <c r="C358" s="5">
        <v>5555992673131</v>
      </c>
      <c r="D358" s="5" t="s">
        <v>13</v>
      </c>
      <c r="E358" s="5">
        <v>7.9360573E7</v>
      </c>
      <c r="F358" s="5" t="s">
        <v>14</v>
      </c>
      <c r="G358" s="5" t="s">
        <v>15</v>
      </c>
      <c r="H358" s="5" t="s">
        <v>51</v>
      </c>
      <c r="I358" s="6" t="s">
        <v>17</v>
      </c>
      <c r="J358" s="7" t="s">
        <v>34</v>
      </c>
      <c r="K358" s="7"/>
      <c r="L358" s="8">
        <v>1.77038002103E12</v>
      </c>
      <c r="M358" s="9"/>
      <c r="N358" s="10"/>
      <c r="O358" s="10"/>
      <c r="P358" s="10"/>
      <c r="Q358" s="10"/>
      <c r="R358" s="10"/>
      <c r="S358" s="10"/>
      <c r="T358" s="10"/>
      <c r="U358" s="10"/>
      <c r="V358" s="10"/>
    </row>
    <row r="359" ht="22.5" customHeight="1">
      <c r="A359" s="5">
        <v>1.99955885186E11</v>
      </c>
      <c r="B359" s="5" t="s">
        <v>438</v>
      </c>
      <c r="C359" s="5">
        <v>51955212018</v>
      </c>
      <c r="D359" s="5" t="s">
        <v>13</v>
      </c>
      <c r="E359" s="5">
        <v>8.7547393E7</v>
      </c>
      <c r="F359" s="5" t="s">
        <v>28</v>
      </c>
      <c r="G359" s="5" t="s">
        <v>15</v>
      </c>
      <c r="H359" s="5" t="s">
        <v>188</v>
      </c>
      <c r="I359" s="6" t="s">
        <v>17</v>
      </c>
      <c r="J359" s="7" t="s">
        <v>34</v>
      </c>
      <c r="K359" s="7"/>
      <c r="L359" s="8">
        <v>1.770381660636E12</v>
      </c>
      <c r="M359" s="9"/>
      <c r="N359" s="10"/>
      <c r="O359" s="10"/>
      <c r="P359" s="10"/>
      <c r="Q359" s="10"/>
      <c r="R359" s="10"/>
      <c r="S359" s="10"/>
      <c r="T359" s="10"/>
      <c r="U359" s="10"/>
      <c r="V359" s="10"/>
    </row>
    <row r="360" ht="22.5" customHeight="1">
      <c r="A360" s="5">
        <v>1.90009434389E11</v>
      </c>
      <c r="B360" s="5" t="s">
        <v>439</v>
      </c>
      <c r="C360" s="5">
        <v>51978798943</v>
      </c>
      <c r="D360" s="5" t="s">
        <v>13</v>
      </c>
      <c r="E360" s="5">
        <v>8.0566583E7</v>
      </c>
      <c r="F360" s="5" t="s">
        <v>28</v>
      </c>
      <c r="G360" s="5" t="s">
        <v>15</v>
      </c>
      <c r="H360" s="5" t="s">
        <v>51</v>
      </c>
      <c r="I360" s="6" t="s">
        <v>17</v>
      </c>
      <c r="J360" s="7" t="s">
        <v>58</v>
      </c>
      <c r="K360" s="11" t="s">
        <v>59</v>
      </c>
      <c r="L360" s="8">
        <v>1.770382751103E12</v>
      </c>
      <c r="M360" s="9"/>
      <c r="N360" s="10"/>
      <c r="O360" s="10"/>
      <c r="P360" s="10"/>
      <c r="Q360" s="10"/>
      <c r="R360" s="10"/>
      <c r="S360" s="10"/>
      <c r="T360" s="10"/>
      <c r="U360" s="10"/>
      <c r="V360" s="10"/>
    </row>
    <row r="361" ht="22.5" customHeight="1">
      <c r="A361" s="5">
        <v>1.99854586971E11</v>
      </c>
      <c r="B361" s="5" t="s">
        <v>440</v>
      </c>
      <c r="C361" s="5">
        <v>51906490188</v>
      </c>
      <c r="D361" s="5" t="s">
        <v>13</v>
      </c>
      <c r="E361" s="5">
        <v>8.7547393E7</v>
      </c>
      <c r="F361" s="5" t="s">
        <v>28</v>
      </c>
      <c r="G361" s="5" t="s">
        <v>32</v>
      </c>
      <c r="H361" s="5" t="s">
        <v>16</v>
      </c>
      <c r="I361" s="6" t="s">
        <v>17</v>
      </c>
      <c r="J361" s="7" t="s">
        <v>34</v>
      </c>
      <c r="K361" s="7"/>
      <c r="L361" s="8">
        <v>1.770383091317E12</v>
      </c>
      <c r="M361" s="9"/>
      <c r="N361" s="10"/>
      <c r="O361" s="10"/>
      <c r="P361" s="10"/>
      <c r="Q361" s="10"/>
      <c r="R361" s="10"/>
      <c r="S361" s="10"/>
      <c r="T361" s="10"/>
      <c r="U361" s="10"/>
      <c r="V361" s="10"/>
    </row>
    <row r="362" ht="22.5" customHeight="1">
      <c r="A362" s="5">
        <v>1.63819917312E11</v>
      </c>
      <c r="B362" s="5" t="s">
        <v>441</v>
      </c>
      <c r="C362" s="5">
        <v>51992440315</v>
      </c>
      <c r="D362" s="5" t="s">
        <v>13</v>
      </c>
      <c r="E362" s="5">
        <v>8.0566583E7</v>
      </c>
      <c r="F362" s="5" t="s">
        <v>65</v>
      </c>
      <c r="G362" s="5" t="s">
        <v>32</v>
      </c>
      <c r="H362" s="5" t="s">
        <v>114</v>
      </c>
      <c r="I362" s="6" t="s">
        <v>17</v>
      </c>
      <c r="J362" s="7" t="s">
        <v>18</v>
      </c>
      <c r="K362" s="7" t="s">
        <v>116</v>
      </c>
      <c r="L362" s="8">
        <v>1.77038406306E12</v>
      </c>
      <c r="M362" s="9"/>
      <c r="N362" s="10"/>
      <c r="O362" s="10"/>
      <c r="P362" s="10"/>
      <c r="Q362" s="10"/>
      <c r="R362" s="10"/>
      <c r="S362" s="10"/>
      <c r="T362" s="10"/>
      <c r="U362" s="10"/>
      <c r="V362" s="10"/>
    </row>
    <row r="363" ht="22.5" customHeight="1">
      <c r="A363" s="5">
        <v>1.99964080423E11</v>
      </c>
      <c r="B363" s="5" t="s">
        <v>442</v>
      </c>
      <c r="C363" s="5">
        <v>51904177142</v>
      </c>
      <c r="D363" s="5" t="s">
        <v>13</v>
      </c>
      <c r="E363" s="5">
        <v>8.7547393E7</v>
      </c>
      <c r="F363" s="5" t="s">
        <v>28</v>
      </c>
      <c r="G363" s="5" t="s">
        <v>15</v>
      </c>
      <c r="H363" s="5" t="s">
        <v>16</v>
      </c>
      <c r="I363" s="6" t="s">
        <v>17</v>
      </c>
      <c r="J363" s="7" t="s">
        <v>18</v>
      </c>
      <c r="K363" s="7" t="s">
        <v>19</v>
      </c>
      <c r="L363" s="8">
        <v>1.770386632469E12</v>
      </c>
      <c r="M363" s="9"/>
      <c r="N363" s="10"/>
      <c r="O363" s="10"/>
      <c r="P363" s="10"/>
      <c r="Q363" s="10"/>
      <c r="R363" s="10"/>
      <c r="S363" s="10"/>
      <c r="T363" s="10"/>
      <c r="U363" s="10"/>
      <c r="V363" s="10"/>
    </row>
    <row r="364" ht="22.5" customHeight="1">
      <c r="A364" s="5">
        <v>1.99977366338E11</v>
      </c>
      <c r="B364" s="5" t="s">
        <v>443</v>
      </c>
      <c r="C364" s="5">
        <v>51973974597</v>
      </c>
      <c r="D364" s="5" t="s">
        <v>22</v>
      </c>
      <c r="E364" s="5">
        <v>8.7547393E7</v>
      </c>
      <c r="F364" s="5" t="s">
        <v>28</v>
      </c>
      <c r="G364" s="5">
        <v>50</v>
      </c>
      <c r="H364" s="5" t="s">
        <v>16</v>
      </c>
      <c r="I364" s="6" t="s">
        <v>17</v>
      </c>
      <c r="J364" s="7" t="s">
        <v>34</v>
      </c>
      <c r="K364" s="7"/>
      <c r="L364" s="8">
        <v>1.770388422933E12</v>
      </c>
      <c r="M364" s="9"/>
      <c r="N364" s="10"/>
      <c r="O364" s="10"/>
      <c r="P364" s="10"/>
      <c r="Q364" s="10"/>
      <c r="R364" s="10"/>
      <c r="S364" s="10"/>
      <c r="T364" s="10"/>
      <c r="U364" s="10"/>
      <c r="V364" s="10"/>
    </row>
    <row r="365" ht="22.5" customHeight="1">
      <c r="A365" s="5">
        <v>1.99881340966E11</v>
      </c>
      <c r="B365" s="5" t="s">
        <v>444</v>
      </c>
      <c r="C365" s="5">
        <v>528136408842</v>
      </c>
      <c r="D365" s="5" t="s">
        <v>13</v>
      </c>
      <c r="E365" s="5">
        <v>8.0566583E7</v>
      </c>
      <c r="F365" s="5"/>
      <c r="G365" s="5" t="s">
        <v>15</v>
      </c>
      <c r="H365" s="5" t="s">
        <v>16</v>
      </c>
      <c r="I365" s="6" t="s">
        <v>17</v>
      </c>
      <c r="J365" s="7" t="s">
        <v>58</v>
      </c>
      <c r="K365" s="11" t="s">
        <v>59</v>
      </c>
      <c r="L365" s="8">
        <v>1.770390355726E12</v>
      </c>
      <c r="M365" s="9"/>
      <c r="N365" s="10"/>
      <c r="O365" s="10"/>
      <c r="P365" s="10"/>
      <c r="Q365" s="10"/>
      <c r="R365" s="10"/>
      <c r="S365" s="10"/>
      <c r="T365" s="10"/>
      <c r="U365" s="10"/>
      <c r="V365" s="10"/>
    </row>
    <row r="366" ht="22.5" customHeight="1">
      <c r="A366" s="5">
        <v>1.99982448959E11</v>
      </c>
      <c r="B366" s="5" t="s">
        <v>445</v>
      </c>
      <c r="C366" s="5">
        <v>51920579138</v>
      </c>
      <c r="D366" s="5" t="s">
        <v>22</v>
      </c>
      <c r="E366" s="5">
        <v>8.0566583E7</v>
      </c>
      <c r="F366" s="5" t="s">
        <v>93</v>
      </c>
      <c r="G366" s="5" t="s">
        <v>32</v>
      </c>
      <c r="H366" s="5" t="s">
        <v>114</v>
      </c>
      <c r="I366" s="6" t="s">
        <v>17</v>
      </c>
      <c r="J366" s="7" t="s">
        <v>18</v>
      </c>
      <c r="K366" s="7" t="s">
        <v>116</v>
      </c>
      <c r="L366" s="8">
        <v>1.770390850745E12</v>
      </c>
      <c r="M366" s="9"/>
      <c r="N366" s="10"/>
      <c r="O366" s="10"/>
      <c r="P366" s="10"/>
      <c r="Q366" s="10"/>
      <c r="R366" s="10"/>
      <c r="S366" s="10"/>
      <c r="T366" s="10"/>
      <c r="U366" s="10"/>
      <c r="V366" s="10"/>
    </row>
    <row r="367" ht="22.5" customHeight="1">
      <c r="A367" s="5">
        <v>1.84537193382E11</v>
      </c>
      <c r="B367" s="5" t="s">
        <v>446</v>
      </c>
      <c r="C367" s="5">
        <v>5527999416545</v>
      </c>
      <c r="D367" s="5" t="s">
        <v>22</v>
      </c>
      <c r="E367" s="5">
        <v>7.9360573E7</v>
      </c>
      <c r="F367" s="5" t="s">
        <v>28</v>
      </c>
      <c r="G367" s="5">
        <v>50</v>
      </c>
      <c r="H367" s="5" t="s">
        <v>55</v>
      </c>
      <c r="I367" s="6" t="s">
        <v>17</v>
      </c>
      <c r="J367" s="7" t="s">
        <v>34</v>
      </c>
      <c r="K367" s="7"/>
      <c r="L367" s="8">
        <v>1.770391723813E12</v>
      </c>
      <c r="M367" s="9"/>
      <c r="N367" s="10"/>
      <c r="O367" s="10"/>
      <c r="P367" s="10"/>
      <c r="Q367" s="10"/>
      <c r="R367" s="10"/>
      <c r="S367" s="10"/>
      <c r="T367" s="10"/>
      <c r="U367" s="10"/>
      <c r="V367" s="10"/>
    </row>
    <row r="368" ht="22.5" customHeight="1">
      <c r="A368" s="5">
        <v>1.41630051484E11</v>
      </c>
      <c r="B368" s="5" t="s">
        <v>447</v>
      </c>
      <c r="C368" s="5">
        <v>51970434091</v>
      </c>
      <c r="D368" s="5" t="s">
        <v>13</v>
      </c>
      <c r="E368" s="5">
        <v>8.0566583E7</v>
      </c>
      <c r="F368" s="5" t="s">
        <v>23</v>
      </c>
      <c r="G368" s="5" t="s">
        <v>15</v>
      </c>
      <c r="H368" s="5" t="s">
        <v>16</v>
      </c>
      <c r="I368" s="6" t="s">
        <v>17</v>
      </c>
      <c r="J368" s="7" t="s">
        <v>18</v>
      </c>
      <c r="K368" s="7" t="s">
        <v>116</v>
      </c>
      <c r="L368" s="8">
        <v>1.770392265091E12</v>
      </c>
      <c r="M368" s="9"/>
      <c r="N368" s="10"/>
      <c r="O368" s="10"/>
      <c r="P368" s="10"/>
      <c r="Q368" s="10"/>
      <c r="R368" s="10"/>
      <c r="S368" s="10"/>
      <c r="T368" s="10"/>
      <c r="U368" s="10"/>
      <c r="V368" s="10"/>
    </row>
    <row r="369" ht="22.5" customHeight="1">
      <c r="A369" s="5">
        <v>1.99999510068E11</v>
      </c>
      <c r="B369" s="5" t="s">
        <v>448</v>
      </c>
      <c r="C369" s="5">
        <v>51956157668</v>
      </c>
      <c r="D369" s="5" t="s">
        <v>13</v>
      </c>
      <c r="E369" s="5">
        <v>8.0566583E7</v>
      </c>
      <c r="F369" s="5" t="s">
        <v>23</v>
      </c>
      <c r="G369" s="5" t="s">
        <v>32</v>
      </c>
      <c r="H369" s="5" t="s">
        <v>24</v>
      </c>
      <c r="I369" s="6" t="s">
        <v>17</v>
      </c>
      <c r="J369" s="7" t="s">
        <v>34</v>
      </c>
      <c r="K369" s="7"/>
      <c r="L369" s="8">
        <v>1.770394064379E12</v>
      </c>
      <c r="M369" s="9"/>
      <c r="N369" s="10"/>
      <c r="O369" s="10"/>
      <c r="P369" s="10"/>
      <c r="Q369" s="10"/>
      <c r="R369" s="10"/>
      <c r="S369" s="10"/>
      <c r="T369" s="10"/>
      <c r="U369" s="10"/>
      <c r="V369" s="10"/>
    </row>
    <row r="370" ht="22.5" customHeight="1">
      <c r="A370" s="5">
        <v>2.00000608617E11</v>
      </c>
      <c r="B370" s="5" t="s">
        <v>449</v>
      </c>
      <c r="C370" s="5">
        <v>51956445063</v>
      </c>
      <c r="D370" s="5" t="s">
        <v>38</v>
      </c>
      <c r="E370" s="5">
        <v>8.0566583E7</v>
      </c>
      <c r="F370" s="5" t="s">
        <v>28</v>
      </c>
      <c r="G370" s="5" t="s">
        <v>15</v>
      </c>
      <c r="H370" s="5" t="s">
        <v>165</v>
      </c>
      <c r="I370" s="6" t="s">
        <v>17</v>
      </c>
      <c r="J370" s="7" t="s">
        <v>18</v>
      </c>
      <c r="K370" s="7" t="s">
        <v>19</v>
      </c>
      <c r="L370" s="8">
        <v>1.770394671445E12</v>
      </c>
      <c r="M370" s="9"/>
      <c r="N370" s="10"/>
      <c r="O370" s="10"/>
      <c r="P370" s="10"/>
      <c r="Q370" s="10"/>
      <c r="R370" s="10"/>
      <c r="S370" s="10"/>
      <c r="T370" s="10"/>
      <c r="U370" s="10"/>
      <c r="V370" s="10"/>
    </row>
    <row r="371" ht="22.5" customHeight="1">
      <c r="A371" s="5">
        <v>2.00004436655E11</v>
      </c>
      <c r="B371" s="5" t="s">
        <v>450</v>
      </c>
      <c r="C371" s="5">
        <v>51934780651</v>
      </c>
      <c r="D371" s="5" t="s">
        <v>13</v>
      </c>
      <c r="E371" s="5">
        <v>8.7547393E7</v>
      </c>
      <c r="F371" s="5" t="s">
        <v>39</v>
      </c>
      <c r="G371" s="5" t="s">
        <v>15</v>
      </c>
      <c r="H371" s="5" t="s">
        <v>16</v>
      </c>
      <c r="I371" s="6" t="s">
        <v>17</v>
      </c>
      <c r="J371" s="7" t="s">
        <v>18</v>
      </c>
      <c r="K371" s="7" t="s">
        <v>19</v>
      </c>
      <c r="L371" s="8">
        <v>1.770395170195E12</v>
      </c>
      <c r="M371" s="9"/>
      <c r="N371" s="10"/>
      <c r="O371" s="10"/>
      <c r="P371" s="10"/>
      <c r="Q371" s="10"/>
      <c r="R371" s="10"/>
      <c r="S371" s="10"/>
      <c r="T371" s="10"/>
      <c r="U371" s="10"/>
      <c r="V371" s="10"/>
    </row>
    <row r="372" ht="22.5" customHeight="1">
      <c r="A372" s="5">
        <v>2.00064429586E11</v>
      </c>
      <c r="B372" s="5" t="s">
        <v>451</v>
      </c>
      <c r="C372" s="5">
        <v>51942353111</v>
      </c>
      <c r="D372" s="5" t="s">
        <v>13</v>
      </c>
      <c r="E372" s="5">
        <v>8.7547393E7</v>
      </c>
      <c r="F372" s="5" t="s">
        <v>39</v>
      </c>
      <c r="G372" s="5" t="s">
        <v>15</v>
      </c>
      <c r="H372" s="5" t="s">
        <v>51</v>
      </c>
      <c r="I372" s="6" t="s">
        <v>17</v>
      </c>
      <c r="J372" s="7" t="s">
        <v>58</v>
      </c>
      <c r="K372" s="11" t="s">
        <v>59</v>
      </c>
      <c r="L372" s="8">
        <v>1.770408239917E12</v>
      </c>
      <c r="M372" s="9"/>
      <c r="N372" s="10"/>
      <c r="O372" s="10"/>
      <c r="P372" s="10"/>
      <c r="Q372" s="10"/>
      <c r="R372" s="10"/>
      <c r="S372" s="10"/>
      <c r="T372" s="10"/>
      <c r="U372" s="10"/>
      <c r="V372" s="10"/>
    </row>
    <row r="373" ht="22.5" customHeight="1">
      <c r="A373" s="5">
        <v>2.00029488473E11</v>
      </c>
      <c r="B373" s="5" t="s">
        <v>452</v>
      </c>
      <c r="C373" s="5">
        <v>51954708112</v>
      </c>
      <c r="D373" s="5" t="s">
        <v>13</v>
      </c>
      <c r="E373" s="5">
        <v>8.0566583E7</v>
      </c>
      <c r="F373" s="5" t="s">
        <v>65</v>
      </c>
      <c r="G373" s="5" t="s">
        <v>32</v>
      </c>
      <c r="H373" s="5" t="s">
        <v>80</v>
      </c>
      <c r="I373" s="6" t="s">
        <v>36</v>
      </c>
      <c r="J373" s="7" t="s">
        <v>34</v>
      </c>
      <c r="K373" s="7"/>
      <c r="L373" s="8">
        <v>1.770408578113E12</v>
      </c>
      <c r="M373" s="9"/>
      <c r="N373" s="10"/>
      <c r="O373" s="10"/>
      <c r="P373" s="10"/>
      <c r="Q373" s="10"/>
      <c r="R373" s="10"/>
      <c r="S373" s="10"/>
      <c r="T373" s="10"/>
      <c r="U373" s="10"/>
      <c r="V373" s="10"/>
    </row>
    <row r="374" ht="22.5" customHeight="1">
      <c r="A374" s="5">
        <v>2.00064192258E11</v>
      </c>
      <c r="B374" s="5" t="s">
        <v>453</v>
      </c>
      <c r="C374" s="5">
        <v>51927894193</v>
      </c>
      <c r="D374" s="5" t="s">
        <v>13</v>
      </c>
      <c r="E374" s="5">
        <v>8.7547393E7</v>
      </c>
      <c r="F374" s="5" t="s">
        <v>65</v>
      </c>
      <c r="G374" s="5" t="s">
        <v>15</v>
      </c>
      <c r="H374" s="5" t="s">
        <v>66</v>
      </c>
      <c r="I374" s="6" t="s">
        <v>17</v>
      </c>
      <c r="J374" s="7" t="s">
        <v>18</v>
      </c>
      <c r="K374" s="7" t="s">
        <v>19</v>
      </c>
      <c r="L374" s="8">
        <v>1.770408922902E12</v>
      </c>
      <c r="M374" s="9"/>
      <c r="N374" s="10"/>
      <c r="O374" s="10"/>
      <c r="P374" s="10"/>
      <c r="Q374" s="10"/>
      <c r="R374" s="10"/>
      <c r="S374" s="10"/>
      <c r="T374" s="10"/>
      <c r="U374" s="10"/>
      <c r="V374" s="10"/>
    </row>
    <row r="375" ht="22.5" customHeight="1">
      <c r="A375" s="5">
        <v>2.00086252676E11</v>
      </c>
      <c r="B375" s="5" t="s">
        <v>454</v>
      </c>
      <c r="C375" s="5">
        <v>51962324668</v>
      </c>
      <c r="D375" s="5" t="s">
        <v>13</v>
      </c>
      <c r="E375" s="5">
        <v>8.0566583E7</v>
      </c>
      <c r="F375" s="5" t="s">
        <v>42</v>
      </c>
      <c r="G375" s="5" t="s">
        <v>15</v>
      </c>
      <c r="H375" s="5" t="s">
        <v>16</v>
      </c>
      <c r="I375" s="6" t="s">
        <v>17</v>
      </c>
      <c r="J375" s="7" t="s">
        <v>18</v>
      </c>
      <c r="K375" s="7" t="s">
        <v>19</v>
      </c>
      <c r="L375" s="8">
        <v>1.770412677006E12</v>
      </c>
      <c r="M375" s="9"/>
      <c r="N375" s="10"/>
      <c r="O375" s="10"/>
      <c r="P375" s="10"/>
      <c r="Q375" s="10"/>
      <c r="R375" s="10"/>
      <c r="S375" s="10"/>
      <c r="T375" s="10"/>
      <c r="U375" s="10"/>
      <c r="V375" s="10"/>
    </row>
    <row r="376" ht="22.5" customHeight="1">
      <c r="A376" s="5">
        <v>2.00114064974E11</v>
      </c>
      <c r="B376" s="5" t="s">
        <v>455</v>
      </c>
      <c r="C376" s="5">
        <v>51980633670</v>
      </c>
      <c r="D376" s="5" t="s">
        <v>22</v>
      </c>
      <c r="E376" s="5">
        <v>8.0566583E7</v>
      </c>
      <c r="F376" s="5" t="s">
        <v>42</v>
      </c>
      <c r="G376" s="5" t="s">
        <v>44</v>
      </c>
      <c r="H376" s="5" t="s">
        <v>80</v>
      </c>
      <c r="I376" s="6" t="s">
        <v>17</v>
      </c>
      <c r="J376" s="7" t="s">
        <v>25</v>
      </c>
      <c r="K376" s="7" t="s">
        <v>26</v>
      </c>
      <c r="L376" s="8">
        <v>1.770415682802E12</v>
      </c>
      <c r="M376" s="9"/>
      <c r="N376" s="10"/>
      <c r="O376" s="10"/>
      <c r="P376" s="10"/>
      <c r="Q376" s="10"/>
      <c r="R376" s="10"/>
      <c r="S376" s="10"/>
      <c r="T376" s="10"/>
      <c r="U376" s="10"/>
      <c r="V376" s="10"/>
    </row>
    <row r="377" ht="22.5" customHeight="1">
      <c r="A377" s="5">
        <v>1.76742203467E11</v>
      </c>
      <c r="B377" s="5" t="s">
        <v>456</v>
      </c>
      <c r="C377" s="5">
        <v>51904207771</v>
      </c>
      <c r="D377" s="5" t="s">
        <v>13</v>
      </c>
      <c r="E377" s="5">
        <v>8.7547393E7</v>
      </c>
      <c r="F377" s="5" t="s">
        <v>28</v>
      </c>
      <c r="G377" s="5" t="s">
        <v>32</v>
      </c>
      <c r="H377" s="5" t="s">
        <v>66</v>
      </c>
      <c r="I377" s="6" t="s">
        <v>17</v>
      </c>
      <c r="J377" s="7" t="s">
        <v>18</v>
      </c>
      <c r="K377" s="7" t="s">
        <v>19</v>
      </c>
      <c r="L377" s="8">
        <v>1.770416378575E12</v>
      </c>
      <c r="M377" s="9"/>
      <c r="N377" s="10"/>
      <c r="O377" s="10"/>
      <c r="P377" s="10"/>
      <c r="Q377" s="10"/>
      <c r="R377" s="10"/>
      <c r="S377" s="10"/>
      <c r="T377" s="10"/>
      <c r="U377" s="10"/>
      <c r="V377" s="10"/>
    </row>
    <row r="378" ht="22.5" customHeight="1">
      <c r="A378" s="5">
        <v>1.95695748509E11</v>
      </c>
      <c r="B378" s="5" t="s">
        <v>457</v>
      </c>
      <c r="C378" s="5">
        <v>51987429460</v>
      </c>
      <c r="D378" s="5" t="s">
        <v>22</v>
      </c>
      <c r="E378" s="5">
        <v>8.0566583E7</v>
      </c>
      <c r="F378" s="5" t="s">
        <v>42</v>
      </c>
      <c r="G378" s="5" t="s">
        <v>32</v>
      </c>
      <c r="H378" s="5" t="s">
        <v>114</v>
      </c>
      <c r="I378" s="6" t="s">
        <v>17</v>
      </c>
      <c r="J378" s="7" t="s">
        <v>18</v>
      </c>
      <c r="K378" s="7" t="s">
        <v>19</v>
      </c>
      <c r="L378" s="8">
        <v>1.770417084927E12</v>
      </c>
      <c r="M378" s="9"/>
      <c r="N378" s="10"/>
      <c r="O378" s="10"/>
      <c r="P378" s="10"/>
      <c r="Q378" s="10"/>
      <c r="R378" s="10"/>
      <c r="S378" s="10"/>
      <c r="T378" s="10"/>
      <c r="U378" s="10"/>
      <c r="V378" s="10"/>
    </row>
    <row r="379" ht="22.5" customHeight="1">
      <c r="A379" s="5">
        <v>2.00099370153E11</v>
      </c>
      <c r="B379" s="5" t="s">
        <v>458</v>
      </c>
      <c r="C379" s="5">
        <v>51941626014</v>
      </c>
      <c r="D379" s="5" t="s">
        <v>13</v>
      </c>
      <c r="E379" s="5">
        <v>8.0566583E7</v>
      </c>
      <c r="F379" s="5" t="s">
        <v>14</v>
      </c>
      <c r="G379" s="5" t="s">
        <v>15</v>
      </c>
      <c r="H379" s="5" t="s">
        <v>24</v>
      </c>
      <c r="I379" s="6" t="s">
        <v>36</v>
      </c>
      <c r="J379" s="7" t="s">
        <v>34</v>
      </c>
      <c r="K379" s="7"/>
      <c r="L379" s="8">
        <v>1.77041728454E12</v>
      </c>
      <c r="M379" s="9"/>
      <c r="N379" s="10"/>
      <c r="O379" s="10"/>
      <c r="P379" s="10"/>
      <c r="Q379" s="10"/>
      <c r="R379" s="10"/>
      <c r="S379" s="10"/>
      <c r="T379" s="10"/>
      <c r="U379" s="10"/>
      <c r="V379" s="10"/>
    </row>
    <row r="380" ht="22.5" customHeight="1">
      <c r="A380" s="5">
        <v>2.00098377728E11</v>
      </c>
      <c r="B380" s="5" t="s">
        <v>459</v>
      </c>
      <c r="C380" s="5">
        <v>51904201202</v>
      </c>
      <c r="D380" s="5" t="s">
        <v>22</v>
      </c>
      <c r="E380" s="5">
        <v>8.7547393E7</v>
      </c>
      <c r="F380" s="5" t="s">
        <v>65</v>
      </c>
      <c r="G380" s="5" t="s">
        <v>104</v>
      </c>
      <c r="H380" s="5" t="s">
        <v>24</v>
      </c>
      <c r="I380" s="6"/>
      <c r="J380" s="7" t="s">
        <v>34</v>
      </c>
      <c r="K380" s="7"/>
      <c r="L380" s="8">
        <v>1.770417411199E12</v>
      </c>
      <c r="M380" s="9"/>
      <c r="N380" s="10"/>
      <c r="O380" s="10"/>
      <c r="P380" s="10"/>
      <c r="Q380" s="10"/>
      <c r="R380" s="10"/>
      <c r="S380" s="10"/>
      <c r="T380" s="10"/>
      <c r="U380" s="10"/>
      <c r="V380" s="10"/>
    </row>
    <row r="381" ht="22.5" customHeight="1">
      <c r="A381" s="5">
        <v>2.00098685809E11</v>
      </c>
      <c r="B381" s="5" t="s">
        <v>460</v>
      </c>
      <c r="C381" s="5">
        <v>51932051126</v>
      </c>
      <c r="D381" s="5" t="s">
        <v>22</v>
      </c>
      <c r="E381" s="5">
        <v>8.7547393E7</v>
      </c>
      <c r="F381" s="5" t="s">
        <v>23</v>
      </c>
      <c r="G381" s="5" t="s">
        <v>44</v>
      </c>
      <c r="H381" s="5" t="s">
        <v>51</v>
      </c>
      <c r="I381" s="6" t="s">
        <v>17</v>
      </c>
      <c r="J381" s="7" t="s">
        <v>124</v>
      </c>
      <c r="K381" s="7" t="s">
        <v>461</v>
      </c>
      <c r="L381" s="8">
        <v>1.770419177353E12</v>
      </c>
      <c r="M381" s="9"/>
      <c r="N381" s="10"/>
      <c r="O381" s="10"/>
      <c r="P381" s="10"/>
      <c r="Q381" s="10"/>
      <c r="R381" s="10"/>
      <c r="S381" s="10"/>
      <c r="T381" s="10"/>
      <c r="U381" s="10"/>
      <c r="V381" s="10"/>
    </row>
    <row r="382" ht="22.5" customHeight="1">
      <c r="A382" s="5">
        <v>2.00094346936E11</v>
      </c>
      <c r="B382" s="5" t="s">
        <v>462</v>
      </c>
      <c r="C382" s="5">
        <v>593998010400</v>
      </c>
      <c r="D382" s="5" t="s">
        <v>22</v>
      </c>
      <c r="E382" s="5">
        <v>8.0566583E7</v>
      </c>
      <c r="F382" s="5" t="s">
        <v>28</v>
      </c>
      <c r="G382" s="5" t="s">
        <v>44</v>
      </c>
      <c r="H382" s="5" t="s">
        <v>33</v>
      </c>
      <c r="I382" s="6" t="s">
        <v>89</v>
      </c>
      <c r="J382" s="7" t="s">
        <v>58</v>
      </c>
      <c r="K382" s="11" t="s">
        <v>256</v>
      </c>
      <c r="L382" s="8">
        <v>1.770419245372E12</v>
      </c>
      <c r="M382" s="9"/>
      <c r="N382" s="10"/>
      <c r="O382" s="10"/>
      <c r="P382" s="10"/>
      <c r="Q382" s="10"/>
      <c r="R382" s="10"/>
      <c r="S382" s="10"/>
      <c r="T382" s="10"/>
      <c r="U382" s="10"/>
      <c r="V382" s="10"/>
    </row>
    <row r="383" ht="22.5" customHeight="1">
      <c r="A383" s="5">
        <v>2.000997292E11</v>
      </c>
      <c r="B383" s="5" t="s">
        <v>463</v>
      </c>
      <c r="C383" s="5">
        <v>51984080330</v>
      </c>
      <c r="D383" s="5" t="s">
        <v>13</v>
      </c>
      <c r="E383" s="5">
        <v>8.7547393E7</v>
      </c>
      <c r="F383" s="5" t="s">
        <v>23</v>
      </c>
      <c r="G383" s="5" t="s">
        <v>15</v>
      </c>
      <c r="H383" s="5" t="s">
        <v>114</v>
      </c>
      <c r="I383" s="6" t="s">
        <v>17</v>
      </c>
      <c r="J383" s="7" t="s">
        <v>124</v>
      </c>
      <c r="K383" s="7" t="s">
        <v>461</v>
      </c>
      <c r="L383" s="8">
        <v>1.770419606218E12</v>
      </c>
      <c r="M383" s="9"/>
      <c r="N383" s="10"/>
      <c r="O383" s="10"/>
      <c r="P383" s="10"/>
      <c r="Q383" s="10"/>
      <c r="R383" s="10"/>
      <c r="S383" s="10"/>
      <c r="T383" s="10"/>
      <c r="U383" s="10"/>
      <c r="V383" s="10"/>
    </row>
    <row r="384" ht="22.5" customHeight="1">
      <c r="A384" s="5">
        <v>2.00100332383E11</v>
      </c>
      <c r="B384" s="5" t="s">
        <v>464</v>
      </c>
      <c r="C384" s="5">
        <v>525543439044</v>
      </c>
      <c r="D384" s="5" t="s">
        <v>38</v>
      </c>
      <c r="E384" s="5">
        <v>8.0566583E7</v>
      </c>
      <c r="F384" s="5" t="s">
        <v>65</v>
      </c>
      <c r="G384" s="5" t="s">
        <v>15</v>
      </c>
      <c r="H384" s="5" t="s">
        <v>86</v>
      </c>
      <c r="I384" s="6" t="s">
        <v>17</v>
      </c>
      <c r="J384" s="7" t="s">
        <v>124</v>
      </c>
      <c r="K384" s="7" t="s">
        <v>461</v>
      </c>
      <c r="L384" s="8">
        <v>1.770419743326E12</v>
      </c>
      <c r="M384" s="9"/>
      <c r="N384" s="10"/>
      <c r="O384" s="10"/>
      <c r="P384" s="10"/>
      <c r="Q384" s="10"/>
      <c r="R384" s="10"/>
      <c r="S384" s="10"/>
      <c r="T384" s="10"/>
      <c r="U384" s="10"/>
      <c r="V384" s="10"/>
    </row>
    <row r="385" ht="22.5" customHeight="1">
      <c r="A385" s="5">
        <v>2.0011967678E11</v>
      </c>
      <c r="B385" s="5" t="s">
        <v>465</v>
      </c>
      <c r="C385" s="5">
        <v>593968923667</v>
      </c>
      <c r="D385" s="5" t="s">
        <v>103</v>
      </c>
      <c r="E385" s="5">
        <v>8.0566583E7</v>
      </c>
      <c r="F385" s="5" t="s">
        <v>93</v>
      </c>
      <c r="G385" s="5" t="s">
        <v>79</v>
      </c>
      <c r="H385" s="5" t="s">
        <v>239</v>
      </c>
      <c r="I385" s="6"/>
      <c r="J385" s="7" t="s">
        <v>25</v>
      </c>
      <c r="K385" s="7" t="s">
        <v>26</v>
      </c>
      <c r="L385" s="8">
        <v>1.770422057816E12</v>
      </c>
      <c r="M385" s="9"/>
      <c r="N385" s="10"/>
      <c r="O385" s="10"/>
      <c r="P385" s="10"/>
      <c r="Q385" s="10"/>
      <c r="R385" s="10"/>
      <c r="S385" s="10"/>
      <c r="T385" s="10"/>
      <c r="U385" s="10"/>
      <c r="V385" s="10"/>
    </row>
    <row r="386" ht="22.5" customHeight="1">
      <c r="A386" s="5">
        <v>1.99278134377E11</v>
      </c>
      <c r="B386" s="5" t="s">
        <v>466</v>
      </c>
      <c r="C386" s="5">
        <v>51999123450</v>
      </c>
      <c r="D386" s="5" t="s">
        <v>13</v>
      </c>
      <c r="E386" s="5">
        <v>8.7547393E7</v>
      </c>
      <c r="F386" s="5" t="s">
        <v>39</v>
      </c>
      <c r="G386" s="5" t="s">
        <v>15</v>
      </c>
      <c r="H386" s="5" t="s">
        <v>66</v>
      </c>
      <c r="I386" s="6" t="s">
        <v>17</v>
      </c>
      <c r="J386" s="7" t="s">
        <v>34</v>
      </c>
      <c r="K386" s="7"/>
      <c r="L386" s="8">
        <v>1.770423982594E12</v>
      </c>
      <c r="M386" s="9"/>
      <c r="N386" s="10"/>
      <c r="O386" s="10"/>
      <c r="P386" s="10"/>
      <c r="Q386" s="10"/>
      <c r="R386" s="10"/>
      <c r="S386" s="10"/>
      <c r="T386" s="10"/>
      <c r="U386" s="10"/>
      <c r="V386" s="10"/>
    </row>
    <row r="387" ht="22.5" customHeight="1">
      <c r="A387" s="5">
        <v>1.88770974501E11</v>
      </c>
      <c r="B387" s="5" t="s">
        <v>467</v>
      </c>
      <c r="C387" s="5">
        <v>51945895349</v>
      </c>
      <c r="D387" s="5"/>
      <c r="E387" s="5"/>
      <c r="F387" s="5" t="s">
        <v>28</v>
      </c>
      <c r="G387" s="5" t="s">
        <v>15</v>
      </c>
      <c r="H387" s="5" t="s">
        <v>69</v>
      </c>
      <c r="I387" s="6" t="s">
        <v>17</v>
      </c>
      <c r="J387" s="7" t="s">
        <v>58</v>
      </c>
      <c r="K387" s="11" t="s">
        <v>59</v>
      </c>
      <c r="L387" s="8">
        <v>1.770424049473E12</v>
      </c>
      <c r="M387" s="9"/>
      <c r="N387" s="10"/>
      <c r="O387" s="10"/>
      <c r="P387" s="10"/>
      <c r="Q387" s="10"/>
      <c r="R387" s="10"/>
      <c r="S387" s="10"/>
      <c r="T387" s="10"/>
      <c r="U387" s="10"/>
      <c r="V387" s="10"/>
    </row>
    <row r="388" ht="22.5" customHeight="1">
      <c r="A388" s="5">
        <v>2.00118115102E11</v>
      </c>
      <c r="B388" s="5" t="s">
        <v>468</v>
      </c>
      <c r="C388" s="5">
        <v>573004554750</v>
      </c>
      <c r="D388" s="5" t="s">
        <v>13</v>
      </c>
      <c r="E388" s="5">
        <v>8.0566583E7</v>
      </c>
      <c r="F388" s="5" t="s">
        <v>28</v>
      </c>
      <c r="G388" s="5" t="s">
        <v>15</v>
      </c>
      <c r="H388" s="5" t="s">
        <v>16</v>
      </c>
      <c r="I388" s="6" t="s">
        <v>63</v>
      </c>
      <c r="J388" s="7" t="s">
        <v>34</v>
      </c>
      <c r="K388" s="7"/>
      <c r="L388" s="8">
        <v>1.770424316017E12</v>
      </c>
      <c r="M388" s="9"/>
      <c r="N388" s="10"/>
      <c r="O388" s="10"/>
      <c r="P388" s="10"/>
      <c r="Q388" s="10"/>
      <c r="R388" s="10"/>
      <c r="S388" s="10"/>
      <c r="T388" s="10"/>
      <c r="U388" s="10"/>
      <c r="V388" s="10"/>
    </row>
    <row r="389" ht="22.5" customHeight="1">
      <c r="A389" s="5">
        <v>2.00125016324E11</v>
      </c>
      <c r="B389" s="5" t="s">
        <v>469</v>
      </c>
      <c r="C389" s="5">
        <v>5511970931622</v>
      </c>
      <c r="D389" s="5" t="s">
        <v>13</v>
      </c>
      <c r="E389" s="5">
        <v>8.7547393E7</v>
      </c>
      <c r="F389" s="5" t="s">
        <v>28</v>
      </c>
      <c r="G389" s="5" t="s">
        <v>15</v>
      </c>
      <c r="H389" s="5" t="s">
        <v>16</v>
      </c>
      <c r="I389" s="6" t="s">
        <v>17</v>
      </c>
      <c r="J389" s="7" t="s">
        <v>34</v>
      </c>
      <c r="K389" s="7"/>
      <c r="L389" s="8">
        <v>1.770425423359E12</v>
      </c>
      <c r="M389" s="9"/>
      <c r="N389" s="10"/>
      <c r="O389" s="10"/>
      <c r="P389" s="10"/>
      <c r="Q389" s="10"/>
      <c r="R389" s="10"/>
      <c r="S389" s="10"/>
      <c r="T389" s="10"/>
      <c r="U389" s="10"/>
      <c r="V389" s="10"/>
    </row>
    <row r="390" ht="22.5" customHeight="1">
      <c r="A390" s="5">
        <v>2.00107046715E11</v>
      </c>
      <c r="B390" s="5" t="s">
        <v>470</v>
      </c>
      <c r="C390" s="5">
        <v>51988065223</v>
      </c>
      <c r="D390" s="5" t="s">
        <v>22</v>
      </c>
      <c r="E390" s="5">
        <v>8.0566583E7</v>
      </c>
      <c r="F390" s="5" t="s">
        <v>31</v>
      </c>
      <c r="G390" s="5" t="s">
        <v>79</v>
      </c>
      <c r="H390" s="5" t="s">
        <v>24</v>
      </c>
      <c r="I390" s="6" t="s">
        <v>17</v>
      </c>
      <c r="J390" s="7" t="s">
        <v>34</v>
      </c>
      <c r="K390" s="7"/>
      <c r="L390" s="8">
        <v>1.770426345349E12</v>
      </c>
      <c r="M390" s="9"/>
      <c r="N390" s="10"/>
      <c r="O390" s="10"/>
      <c r="P390" s="10"/>
      <c r="Q390" s="10"/>
      <c r="R390" s="10"/>
      <c r="S390" s="10"/>
      <c r="T390" s="10"/>
      <c r="U390" s="10"/>
      <c r="V390" s="10"/>
    </row>
    <row r="391" ht="22.5" customHeight="1">
      <c r="A391" s="5">
        <v>2.00126838823E11</v>
      </c>
      <c r="B391" s="5" t="s">
        <v>471</v>
      </c>
      <c r="C391" s="5">
        <v>5551983295353</v>
      </c>
      <c r="D391" s="5" t="s">
        <v>13</v>
      </c>
      <c r="E391" s="5">
        <v>8.7547393E7</v>
      </c>
      <c r="F391" s="5" t="s">
        <v>93</v>
      </c>
      <c r="G391" s="5" t="s">
        <v>15</v>
      </c>
      <c r="H391" s="5" t="s">
        <v>51</v>
      </c>
      <c r="I391" s="6" t="s">
        <v>17</v>
      </c>
      <c r="J391" s="7" t="s">
        <v>34</v>
      </c>
      <c r="K391" s="7"/>
      <c r="L391" s="8">
        <v>1.770427358441E12</v>
      </c>
      <c r="M391" s="9"/>
      <c r="N391" s="10"/>
      <c r="O391" s="10"/>
      <c r="P391" s="10"/>
      <c r="Q391" s="10"/>
      <c r="R391" s="10"/>
      <c r="S391" s="10"/>
      <c r="T391" s="10"/>
      <c r="U391" s="10"/>
      <c r="V391" s="10"/>
    </row>
    <row r="392" ht="22.5" customHeight="1">
      <c r="A392" s="5">
        <v>2.00129599526E11</v>
      </c>
      <c r="B392" s="5" t="s">
        <v>472</v>
      </c>
      <c r="C392" s="5">
        <v>51936956306</v>
      </c>
      <c r="D392" s="5" t="s">
        <v>38</v>
      </c>
      <c r="E392" s="5">
        <v>8.7547393E7</v>
      </c>
      <c r="F392" s="5" t="s">
        <v>28</v>
      </c>
      <c r="G392" s="5" t="s">
        <v>15</v>
      </c>
      <c r="H392" s="5" t="s">
        <v>100</v>
      </c>
      <c r="I392" s="6" t="s">
        <v>17</v>
      </c>
      <c r="J392" s="7" t="s">
        <v>25</v>
      </c>
      <c r="K392" s="7" t="s">
        <v>26</v>
      </c>
      <c r="L392" s="8">
        <v>1.770432306662E12</v>
      </c>
      <c r="M392" s="9"/>
      <c r="N392" s="10"/>
      <c r="O392" s="10"/>
      <c r="P392" s="10"/>
      <c r="Q392" s="10"/>
      <c r="R392" s="10"/>
      <c r="S392" s="10"/>
      <c r="T392" s="10"/>
      <c r="U392" s="10"/>
      <c r="V392" s="10"/>
    </row>
    <row r="393" ht="22.5" customHeight="1">
      <c r="A393" s="5">
        <v>1.45190143053E11</v>
      </c>
      <c r="B393" s="5" t="s">
        <v>473</v>
      </c>
      <c r="C393" s="5">
        <v>51996482065</v>
      </c>
      <c r="D393" s="5"/>
      <c r="E393" s="5"/>
      <c r="F393" s="5"/>
      <c r="G393" s="5"/>
      <c r="H393" s="5"/>
      <c r="I393" s="6"/>
      <c r="J393" s="7" t="s">
        <v>18</v>
      </c>
      <c r="K393" s="7" t="s">
        <v>116</v>
      </c>
      <c r="L393" s="8">
        <v>1.770433016303E12</v>
      </c>
      <c r="M393" s="9"/>
      <c r="N393" s="10"/>
      <c r="O393" s="10"/>
      <c r="P393" s="10"/>
      <c r="Q393" s="10"/>
      <c r="R393" s="10"/>
      <c r="S393" s="10"/>
      <c r="T393" s="10"/>
      <c r="U393" s="10"/>
      <c r="V393" s="10"/>
    </row>
    <row r="394" ht="22.5" customHeight="1">
      <c r="A394" s="5">
        <v>2.00122113336E11</v>
      </c>
      <c r="B394" s="5" t="s">
        <v>474</v>
      </c>
      <c r="C394" s="5">
        <v>51943709354</v>
      </c>
      <c r="D394" s="5" t="s">
        <v>13</v>
      </c>
      <c r="E394" s="5">
        <v>8.7547393E7</v>
      </c>
      <c r="F394" s="5" t="s">
        <v>31</v>
      </c>
      <c r="G394" s="5" t="s">
        <v>44</v>
      </c>
      <c r="H394" s="5" t="s">
        <v>16</v>
      </c>
      <c r="I394" s="6" t="s">
        <v>49</v>
      </c>
      <c r="J394" s="7" t="s">
        <v>34</v>
      </c>
      <c r="K394" s="7"/>
      <c r="L394" s="8">
        <v>1.770433421582E12</v>
      </c>
      <c r="M394" s="9"/>
      <c r="N394" s="10"/>
      <c r="O394" s="10"/>
      <c r="P394" s="10"/>
      <c r="Q394" s="10"/>
      <c r="R394" s="10"/>
      <c r="S394" s="10"/>
      <c r="T394" s="10"/>
      <c r="U394" s="10"/>
      <c r="V394" s="10"/>
    </row>
    <row r="395" ht="22.5" customHeight="1">
      <c r="A395" s="5">
        <v>2.00152814146E11</v>
      </c>
      <c r="B395" s="5" t="s">
        <v>475</v>
      </c>
      <c r="C395" s="5">
        <v>51907142457</v>
      </c>
      <c r="D395" s="5" t="s">
        <v>13</v>
      </c>
      <c r="E395" s="5">
        <v>8.7547393E7</v>
      </c>
      <c r="F395" s="5" t="s">
        <v>39</v>
      </c>
      <c r="G395" s="5" t="s">
        <v>15</v>
      </c>
      <c r="H395" s="5" t="s">
        <v>16</v>
      </c>
      <c r="I395" s="6" t="s">
        <v>17</v>
      </c>
      <c r="J395" s="7" t="s">
        <v>34</v>
      </c>
      <c r="K395" s="7"/>
      <c r="L395" s="8">
        <v>1.770434891154E12</v>
      </c>
      <c r="M395" s="9"/>
      <c r="N395" s="10"/>
      <c r="O395" s="10"/>
      <c r="P395" s="10"/>
      <c r="Q395" s="10"/>
      <c r="R395" s="10"/>
      <c r="S395" s="10"/>
      <c r="T395" s="10"/>
      <c r="U395" s="10"/>
      <c r="V395" s="10"/>
    </row>
    <row r="396" ht="22.5" customHeight="1">
      <c r="A396" s="5">
        <v>2.00151472441E11</v>
      </c>
      <c r="B396" s="5" t="s">
        <v>476</v>
      </c>
      <c r="C396" s="5">
        <v>51946038915</v>
      </c>
      <c r="D396" s="5" t="s">
        <v>22</v>
      </c>
      <c r="E396" s="5">
        <v>8.7547393E7</v>
      </c>
      <c r="F396" s="5" t="s">
        <v>39</v>
      </c>
      <c r="G396" s="5" t="s">
        <v>44</v>
      </c>
      <c r="H396" s="5" t="s">
        <v>16</v>
      </c>
      <c r="I396" s="6" t="s">
        <v>49</v>
      </c>
      <c r="J396" s="7" t="s">
        <v>34</v>
      </c>
      <c r="K396" s="7"/>
      <c r="L396" s="8">
        <v>1.770435448761E12</v>
      </c>
      <c r="M396" s="9"/>
      <c r="N396" s="10"/>
      <c r="O396" s="10"/>
      <c r="P396" s="10"/>
      <c r="Q396" s="10"/>
      <c r="R396" s="10"/>
      <c r="S396" s="10"/>
      <c r="T396" s="10"/>
      <c r="U396" s="10"/>
      <c r="V396" s="10"/>
    </row>
    <row r="397" ht="22.5" customHeight="1">
      <c r="A397" s="5">
        <v>2.00135418215E11</v>
      </c>
      <c r="B397" s="5" t="s">
        <v>477</v>
      </c>
      <c r="C397" s="5">
        <v>51910742831</v>
      </c>
      <c r="D397" s="5" t="s">
        <v>13</v>
      </c>
      <c r="E397" s="5">
        <v>8.7547393E7</v>
      </c>
      <c r="F397" s="5" t="s">
        <v>31</v>
      </c>
      <c r="G397" s="5" t="s">
        <v>15</v>
      </c>
      <c r="H397" s="5" t="s">
        <v>51</v>
      </c>
      <c r="I397" s="6" t="s">
        <v>17</v>
      </c>
      <c r="J397" s="7" t="s">
        <v>18</v>
      </c>
      <c r="K397" s="7" t="s">
        <v>116</v>
      </c>
      <c r="L397" s="8">
        <v>1.770436895074E12</v>
      </c>
      <c r="M397" s="9"/>
      <c r="N397" s="10"/>
      <c r="O397" s="10"/>
      <c r="P397" s="10"/>
      <c r="Q397" s="10"/>
      <c r="R397" s="10"/>
      <c r="S397" s="10"/>
      <c r="T397" s="10"/>
      <c r="U397" s="10"/>
      <c r="V397" s="10"/>
    </row>
    <row r="398" ht="22.5" customHeight="1">
      <c r="A398" s="5">
        <v>2.00133236032E11</v>
      </c>
      <c r="B398" s="5" t="s">
        <v>478</v>
      </c>
      <c r="C398" s="5">
        <v>51906957522</v>
      </c>
      <c r="D398" s="5" t="s">
        <v>13</v>
      </c>
      <c r="E398" s="5">
        <v>8.7547393E7</v>
      </c>
      <c r="F398" s="5" t="s">
        <v>14</v>
      </c>
      <c r="G398" s="5" t="s">
        <v>15</v>
      </c>
      <c r="H398" s="5" t="s">
        <v>66</v>
      </c>
      <c r="I398" s="6" t="s">
        <v>17</v>
      </c>
      <c r="J398" s="7" t="s">
        <v>18</v>
      </c>
      <c r="K398" s="7" t="s">
        <v>19</v>
      </c>
      <c r="L398" s="8">
        <v>1.770437079805E12</v>
      </c>
      <c r="M398" s="9"/>
      <c r="N398" s="10"/>
      <c r="O398" s="10"/>
      <c r="P398" s="10"/>
      <c r="Q398" s="10"/>
      <c r="R398" s="10"/>
      <c r="S398" s="10"/>
      <c r="T398" s="10"/>
      <c r="U398" s="10"/>
      <c r="V398" s="10"/>
    </row>
    <row r="399" ht="22.5" customHeight="1">
      <c r="A399" s="5">
        <v>2.00148832294E11</v>
      </c>
      <c r="B399" s="5" t="s">
        <v>479</v>
      </c>
      <c r="C399" s="5">
        <v>51938647193</v>
      </c>
      <c r="D399" s="5" t="s">
        <v>13</v>
      </c>
      <c r="E399" s="5">
        <v>8.0566583E7</v>
      </c>
      <c r="F399" s="5" t="s">
        <v>14</v>
      </c>
      <c r="G399" s="5" t="s">
        <v>15</v>
      </c>
      <c r="H399" s="5" t="s">
        <v>51</v>
      </c>
      <c r="I399" s="6" t="s">
        <v>17</v>
      </c>
      <c r="J399" s="7" t="s">
        <v>18</v>
      </c>
      <c r="K399" s="7" t="s">
        <v>19</v>
      </c>
      <c r="L399" s="8">
        <v>1.770437700386E12</v>
      </c>
      <c r="M399" s="9"/>
      <c r="N399" s="10"/>
      <c r="O399" s="10"/>
      <c r="P399" s="10"/>
      <c r="Q399" s="10"/>
      <c r="R399" s="10"/>
      <c r="S399" s="10"/>
      <c r="T399" s="10"/>
      <c r="U399" s="10"/>
      <c r="V399" s="10"/>
    </row>
    <row r="400" ht="22.5" customHeight="1">
      <c r="A400" s="5">
        <v>1.56109245618E11</v>
      </c>
      <c r="B400" s="5" t="s">
        <v>480</v>
      </c>
      <c r="C400" s="5">
        <v>51989334490</v>
      </c>
      <c r="D400" s="5" t="s">
        <v>22</v>
      </c>
      <c r="E400" s="5">
        <v>8.0566583E7</v>
      </c>
      <c r="F400" s="5" t="s">
        <v>93</v>
      </c>
      <c r="G400" s="5" t="s">
        <v>44</v>
      </c>
      <c r="H400" s="5" t="s">
        <v>161</v>
      </c>
      <c r="I400" s="6" t="s">
        <v>17</v>
      </c>
      <c r="J400" s="7" t="s">
        <v>18</v>
      </c>
      <c r="K400" s="7" t="s">
        <v>116</v>
      </c>
      <c r="L400" s="8">
        <v>1.770438145453E12</v>
      </c>
      <c r="M400" s="9"/>
      <c r="N400" s="10"/>
      <c r="O400" s="10"/>
      <c r="P400" s="10"/>
      <c r="Q400" s="10"/>
      <c r="R400" s="10"/>
      <c r="S400" s="10"/>
      <c r="T400" s="10"/>
      <c r="U400" s="10"/>
      <c r="V400" s="10"/>
    </row>
    <row r="401" ht="22.5" customHeight="1">
      <c r="A401" s="5">
        <v>1.90058243631E11</v>
      </c>
      <c r="B401" s="5" t="s">
        <v>481</v>
      </c>
      <c r="C401" s="5">
        <v>5555999275687</v>
      </c>
      <c r="D401" s="5" t="s">
        <v>13</v>
      </c>
      <c r="E401" s="5">
        <v>8.7547393E7</v>
      </c>
      <c r="F401" s="5" t="s">
        <v>39</v>
      </c>
      <c r="G401" s="5" t="s">
        <v>32</v>
      </c>
      <c r="H401" s="5" t="s">
        <v>51</v>
      </c>
      <c r="I401" s="6" t="s">
        <v>17</v>
      </c>
      <c r="J401" s="7" t="s">
        <v>18</v>
      </c>
      <c r="K401" s="7" t="s">
        <v>45</v>
      </c>
      <c r="L401" s="8">
        <v>1.770443301166E12</v>
      </c>
      <c r="M401" s="9"/>
      <c r="N401" s="10"/>
      <c r="O401" s="10"/>
      <c r="P401" s="10"/>
      <c r="Q401" s="10"/>
      <c r="R401" s="10"/>
      <c r="S401" s="10"/>
      <c r="T401" s="10"/>
      <c r="U401" s="10"/>
      <c r="V401" s="10"/>
    </row>
    <row r="402" ht="22.5" customHeight="1">
      <c r="A402" s="5">
        <v>2.00157507652E11</v>
      </c>
      <c r="B402" s="5" t="s">
        <v>482</v>
      </c>
      <c r="C402" s="5">
        <v>524761391350</v>
      </c>
      <c r="D402" s="5" t="s">
        <v>13</v>
      </c>
      <c r="E402" s="5">
        <v>8.0566583E7</v>
      </c>
      <c r="F402" s="5" t="s">
        <v>93</v>
      </c>
      <c r="G402" s="5" t="s">
        <v>15</v>
      </c>
      <c r="H402" s="5" t="s">
        <v>16</v>
      </c>
      <c r="I402" s="6" t="s">
        <v>17</v>
      </c>
      <c r="J402" s="7" t="s">
        <v>58</v>
      </c>
      <c r="K402" s="11" t="s">
        <v>59</v>
      </c>
      <c r="L402" s="8">
        <v>1.770444689589E12</v>
      </c>
      <c r="M402" s="9"/>
      <c r="N402" s="10"/>
      <c r="O402" s="10"/>
      <c r="P402" s="10"/>
      <c r="Q402" s="10"/>
      <c r="R402" s="10"/>
      <c r="S402" s="10"/>
      <c r="T402" s="10"/>
      <c r="U402" s="10"/>
      <c r="V402" s="10"/>
    </row>
    <row r="403" ht="22.5" customHeight="1">
      <c r="A403" s="5">
        <v>1.67437842257E11</v>
      </c>
      <c r="B403" s="5" t="s">
        <v>483</v>
      </c>
      <c r="C403" s="5">
        <v>51999222575</v>
      </c>
      <c r="D403" s="5" t="s">
        <v>13</v>
      </c>
      <c r="E403" s="5">
        <v>8.7547393E7</v>
      </c>
      <c r="F403" s="5" t="s">
        <v>39</v>
      </c>
      <c r="G403" s="5" t="s">
        <v>32</v>
      </c>
      <c r="H403" s="5" t="s">
        <v>16</v>
      </c>
      <c r="I403" s="6" t="s">
        <v>17</v>
      </c>
      <c r="J403" s="7" t="s">
        <v>18</v>
      </c>
      <c r="K403" s="7" t="s">
        <v>19</v>
      </c>
      <c r="L403" s="8">
        <v>1.770445284382E12</v>
      </c>
      <c r="M403" s="9"/>
      <c r="N403" s="10"/>
      <c r="O403" s="10"/>
      <c r="P403" s="10"/>
      <c r="Q403" s="10"/>
      <c r="R403" s="10"/>
      <c r="S403" s="10"/>
      <c r="T403" s="10"/>
      <c r="U403" s="10"/>
      <c r="V403" s="10"/>
    </row>
    <row r="404" ht="22.5" customHeight="1">
      <c r="A404" s="5">
        <v>2.00143787095E11</v>
      </c>
      <c r="B404" s="5" t="s">
        <v>484</v>
      </c>
      <c r="C404" s="5">
        <v>529933843428</v>
      </c>
      <c r="D404" s="5" t="s">
        <v>38</v>
      </c>
      <c r="E404" s="5">
        <v>8.7547393E7</v>
      </c>
      <c r="F404" s="5"/>
      <c r="G404" s="5"/>
      <c r="H404" s="5"/>
      <c r="I404" s="6"/>
      <c r="J404" s="7" t="s">
        <v>124</v>
      </c>
      <c r="K404" s="7" t="s">
        <v>461</v>
      </c>
      <c r="L404" s="8">
        <v>1.770449353437E12</v>
      </c>
      <c r="M404" s="9"/>
      <c r="N404" s="10"/>
      <c r="O404" s="10"/>
      <c r="P404" s="10"/>
      <c r="Q404" s="10"/>
      <c r="R404" s="10"/>
      <c r="S404" s="10"/>
      <c r="T404" s="10"/>
      <c r="U404" s="10"/>
      <c r="V404" s="10"/>
    </row>
    <row r="405" ht="22.5" customHeight="1">
      <c r="A405" s="5">
        <v>2.00162727685E11</v>
      </c>
      <c r="B405" s="5" t="s">
        <v>485</v>
      </c>
      <c r="C405" s="5">
        <v>51986962358</v>
      </c>
      <c r="D405" s="5" t="s">
        <v>22</v>
      </c>
      <c r="E405" s="5">
        <v>8.0566583E7</v>
      </c>
      <c r="F405" s="5" t="s">
        <v>28</v>
      </c>
      <c r="G405" s="5" t="s">
        <v>44</v>
      </c>
      <c r="H405" s="5" t="s">
        <v>114</v>
      </c>
      <c r="I405" s="6" t="s">
        <v>17</v>
      </c>
      <c r="J405" s="7" t="s">
        <v>18</v>
      </c>
      <c r="K405" s="7" t="s">
        <v>19</v>
      </c>
      <c r="L405" s="8">
        <v>1.770454068426E12</v>
      </c>
      <c r="M405" s="9"/>
      <c r="N405" s="10"/>
      <c r="O405" s="10"/>
      <c r="P405" s="10"/>
      <c r="Q405" s="10"/>
      <c r="R405" s="10"/>
      <c r="S405" s="10"/>
      <c r="T405" s="10"/>
      <c r="U405" s="10"/>
      <c r="V405" s="10"/>
    </row>
    <row r="406" ht="22.5" customHeight="1">
      <c r="A406" s="5">
        <v>2.00165580984E11</v>
      </c>
      <c r="B406" s="5" t="s">
        <v>486</v>
      </c>
      <c r="C406" s="5">
        <v>5511912749534</v>
      </c>
      <c r="D406" s="5" t="s">
        <v>22</v>
      </c>
      <c r="E406" s="5">
        <v>8.0566583E7</v>
      </c>
      <c r="F406" s="5" t="s">
        <v>93</v>
      </c>
      <c r="G406" s="5" t="s">
        <v>44</v>
      </c>
      <c r="H406" s="5" t="s">
        <v>24</v>
      </c>
      <c r="I406" s="6" t="s">
        <v>17</v>
      </c>
      <c r="J406" s="7" t="s">
        <v>34</v>
      </c>
      <c r="K406" s="7"/>
      <c r="L406" s="8">
        <v>1.770457017367E12</v>
      </c>
      <c r="M406" s="9"/>
      <c r="N406" s="10"/>
      <c r="O406" s="10"/>
      <c r="P406" s="10"/>
      <c r="Q406" s="10"/>
      <c r="R406" s="10"/>
      <c r="S406" s="10"/>
      <c r="T406" s="10"/>
      <c r="U406" s="10"/>
      <c r="V406" s="10"/>
    </row>
    <row r="407" ht="22.5" customHeight="1">
      <c r="A407" s="5">
        <v>2.00169324048E11</v>
      </c>
      <c r="B407" s="5" t="s">
        <v>487</v>
      </c>
      <c r="C407" s="5">
        <v>51986732663</v>
      </c>
      <c r="D407" s="5" t="s">
        <v>13</v>
      </c>
      <c r="E407" s="5">
        <v>8.0566583E7</v>
      </c>
      <c r="F407" s="5" t="s">
        <v>31</v>
      </c>
      <c r="G407" s="5" t="s">
        <v>32</v>
      </c>
      <c r="H407" s="5" t="s">
        <v>16</v>
      </c>
      <c r="I407" s="6" t="s">
        <v>17</v>
      </c>
      <c r="J407" s="7" t="s">
        <v>177</v>
      </c>
      <c r="K407" s="7" t="s">
        <v>36</v>
      </c>
      <c r="L407" s="8">
        <v>1.770459090903E12</v>
      </c>
      <c r="M407" s="9"/>
      <c r="N407" s="10"/>
      <c r="O407" s="10"/>
      <c r="P407" s="10"/>
      <c r="Q407" s="10"/>
      <c r="R407" s="10"/>
      <c r="S407" s="10"/>
      <c r="T407" s="10"/>
      <c r="U407" s="10"/>
      <c r="V407" s="10"/>
    </row>
    <row r="408" ht="22.5" customHeight="1">
      <c r="A408" s="5">
        <v>2.00185313861E11</v>
      </c>
      <c r="B408" s="5" t="s">
        <v>488</v>
      </c>
      <c r="C408" s="5">
        <v>51907464313</v>
      </c>
      <c r="D408" s="5" t="s">
        <v>13</v>
      </c>
      <c r="E408" s="5">
        <v>8.0566583E7</v>
      </c>
      <c r="F408" s="5" t="s">
        <v>93</v>
      </c>
      <c r="G408" s="5" t="s">
        <v>15</v>
      </c>
      <c r="H408" s="5" t="s">
        <v>51</v>
      </c>
      <c r="I408" s="6" t="s">
        <v>17</v>
      </c>
      <c r="J408" s="7" t="s">
        <v>18</v>
      </c>
      <c r="K408" s="7" t="s">
        <v>19</v>
      </c>
      <c r="L408" s="8">
        <v>1.770464430279E12</v>
      </c>
      <c r="M408" s="9"/>
      <c r="N408" s="10"/>
      <c r="O408" s="10"/>
      <c r="P408" s="10"/>
      <c r="Q408" s="10"/>
      <c r="R408" s="10"/>
      <c r="S408" s="10"/>
      <c r="T408" s="10"/>
      <c r="U408" s="10"/>
      <c r="V408" s="10"/>
    </row>
    <row r="409" ht="22.5" customHeight="1">
      <c r="A409" s="5">
        <v>2.00173087868E11</v>
      </c>
      <c r="B409" s="5" t="s">
        <v>489</v>
      </c>
      <c r="C409" s="5">
        <v>51957860856</v>
      </c>
      <c r="D409" s="5" t="s">
        <v>22</v>
      </c>
      <c r="E409" s="5">
        <v>8.7547393E7</v>
      </c>
      <c r="F409" s="5" t="s">
        <v>65</v>
      </c>
      <c r="G409" s="5" t="s">
        <v>44</v>
      </c>
      <c r="H409" s="5" t="s">
        <v>490</v>
      </c>
      <c r="I409" s="6" t="s">
        <v>17</v>
      </c>
      <c r="J409" s="7" t="s">
        <v>18</v>
      </c>
      <c r="K409" s="7" t="s">
        <v>19</v>
      </c>
      <c r="L409" s="8">
        <v>1.770465618054E12</v>
      </c>
      <c r="M409" s="9"/>
      <c r="N409" s="10"/>
      <c r="O409" s="10"/>
      <c r="P409" s="10"/>
      <c r="Q409" s="10"/>
      <c r="R409" s="10"/>
      <c r="S409" s="10"/>
      <c r="T409" s="10"/>
      <c r="U409" s="10"/>
      <c r="V409" s="10"/>
    </row>
    <row r="410" ht="22.5" customHeight="1">
      <c r="A410" s="5">
        <v>2.00188109613E11</v>
      </c>
      <c r="B410" s="5" t="s">
        <v>491</v>
      </c>
      <c r="C410" s="5">
        <v>51936147402</v>
      </c>
      <c r="D410" s="5" t="s">
        <v>38</v>
      </c>
      <c r="E410" s="5">
        <v>8.7547393E7</v>
      </c>
      <c r="F410" s="5"/>
      <c r="G410" s="5"/>
      <c r="H410" s="5"/>
      <c r="I410" s="6"/>
      <c r="J410" s="7" t="s">
        <v>18</v>
      </c>
      <c r="K410" s="7" t="s">
        <v>19</v>
      </c>
      <c r="L410" s="8">
        <v>1.770465683814E12</v>
      </c>
      <c r="M410" s="9"/>
      <c r="N410" s="10"/>
      <c r="O410" s="10"/>
      <c r="P410" s="10"/>
      <c r="Q410" s="10"/>
      <c r="R410" s="10"/>
      <c r="S410" s="10"/>
      <c r="T410" s="10"/>
      <c r="U410" s="10"/>
      <c r="V410" s="10"/>
    </row>
    <row r="411" ht="22.5" customHeight="1">
      <c r="A411" s="5">
        <v>2.00173977222E11</v>
      </c>
      <c r="B411" s="5" t="s">
        <v>492</v>
      </c>
      <c r="C411" s="5">
        <v>51999964016</v>
      </c>
      <c r="D411" s="5" t="s">
        <v>13</v>
      </c>
      <c r="E411" s="5">
        <v>8.7547393E7</v>
      </c>
      <c r="F411" s="5" t="s">
        <v>28</v>
      </c>
      <c r="G411" s="5" t="s">
        <v>15</v>
      </c>
      <c r="H411" s="5" t="s">
        <v>51</v>
      </c>
      <c r="I411" s="6" t="s">
        <v>17</v>
      </c>
      <c r="J411" s="7" t="s">
        <v>34</v>
      </c>
      <c r="K411" s="7"/>
      <c r="L411" s="8">
        <v>1.770466815584E12</v>
      </c>
      <c r="M411" s="9"/>
      <c r="N411" s="10"/>
      <c r="O411" s="10"/>
      <c r="P411" s="10"/>
      <c r="Q411" s="10"/>
      <c r="R411" s="10"/>
      <c r="S411" s="10"/>
      <c r="T411" s="10"/>
      <c r="U411" s="10"/>
      <c r="V411" s="10"/>
    </row>
    <row r="412" ht="22.5" customHeight="1">
      <c r="A412" s="5">
        <v>2.0017684099E11</v>
      </c>
      <c r="B412" s="5" t="s">
        <v>493</v>
      </c>
      <c r="C412" s="5">
        <v>51906616981</v>
      </c>
      <c r="D412" s="5" t="s">
        <v>13</v>
      </c>
      <c r="E412" s="5">
        <v>8.0566583E7</v>
      </c>
      <c r="F412" s="5" t="s">
        <v>14</v>
      </c>
      <c r="G412" s="5" t="s">
        <v>15</v>
      </c>
      <c r="H412" s="5" t="s">
        <v>51</v>
      </c>
      <c r="I412" s="6" t="s">
        <v>17</v>
      </c>
      <c r="J412" s="7" t="s">
        <v>18</v>
      </c>
      <c r="K412" s="7" t="s">
        <v>19</v>
      </c>
      <c r="L412" s="8">
        <v>1.770470767434E12</v>
      </c>
      <c r="M412" s="9"/>
      <c r="N412" s="10"/>
      <c r="O412" s="10"/>
      <c r="P412" s="10"/>
      <c r="Q412" s="10"/>
      <c r="R412" s="10"/>
      <c r="S412" s="10"/>
      <c r="T412" s="10"/>
      <c r="U412" s="10"/>
      <c r="V412" s="10"/>
    </row>
    <row r="413" ht="22.5" customHeight="1">
      <c r="A413" s="5">
        <v>2.00178641486E11</v>
      </c>
      <c r="B413" s="5" t="s">
        <v>494</v>
      </c>
      <c r="C413" s="5">
        <v>51984431366</v>
      </c>
      <c r="D413" s="5" t="s">
        <v>13</v>
      </c>
      <c r="E413" s="5">
        <v>8.7547393E7</v>
      </c>
      <c r="F413" s="5" t="s">
        <v>65</v>
      </c>
      <c r="G413" s="5" t="s">
        <v>15</v>
      </c>
      <c r="H413" s="5" t="s">
        <v>51</v>
      </c>
      <c r="I413" s="6" t="s">
        <v>17</v>
      </c>
      <c r="J413" s="7" t="s">
        <v>18</v>
      </c>
      <c r="K413" s="7" t="s">
        <v>19</v>
      </c>
      <c r="L413" s="8">
        <v>1.770472246766E12</v>
      </c>
      <c r="M413" s="9"/>
      <c r="N413" s="10"/>
      <c r="O413" s="10"/>
      <c r="P413" s="10"/>
      <c r="Q413" s="10"/>
      <c r="R413" s="10"/>
      <c r="S413" s="10"/>
      <c r="T413" s="10"/>
      <c r="U413" s="10"/>
      <c r="V413" s="10"/>
    </row>
    <row r="414" ht="22.5" customHeight="1">
      <c r="A414" s="5">
        <v>2.00194118024E11</v>
      </c>
      <c r="B414" s="5" t="s">
        <v>495</v>
      </c>
      <c r="C414" s="5">
        <v>5532988070397</v>
      </c>
      <c r="D414" s="5" t="s">
        <v>13</v>
      </c>
      <c r="E414" s="5">
        <v>7.9360573E7</v>
      </c>
      <c r="F414" s="5"/>
      <c r="G414" s="5"/>
      <c r="H414" s="5" t="s">
        <v>29</v>
      </c>
      <c r="I414" s="6" t="s">
        <v>17</v>
      </c>
      <c r="J414" s="7" t="s">
        <v>34</v>
      </c>
      <c r="K414" s="7"/>
      <c r="L414" s="8">
        <v>1.770473716826E12</v>
      </c>
      <c r="M414" s="9"/>
      <c r="N414" s="10"/>
      <c r="O414" s="10"/>
      <c r="P414" s="10"/>
      <c r="Q414" s="10"/>
      <c r="R414" s="10"/>
      <c r="S414" s="10"/>
      <c r="T414" s="10"/>
      <c r="U414" s="10"/>
      <c r="V414" s="10"/>
    </row>
    <row r="415" ht="22.5" customHeight="1">
      <c r="A415" s="5">
        <v>1.93510848917E11</v>
      </c>
      <c r="B415" s="5" t="s">
        <v>496</v>
      </c>
      <c r="C415" s="5">
        <v>51923045218</v>
      </c>
      <c r="D415" s="5" t="s">
        <v>22</v>
      </c>
      <c r="E415" s="5">
        <v>8.0566583E7</v>
      </c>
      <c r="F415" s="5" t="s">
        <v>28</v>
      </c>
      <c r="G415" s="5" t="s">
        <v>44</v>
      </c>
      <c r="H415" s="5" t="s">
        <v>497</v>
      </c>
      <c r="I415" s="6" t="s">
        <v>17</v>
      </c>
      <c r="J415" s="7" t="s">
        <v>124</v>
      </c>
      <c r="K415" s="7" t="s">
        <v>461</v>
      </c>
      <c r="L415" s="8">
        <v>1.77047378354E12</v>
      </c>
      <c r="M415" s="9"/>
      <c r="N415" s="10"/>
      <c r="O415" s="10"/>
      <c r="P415" s="10"/>
      <c r="Q415" s="10"/>
      <c r="R415" s="10"/>
      <c r="S415" s="10"/>
      <c r="T415" s="10"/>
      <c r="U415" s="10"/>
      <c r="V415" s="10"/>
    </row>
    <row r="416" ht="22.5" customHeight="1">
      <c r="A416" s="5">
        <v>2.00179307036E11</v>
      </c>
      <c r="B416" s="5" t="s">
        <v>498</v>
      </c>
      <c r="C416" s="5">
        <v>5547997675858</v>
      </c>
      <c r="D416" s="5" t="s">
        <v>13</v>
      </c>
      <c r="E416" s="5">
        <v>8.0566583E7</v>
      </c>
      <c r="F416" s="5" t="s">
        <v>31</v>
      </c>
      <c r="G416" s="5" t="s">
        <v>15</v>
      </c>
      <c r="H416" s="5" t="s">
        <v>51</v>
      </c>
      <c r="I416" s="6" t="s">
        <v>17</v>
      </c>
      <c r="J416" s="7" t="s">
        <v>34</v>
      </c>
      <c r="K416" s="7"/>
      <c r="L416" s="8">
        <v>1.770475258909E12</v>
      </c>
      <c r="M416" s="9"/>
      <c r="N416" s="10"/>
      <c r="O416" s="10"/>
      <c r="P416" s="10"/>
      <c r="Q416" s="10"/>
      <c r="R416" s="10"/>
      <c r="S416" s="10"/>
      <c r="T416" s="10"/>
      <c r="U416" s="10"/>
      <c r="V416" s="10"/>
    </row>
    <row r="417" ht="22.5" customHeight="1">
      <c r="A417" s="5">
        <v>2.00195089428E11</v>
      </c>
      <c r="B417" s="5" t="s">
        <v>499</v>
      </c>
      <c r="C417" s="5">
        <v>51987112089</v>
      </c>
      <c r="D417" s="5" t="s">
        <v>13</v>
      </c>
      <c r="E417" s="5">
        <v>8.7547393E7</v>
      </c>
      <c r="F417" s="5" t="s">
        <v>93</v>
      </c>
      <c r="G417" s="5" t="s">
        <v>15</v>
      </c>
      <c r="H417" s="5" t="s">
        <v>16</v>
      </c>
      <c r="I417" s="6" t="s">
        <v>17</v>
      </c>
      <c r="J417" s="7" t="s">
        <v>18</v>
      </c>
      <c r="K417" s="7" t="s">
        <v>116</v>
      </c>
      <c r="L417" s="8">
        <v>1.770476502152E12</v>
      </c>
      <c r="M417" s="9"/>
      <c r="N417" s="10"/>
      <c r="O417" s="10"/>
      <c r="P417" s="10"/>
      <c r="Q417" s="10"/>
      <c r="R417" s="10"/>
      <c r="S417" s="10"/>
      <c r="T417" s="10"/>
      <c r="U417" s="10"/>
      <c r="V417" s="10"/>
    </row>
    <row r="418" ht="22.5" customHeight="1">
      <c r="A418" s="5">
        <v>2.00194437169E11</v>
      </c>
      <c r="B418" s="5" t="s">
        <v>500</v>
      </c>
      <c r="C418" s="5">
        <v>525630876372</v>
      </c>
      <c r="D418" s="5" t="s">
        <v>22</v>
      </c>
      <c r="E418" s="5">
        <v>8.7547393E7</v>
      </c>
      <c r="F418" s="5" t="s">
        <v>42</v>
      </c>
      <c r="G418" s="5" t="s">
        <v>44</v>
      </c>
      <c r="H418" s="5" t="s">
        <v>33</v>
      </c>
      <c r="I418" s="6" t="s">
        <v>17</v>
      </c>
      <c r="J418" s="7" t="s">
        <v>25</v>
      </c>
      <c r="K418" s="7" t="s">
        <v>501</v>
      </c>
      <c r="L418" s="8">
        <v>1.770477346521E12</v>
      </c>
      <c r="M418" s="9"/>
      <c r="N418" s="10"/>
      <c r="O418" s="10"/>
      <c r="P418" s="10"/>
      <c r="Q418" s="10"/>
      <c r="R418" s="10"/>
      <c r="S418" s="10"/>
      <c r="T418" s="10"/>
      <c r="U418" s="10"/>
      <c r="V418" s="10"/>
    </row>
    <row r="419" ht="22.5" customHeight="1">
      <c r="A419" s="5">
        <v>2.0018200053E11</v>
      </c>
      <c r="B419" s="5" t="s">
        <v>502</v>
      </c>
      <c r="C419" s="5">
        <v>51956261867</v>
      </c>
      <c r="D419" s="5" t="s">
        <v>13</v>
      </c>
      <c r="E419" s="5">
        <v>8.0566583E7</v>
      </c>
      <c r="F419" s="5" t="s">
        <v>42</v>
      </c>
      <c r="G419" s="5" t="s">
        <v>32</v>
      </c>
      <c r="H419" s="5" t="s">
        <v>51</v>
      </c>
      <c r="I419" s="6" t="s">
        <v>17</v>
      </c>
      <c r="J419" s="7" t="s">
        <v>124</v>
      </c>
      <c r="K419" s="7" t="s">
        <v>461</v>
      </c>
      <c r="L419" s="8">
        <v>1.770477546616E12</v>
      </c>
      <c r="M419" s="9"/>
      <c r="N419" s="10"/>
      <c r="O419" s="10"/>
      <c r="P419" s="10"/>
      <c r="Q419" s="10"/>
      <c r="R419" s="10"/>
      <c r="S419" s="10"/>
      <c r="T419" s="10"/>
      <c r="U419" s="10"/>
      <c r="V419" s="10"/>
    </row>
    <row r="420" ht="22.5" customHeight="1">
      <c r="A420" s="5">
        <v>2.00196141442E11</v>
      </c>
      <c r="B420" s="5" t="s">
        <v>503</v>
      </c>
      <c r="C420" s="5">
        <v>51921965254</v>
      </c>
      <c r="D420" s="5" t="s">
        <v>38</v>
      </c>
      <c r="E420" s="5">
        <v>8.0566583E7</v>
      </c>
      <c r="F420" s="5"/>
      <c r="G420" s="5"/>
      <c r="H420" s="5"/>
      <c r="I420" s="6"/>
      <c r="J420" s="7" t="s">
        <v>34</v>
      </c>
      <c r="K420" s="7"/>
      <c r="L420" s="8">
        <v>1.770478811066E12</v>
      </c>
      <c r="M420" s="9"/>
      <c r="N420" s="10"/>
      <c r="O420" s="10"/>
      <c r="P420" s="10"/>
      <c r="Q420" s="10"/>
      <c r="R420" s="10"/>
      <c r="S420" s="10"/>
      <c r="T420" s="10"/>
      <c r="U420" s="10"/>
      <c r="V420" s="10"/>
    </row>
    <row r="421" ht="22.5" customHeight="1">
      <c r="A421" s="5">
        <v>2.00195239526E11</v>
      </c>
      <c r="B421" s="5" t="s">
        <v>504</v>
      </c>
      <c r="C421" s="5">
        <v>51910940446</v>
      </c>
      <c r="D421" s="5" t="s">
        <v>13</v>
      </c>
      <c r="E421" s="5">
        <v>8.0566583E7</v>
      </c>
      <c r="F421" s="5" t="s">
        <v>28</v>
      </c>
      <c r="G421" s="5" t="s">
        <v>15</v>
      </c>
      <c r="H421" s="5" t="s">
        <v>505</v>
      </c>
      <c r="I421" s="6" t="s">
        <v>17</v>
      </c>
      <c r="J421" s="7" t="s">
        <v>18</v>
      </c>
      <c r="K421" s="7" t="s">
        <v>19</v>
      </c>
      <c r="L421" s="8">
        <v>1.770478937637E12</v>
      </c>
      <c r="M421" s="9"/>
      <c r="N421" s="10"/>
      <c r="O421" s="10"/>
      <c r="P421" s="10"/>
      <c r="Q421" s="10"/>
      <c r="R421" s="10"/>
      <c r="S421" s="10"/>
      <c r="T421" s="10"/>
      <c r="U421" s="10"/>
      <c r="V421" s="10"/>
    </row>
    <row r="422" ht="22.5" customHeight="1">
      <c r="A422" s="5">
        <v>1.94520613213E11</v>
      </c>
      <c r="B422" s="5" t="s">
        <v>506</v>
      </c>
      <c r="C422" s="5">
        <v>5585992668579</v>
      </c>
      <c r="D422" s="5" t="s">
        <v>38</v>
      </c>
      <c r="E422" s="5">
        <v>7.9360573E7</v>
      </c>
      <c r="F422" s="5"/>
      <c r="G422" s="5"/>
      <c r="H422" s="5"/>
      <c r="I422" s="6"/>
      <c r="J422" s="7" t="s">
        <v>34</v>
      </c>
      <c r="K422" s="7"/>
      <c r="L422" s="8">
        <v>1.770479930192E12</v>
      </c>
      <c r="M422" s="9"/>
      <c r="N422" s="10"/>
      <c r="O422" s="10"/>
      <c r="P422" s="10"/>
      <c r="Q422" s="10"/>
      <c r="R422" s="10"/>
      <c r="S422" s="10"/>
      <c r="T422" s="10"/>
      <c r="U422" s="10"/>
      <c r="V422" s="10"/>
    </row>
    <row r="423" ht="22.5" customHeight="1">
      <c r="A423" s="5">
        <v>1.65189298284E11</v>
      </c>
      <c r="B423" s="5" t="s">
        <v>507</v>
      </c>
      <c r="C423" s="5">
        <v>51965430052</v>
      </c>
      <c r="D423" s="5" t="s">
        <v>38</v>
      </c>
      <c r="E423" s="5">
        <v>8.0566583E7</v>
      </c>
      <c r="F423" s="5" t="s">
        <v>23</v>
      </c>
      <c r="G423" s="5" t="s">
        <v>260</v>
      </c>
      <c r="H423" s="5"/>
      <c r="I423" s="6"/>
      <c r="J423" s="7" t="s">
        <v>403</v>
      </c>
      <c r="K423" s="7">
        <v>1.5120012E7</v>
      </c>
      <c r="L423" s="8">
        <v>1.77048046079E12</v>
      </c>
      <c r="M423" s="9"/>
      <c r="N423" s="10"/>
      <c r="O423" s="10"/>
      <c r="P423" s="10"/>
      <c r="Q423" s="10"/>
      <c r="R423" s="10"/>
      <c r="S423" s="10"/>
      <c r="T423" s="10"/>
      <c r="U423" s="10"/>
      <c r="V423" s="10"/>
    </row>
    <row r="424" ht="22.5" customHeight="1">
      <c r="A424" s="5">
        <v>2.00204285738E11</v>
      </c>
      <c r="B424" s="5" t="s">
        <v>508</v>
      </c>
      <c r="C424" s="5">
        <v>51910220239</v>
      </c>
      <c r="D424" s="5" t="s">
        <v>13</v>
      </c>
      <c r="E424" s="5">
        <v>8.7547393E7</v>
      </c>
      <c r="F424" s="5" t="s">
        <v>65</v>
      </c>
      <c r="G424" s="5" t="s">
        <v>32</v>
      </c>
      <c r="H424" s="5" t="s">
        <v>24</v>
      </c>
      <c r="I424" s="6" t="s">
        <v>17</v>
      </c>
      <c r="J424" s="7" t="s">
        <v>25</v>
      </c>
      <c r="K424" s="7" t="s">
        <v>26</v>
      </c>
      <c r="L424" s="8">
        <v>1.770481529775E12</v>
      </c>
      <c r="M424" s="9"/>
      <c r="N424" s="10"/>
      <c r="O424" s="10"/>
      <c r="P424" s="10"/>
      <c r="Q424" s="10"/>
      <c r="R424" s="10"/>
      <c r="S424" s="10"/>
      <c r="T424" s="10"/>
      <c r="U424" s="10"/>
      <c r="V424" s="10"/>
    </row>
    <row r="425" ht="22.5" customHeight="1">
      <c r="A425" s="5">
        <v>1.79260073831E11</v>
      </c>
      <c r="B425" s="5" t="s">
        <v>509</v>
      </c>
      <c r="C425" s="5">
        <v>51992762638</v>
      </c>
      <c r="D425" s="5" t="s">
        <v>13</v>
      </c>
      <c r="E425" s="5"/>
      <c r="F425" s="5" t="s">
        <v>510</v>
      </c>
      <c r="G425" s="5" t="s">
        <v>15</v>
      </c>
      <c r="H425" s="5"/>
      <c r="I425" s="6"/>
      <c r="J425" s="7" t="s">
        <v>124</v>
      </c>
      <c r="K425" s="7" t="s">
        <v>511</v>
      </c>
      <c r="L425" s="8">
        <v>1.770483414147E12</v>
      </c>
      <c r="M425" s="9"/>
      <c r="N425" s="10"/>
      <c r="O425" s="10"/>
      <c r="P425" s="10"/>
      <c r="Q425" s="10"/>
      <c r="R425" s="10"/>
      <c r="S425" s="10"/>
      <c r="T425" s="10"/>
      <c r="U425" s="10"/>
      <c r="V425" s="10"/>
    </row>
    <row r="426" ht="22.5" customHeight="1">
      <c r="A426" s="5">
        <v>2.00181952371E11</v>
      </c>
      <c r="B426" s="5" t="s">
        <v>512</v>
      </c>
      <c r="C426" s="5">
        <v>51960584382</v>
      </c>
      <c r="D426" s="5" t="s">
        <v>13</v>
      </c>
      <c r="E426" s="5">
        <v>8.0566583E7</v>
      </c>
      <c r="F426" s="5" t="s">
        <v>39</v>
      </c>
      <c r="G426" s="5" t="s">
        <v>32</v>
      </c>
      <c r="H426" s="5" t="s">
        <v>100</v>
      </c>
      <c r="I426" s="6" t="s">
        <v>49</v>
      </c>
      <c r="J426" s="7" t="s">
        <v>124</v>
      </c>
      <c r="K426" s="7" t="s">
        <v>513</v>
      </c>
      <c r="L426" s="8">
        <v>1.770483679797E12</v>
      </c>
      <c r="M426" s="9"/>
      <c r="N426" s="10"/>
      <c r="O426" s="10"/>
      <c r="P426" s="10"/>
      <c r="Q426" s="10"/>
      <c r="R426" s="10"/>
      <c r="S426" s="10"/>
      <c r="T426" s="10"/>
      <c r="U426" s="10"/>
      <c r="V426" s="10"/>
    </row>
    <row r="427" ht="22.5" customHeight="1">
      <c r="A427" s="5">
        <v>2.00183402829E11</v>
      </c>
      <c r="B427" s="5" t="s">
        <v>514</v>
      </c>
      <c r="C427" s="5">
        <v>51930917127</v>
      </c>
      <c r="D427" s="5" t="s">
        <v>13</v>
      </c>
      <c r="E427" s="5">
        <v>8.0566583E7</v>
      </c>
      <c r="F427" s="5" t="s">
        <v>65</v>
      </c>
      <c r="G427" s="5" t="s">
        <v>15</v>
      </c>
      <c r="H427" s="5" t="s">
        <v>33</v>
      </c>
      <c r="I427" s="6" t="s">
        <v>148</v>
      </c>
      <c r="J427" s="7" t="s">
        <v>124</v>
      </c>
      <c r="K427" s="7" t="s">
        <v>513</v>
      </c>
      <c r="L427" s="8">
        <v>1.770483718421E12</v>
      </c>
      <c r="M427" s="9"/>
      <c r="N427" s="10"/>
      <c r="O427" s="10"/>
      <c r="P427" s="10"/>
      <c r="Q427" s="10"/>
      <c r="R427" s="10"/>
      <c r="S427" s="10"/>
      <c r="T427" s="10"/>
      <c r="U427" s="10"/>
      <c r="V427" s="10"/>
    </row>
    <row r="428" ht="22.5" customHeight="1">
      <c r="A428" s="5">
        <v>2.00196433072E11</v>
      </c>
      <c r="B428" s="5" t="s">
        <v>515</v>
      </c>
      <c r="C428" s="5">
        <v>51992000182</v>
      </c>
      <c r="D428" s="5" t="s">
        <v>13</v>
      </c>
      <c r="E428" s="5">
        <v>8.7547393E7</v>
      </c>
      <c r="F428" s="5" t="s">
        <v>39</v>
      </c>
      <c r="G428" s="5" t="s">
        <v>32</v>
      </c>
      <c r="H428" s="5" t="s">
        <v>16</v>
      </c>
      <c r="I428" s="6" t="s">
        <v>17</v>
      </c>
      <c r="J428" s="7" t="s">
        <v>124</v>
      </c>
      <c r="K428" s="7" t="s">
        <v>513</v>
      </c>
      <c r="L428" s="8">
        <v>1.770483737421E12</v>
      </c>
      <c r="M428" s="9"/>
      <c r="N428" s="10"/>
      <c r="O428" s="10"/>
      <c r="P428" s="10"/>
      <c r="Q428" s="10"/>
      <c r="R428" s="10"/>
      <c r="S428" s="10"/>
      <c r="T428" s="10"/>
      <c r="U428" s="10"/>
      <c r="V428" s="10"/>
    </row>
    <row r="429" ht="22.5" customHeight="1">
      <c r="A429" s="5">
        <v>2.00206005351E11</v>
      </c>
      <c r="B429" s="5" t="s">
        <v>516</v>
      </c>
      <c r="C429" s="5">
        <v>51978238968</v>
      </c>
      <c r="D429" s="5" t="s">
        <v>13</v>
      </c>
      <c r="E429" s="5">
        <v>8.0566583E7</v>
      </c>
      <c r="F429" s="5" t="s">
        <v>39</v>
      </c>
      <c r="G429" s="5" t="s">
        <v>32</v>
      </c>
      <c r="H429" s="5" t="s">
        <v>24</v>
      </c>
      <c r="I429" s="6" t="s">
        <v>17</v>
      </c>
      <c r="J429" s="7" t="s">
        <v>34</v>
      </c>
      <c r="K429" s="7"/>
      <c r="L429" s="8">
        <v>1.770483769378E12</v>
      </c>
      <c r="M429" s="9"/>
      <c r="N429" s="10"/>
      <c r="O429" s="10"/>
      <c r="P429" s="10"/>
      <c r="Q429" s="10"/>
      <c r="R429" s="10"/>
      <c r="S429" s="10"/>
      <c r="T429" s="10"/>
      <c r="U429" s="10"/>
      <c r="V429" s="10"/>
    </row>
    <row r="430" ht="22.5" customHeight="1">
      <c r="A430" s="5">
        <v>1.71813927951E11</v>
      </c>
      <c r="B430" s="5" t="s">
        <v>517</v>
      </c>
      <c r="C430" s="5">
        <v>51982856704</v>
      </c>
      <c r="D430" s="5" t="s">
        <v>13</v>
      </c>
      <c r="E430" s="5">
        <v>8.5569856E7</v>
      </c>
      <c r="F430" s="5" t="s">
        <v>28</v>
      </c>
      <c r="G430" s="5" t="s">
        <v>32</v>
      </c>
      <c r="H430" s="5" t="s">
        <v>16</v>
      </c>
      <c r="I430" s="6" t="s">
        <v>63</v>
      </c>
      <c r="J430" s="7" t="s">
        <v>124</v>
      </c>
      <c r="K430" s="7" t="s">
        <v>513</v>
      </c>
      <c r="L430" s="8">
        <v>1.770483797879E12</v>
      </c>
      <c r="M430" s="9"/>
      <c r="N430" s="10"/>
      <c r="O430" s="10"/>
      <c r="P430" s="10"/>
      <c r="Q430" s="10"/>
      <c r="R430" s="10"/>
      <c r="S430" s="10"/>
      <c r="T430" s="10"/>
      <c r="U430" s="10"/>
      <c r="V430" s="10"/>
    </row>
    <row r="431" ht="22.5" customHeight="1">
      <c r="A431" s="5">
        <v>1.56201536037E11</v>
      </c>
      <c r="B431" s="5" t="s">
        <v>518</v>
      </c>
      <c r="C431" s="5">
        <v>51921871327</v>
      </c>
      <c r="D431" s="5" t="s">
        <v>13</v>
      </c>
      <c r="E431" s="5">
        <v>8.0566583E7</v>
      </c>
      <c r="F431" s="5" t="s">
        <v>65</v>
      </c>
      <c r="G431" s="5" t="s">
        <v>15</v>
      </c>
      <c r="H431" s="5" t="s">
        <v>16</v>
      </c>
      <c r="I431" s="6" t="s">
        <v>17</v>
      </c>
      <c r="J431" s="7" t="s">
        <v>25</v>
      </c>
      <c r="K431" s="7"/>
      <c r="L431" s="8">
        <v>1.77048404614E12</v>
      </c>
      <c r="M431" s="9"/>
      <c r="N431" s="10"/>
      <c r="O431" s="10"/>
      <c r="P431" s="10"/>
      <c r="Q431" s="10"/>
      <c r="R431" s="10"/>
      <c r="S431" s="10"/>
      <c r="T431" s="10"/>
      <c r="U431" s="10"/>
      <c r="V431" s="10"/>
    </row>
    <row r="432" ht="22.5" customHeight="1">
      <c r="A432" s="5">
        <v>2.00198693966E11</v>
      </c>
      <c r="B432" s="5" t="s">
        <v>519</v>
      </c>
      <c r="C432" s="5">
        <v>51968848593</v>
      </c>
      <c r="D432" s="5"/>
      <c r="E432" s="5"/>
      <c r="F432" s="5" t="s">
        <v>14</v>
      </c>
      <c r="G432" s="5" t="s">
        <v>32</v>
      </c>
      <c r="H432" s="5" t="s">
        <v>497</v>
      </c>
      <c r="I432" s="6" t="s">
        <v>89</v>
      </c>
      <c r="J432" s="7" t="s">
        <v>124</v>
      </c>
      <c r="K432" s="7" t="s">
        <v>513</v>
      </c>
      <c r="L432" s="8">
        <v>1.770484291005E12</v>
      </c>
      <c r="M432" s="9"/>
      <c r="N432" s="10"/>
      <c r="O432" s="10"/>
      <c r="P432" s="10"/>
      <c r="Q432" s="10"/>
      <c r="R432" s="10"/>
      <c r="S432" s="10"/>
      <c r="T432" s="10"/>
      <c r="U432" s="10"/>
      <c r="V432" s="10"/>
    </row>
    <row r="433" ht="22.5" customHeight="1">
      <c r="A433" s="5">
        <v>2.00211052076E11</v>
      </c>
      <c r="B433" s="5" t="s">
        <v>520</v>
      </c>
      <c r="C433" s="5">
        <v>5548996856930</v>
      </c>
      <c r="D433" s="5" t="s">
        <v>103</v>
      </c>
      <c r="E433" s="5">
        <v>7.9360573E7</v>
      </c>
      <c r="F433" s="5" t="s">
        <v>28</v>
      </c>
      <c r="G433" s="5" t="s">
        <v>79</v>
      </c>
      <c r="H433" s="5" t="s">
        <v>24</v>
      </c>
      <c r="I433" s="6" t="s">
        <v>17</v>
      </c>
      <c r="J433" s="7" t="s">
        <v>34</v>
      </c>
      <c r="K433" s="7"/>
      <c r="L433" s="8">
        <v>1.77048453845E12</v>
      </c>
      <c r="M433" s="9"/>
      <c r="N433" s="10"/>
      <c r="O433" s="10"/>
      <c r="P433" s="10"/>
      <c r="Q433" s="10"/>
      <c r="R433" s="10"/>
      <c r="S433" s="10"/>
      <c r="T433" s="10"/>
      <c r="U433" s="10"/>
      <c r="V433" s="10"/>
    </row>
    <row r="434" ht="22.5" customHeight="1">
      <c r="A434" s="5">
        <v>2.00206652567E11</v>
      </c>
      <c r="B434" s="5" t="s">
        <v>521</v>
      </c>
      <c r="C434" s="5">
        <v>51982096929</v>
      </c>
      <c r="D434" s="5" t="s">
        <v>13</v>
      </c>
      <c r="E434" s="5">
        <v>8.0566583E7</v>
      </c>
      <c r="F434" s="5" t="s">
        <v>28</v>
      </c>
      <c r="G434" s="5" t="s">
        <v>32</v>
      </c>
      <c r="H434" s="5" t="s">
        <v>16</v>
      </c>
      <c r="I434" s="6" t="s">
        <v>17</v>
      </c>
      <c r="J434" s="7" t="s">
        <v>18</v>
      </c>
      <c r="K434" s="7" t="s">
        <v>19</v>
      </c>
      <c r="L434" s="8">
        <v>1.770484930863E12</v>
      </c>
      <c r="M434" s="9"/>
      <c r="N434" s="10"/>
      <c r="O434" s="10"/>
      <c r="P434" s="10"/>
      <c r="Q434" s="10"/>
      <c r="R434" s="10"/>
      <c r="S434" s="10"/>
      <c r="T434" s="10"/>
      <c r="U434" s="10"/>
      <c r="V434" s="10"/>
    </row>
    <row r="435" ht="22.5" customHeight="1">
      <c r="A435" s="5">
        <v>2.00213032026E11</v>
      </c>
      <c r="B435" s="5" t="s">
        <v>522</v>
      </c>
      <c r="C435" s="5">
        <v>51930981197</v>
      </c>
      <c r="D435" s="5" t="s">
        <v>13</v>
      </c>
      <c r="E435" s="5">
        <v>8.7547393E7</v>
      </c>
      <c r="F435" s="5" t="s">
        <v>14</v>
      </c>
      <c r="G435" s="5" t="s">
        <v>15</v>
      </c>
      <c r="H435" s="5" t="s">
        <v>66</v>
      </c>
      <c r="I435" s="6"/>
      <c r="J435" s="7" t="s">
        <v>18</v>
      </c>
      <c r="K435" s="7" t="s">
        <v>19</v>
      </c>
      <c r="L435" s="8">
        <v>1.77048657512E12</v>
      </c>
      <c r="M435" s="9"/>
      <c r="N435" s="10"/>
      <c r="O435" s="10"/>
      <c r="P435" s="10"/>
      <c r="Q435" s="10"/>
      <c r="R435" s="10"/>
      <c r="S435" s="10"/>
      <c r="T435" s="10"/>
      <c r="U435" s="10"/>
      <c r="V435" s="10"/>
    </row>
    <row r="436" ht="22.5" customHeight="1">
      <c r="A436" s="5">
        <v>2.00215610543E11</v>
      </c>
      <c r="B436" s="5" t="s">
        <v>523</v>
      </c>
      <c r="C436" s="5">
        <v>51941025658</v>
      </c>
      <c r="D436" s="5" t="s">
        <v>13</v>
      </c>
      <c r="E436" s="5">
        <v>8.0566583E7</v>
      </c>
      <c r="F436" s="5" t="s">
        <v>14</v>
      </c>
      <c r="G436" s="5" t="s">
        <v>32</v>
      </c>
      <c r="H436" s="5" t="s">
        <v>16</v>
      </c>
      <c r="I436" s="6" t="s">
        <v>17</v>
      </c>
      <c r="J436" s="7" t="s">
        <v>34</v>
      </c>
      <c r="K436" s="7"/>
      <c r="L436" s="8">
        <v>1.770488230949E12</v>
      </c>
      <c r="M436" s="9"/>
      <c r="N436" s="10"/>
      <c r="O436" s="10"/>
      <c r="P436" s="10"/>
      <c r="Q436" s="10"/>
      <c r="R436" s="10"/>
      <c r="S436" s="10"/>
      <c r="T436" s="10"/>
      <c r="U436" s="10"/>
      <c r="V436" s="10"/>
    </row>
    <row r="437" ht="22.5" customHeight="1">
      <c r="A437" s="5">
        <v>2.00219136826E11</v>
      </c>
      <c r="B437" s="5" t="s">
        <v>524</v>
      </c>
      <c r="C437" s="5">
        <v>5512996001261</v>
      </c>
      <c r="D437" s="5" t="s">
        <v>13</v>
      </c>
      <c r="E437" s="5">
        <v>8.7547393E7</v>
      </c>
      <c r="F437" s="5" t="s">
        <v>28</v>
      </c>
      <c r="G437" s="5" t="s">
        <v>15</v>
      </c>
      <c r="H437" s="5" t="s">
        <v>51</v>
      </c>
      <c r="I437" s="6" t="s">
        <v>17</v>
      </c>
      <c r="J437" s="7" t="s">
        <v>34</v>
      </c>
      <c r="K437" s="7"/>
      <c r="L437" s="8">
        <v>1.770490550645E12</v>
      </c>
      <c r="M437" s="9"/>
      <c r="N437" s="10"/>
      <c r="O437" s="10"/>
      <c r="P437" s="10"/>
      <c r="Q437" s="10"/>
      <c r="R437" s="10"/>
      <c r="S437" s="10"/>
      <c r="T437" s="10"/>
      <c r="U437" s="10"/>
      <c r="V437" s="10"/>
    </row>
    <row r="438" ht="22.5" customHeight="1">
      <c r="A438" s="5">
        <v>2.00219330433E11</v>
      </c>
      <c r="B438" s="5" t="s">
        <v>525</v>
      </c>
      <c r="C438" s="5">
        <v>51945224109</v>
      </c>
      <c r="D438" s="5" t="s">
        <v>38</v>
      </c>
      <c r="E438" s="5">
        <v>8.0566583E7</v>
      </c>
      <c r="F438" s="5"/>
      <c r="G438" s="5"/>
      <c r="H438" s="5"/>
      <c r="I438" s="6"/>
      <c r="J438" s="7" t="s">
        <v>34</v>
      </c>
      <c r="K438" s="7"/>
      <c r="L438" s="8">
        <v>1.770491509373E12</v>
      </c>
      <c r="M438" s="9"/>
      <c r="N438" s="10"/>
      <c r="O438" s="10"/>
      <c r="P438" s="10"/>
      <c r="Q438" s="10"/>
      <c r="R438" s="10"/>
      <c r="S438" s="10"/>
      <c r="T438" s="10"/>
      <c r="U438" s="10"/>
      <c r="V438" s="10"/>
    </row>
    <row r="439" ht="22.5" customHeight="1">
      <c r="A439" s="5">
        <v>1.61507626817E11</v>
      </c>
      <c r="B439" s="5" t="s">
        <v>526</v>
      </c>
      <c r="C439" s="5">
        <v>51964538043</v>
      </c>
      <c r="D439" s="5" t="s">
        <v>13</v>
      </c>
      <c r="E439" s="5">
        <v>8.0566583E7</v>
      </c>
      <c r="F439" s="5" t="s">
        <v>28</v>
      </c>
      <c r="G439" s="5" t="s">
        <v>15</v>
      </c>
      <c r="H439" s="5" t="s">
        <v>16</v>
      </c>
      <c r="I439" s="6" t="s">
        <v>36</v>
      </c>
      <c r="J439" s="7" t="s">
        <v>34</v>
      </c>
      <c r="K439" s="7"/>
      <c r="L439" s="8">
        <v>1.770494353706E12</v>
      </c>
      <c r="M439" s="9"/>
      <c r="N439" s="10"/>
      <c r="O439" s="10"/>
      <c r="P439" s="10"/>
      <c r="Q439" s="10"/>
      <c r="R439" s="10"/>
      <c r="S439" s="10"/>
      <c r="T439" s="10"/>
      <c r="U439" s="10"/>
      <c r="V439" s="10"/>
    </row>
    <row r="440" ht="22.5" customHeight="1">
      <c r="A440" s="5">
        <v>2.00229309282E11</v>
      </c>
      <c r="B440" s="5" t="s">
        <v>527</v>
      </c>
      <c r="C440" s="5">
        <v>526871772906</v>
      </c>
      <c r="D440" s="5" t="s">
        <v>13</v>
      </c>
      <c r="E440" s="5">
        <v>8.0566583E7</v>
      </c>
      <c r="F440" s="5" t="s">
        <v>28</v>
      </c>
      <c r="G440" s="5" t="s">
        <v>15</v>
      </c>
      <c r="H440" s="5" t="s">
        <v>16</v>
      </c>
      <c r="I440" s="6" t="s">
        <v>17</v>
      </c>
      <c r="J440" s="7" t="s">
        <v>34</v>
      </c>
      <c r="K440" s="7"/>
      <c r="L440" s="8">
        <v>1.770495206964E12</v>
      </c>
      <c r="M440" s="9"/>
      <c r="N440" s="10"/>
      <c r="O440" s="10"/>
      <c r="P440" s="10"/>
      <c r="Q440" s="10"/>
      <c r="R440" s="10"/>
      <c r="S440" s="10"/>
      <c r="T440" s="10"/>
      <c r="U440" s="10"/>
      <c r="V440" s="10"/>
    </row>
    <row r="441" ht="22.5" customHeight="1">
      <c r="A441" s="5">
        <v>1.95511440056E11</v>
      </c>
      <c r="B441" s="5" t="s">
        <v>528</v>
      </c>
      <c r="C441" s="5">
        <v>51918104627</v>
      </c>
      <c r="D441" s="5" t="s">
        <v>13</v>
      </c>
      <c r="E441" s="5">
        <v>8.7547393E7</v>
      </c>
      <c r="F441" s="5" t="s">
        <v>28</v>
      </c>
      <c r="G441" s="5" t="s">
        <v>15</v>
      </c>
      <c r="H441" s="5" t="s">
        <v>51</v>
      </c>
      <c r="I441" s="6" t="s">
        <v>17</v>
      </c>
      <c r="J441" s="7" t="s">
        <v>18</v>
      </c>
      <c r="K441" s="7" t="s">
        <v>19</v>
      </c>
      <c r="L441" s="8">
        <v>1.770496263775E12</v>
      </c>
      <c r="M441" s="9"/>
      <c r="N441" s="10"/>
      <c r="O441" s="10"/>
      <c r="P441" s="10"/>
      <c r="Q441" s="10"/>
      <c r="R441" s="10"/>
      <c r="S441" s="10"/>
      <c r="T441" s="10"/>
      <c r="U441" s="10"/>
      <c r="V441" s="10"/>
    </row>
    <row r="442" ht="22.5" customHeight="1">
      <c r="A442" s="5">
        <v>2.00234763842E11</v>
      </c>
      <c r="B442" s="5" t="s">
        <v>529</v>
      </c>
      <c r="C442" s="5">
        <v>51922224281</v>
      </c>
      <c r="D442" s="5" t="s">
        <v>22</v>
      </c>
      <c r="E442" s="5">
        <v>8.7547393E7</v>
      </c>
      <c r="F442" s="5" t="s">
        <v>42</v>
      </c>
      <c r="G442" s="5" t="s">
        <v>44</v>
      </c>
      <c r="H442" s="5" t="s">
        <v>16</v>
      </c>
      <c r="I442" s="6" t="s">
        <v>17</v>
      </c>
      <c r="J442" s="7" t="s">
        <v>18</v>
      </c>
      <c r="K442" s="7" t="s">
        <v>19</v>
      </c>
      <c r="L442" s="8">
        <v>1.770499288225E12</v>
      </c>
      <c r="M442" s="9"/>
      <c r="N442" s="10"/>
      <c r="O442" s="10"/>
      <c r="P442" s="10"/>
      <c r="Q442" s="10"/>
      <c r="R442" s="10"/>
      <c r="S442" s="10"/>
      <c r="T442" s="10"/>
      <c r="U442" s="10"/>
      <c r="V442" s="10"/>
    </row>
    <row r="443" ht="22.5" customHeight="1">
      <c r="A443" s="5">
        <v>2.00241215332E11</v>
      </c>
      <c r="B443" s="5" t="s">
        <v>530</v>
      </c>
      <c r="C443" s="5">
        <v>524771595715</v>
      </c>
      <c r="D443" s="5" t="s">
        <v>13</v>
      </c>
      <c r="E443" s="5">
        <v>8.7547393E7</v>
      </c>
      <c r="F443" s="5" t="s">
        <v>42</v>
      </c>
      <c r="G443" s="5" t="s">
        <v>15</v>
      </c>
      <c r="H443" s="5" t="s">
        <v>16</v>
      </c>
      <c r="I443" s="6" t="s">
        <v>17</v>
      </c>
      <c r="J443" s="7" t="s">
        <v>58</v>
      </c>
      <c r="K443" s="11" t="s">
        <v>59</v>
      </c>
      <c r="L443" s="8">
        <v>1.77050003668E12</v>
      </c>
      <c r="M443" s="9"/>
      <c r="N443" s="10"/>
      <c r="O443" s="10"/>
      <c r="P443" s="10"/>
      <c r="Q443" s="10"/>
      <c r="R443" s="10"/>
      <c r="S443" s="10"/>
      <c r="T443" s="10"/>
      <c r="U443" s="10"/>
      <c r="V443" s="10"/>
    </row>
    <row r="444" ht="22.5" customHeight="1">
      <c r="A444" s="5">
        <v>2.00241010563E11</v>
      </c>
      <c r="B444" s="5" t="s">
        <v>531</v>
      </c>
      <c r="C444" s="5">
        <v>5511989694091</v>
      </c>
      <c r="D444" s="5" t="s">
        <v>13</v>
      </c>
      <c r="E444" s="5">
        <v>8.0566583E7</v>
      </c>
      <c r="F444" s="5" t="s">
        <v>14</v>
      </c>
      <c r="G444" s="5" t="s">
        <v>15</v>
      </c>
      <c r="H444" s="5" t="s">
        <v>66</v>
      </c>
      <c r="I444" s="6" t="s">
        <v>17</v>
      </c>
      <c r="J444" s="7" t="s">
        <v>34</v>
      </c>
      <c r="K444" s="7"/>
      <c r="L444" s="8">
        <v>1.770500868082E12</v>
      </c>
      <c r="M444" s="9"/>
      <c r="N444" s="10"/>
      <c r="O444" s="10"/>
      <c r="P444" s="10"/>
      <c r="Q444" s="10"/>
      <c r="R444" s="10"/>
      <c r="S444" s="10"/>
      <c r="T444" s="10"/>
      <c r="U444" s="10"/>
      <c r="V444" s="10"/>
    </row>
    <row r="445" ht="22.5" customHeight="1">
      <c r="A445" s="5">
        <v>1.89984072276E11</v>
      </c>
      <c r="B445" s="5" t="s">
        <v>532</v>
      </c>
      <c r="C445" s="5">
        <v>51942607562</v>
      </c>
      <c r="D445" s="5" t="s">
        <v>13</v>
      </c>
      <c r="E445" s="5">
        <v>8.7547393E7</v>
      </c>
      <c r="F445" s="5" t="s">
        <v>28</v>
      </c>
      <c r="G445" s="5" t="s">
        <v>15</v>
      </c>
      <c r="H445" s="5" t="s">
        <v>16</v>
      </c>
      <c r="I445" s="6" t="s">
        <v>63</v>
      </c>
      <c r="J445" s="7" t="s">
        <v>18</v>
      </c>
      <c r="K445" s="7" t="s">
        <v>19</v>
      </c>
      <c r="L445" s="8">
        <v>1.770502023087E12</v>
      </c>
      <c r="M445" s="9"/>
      <c r="N445" s="10"/>
      <c r="O445" s="10"/>
      <c r="P445" s="10"/>
      <c r="Q445" s="10"/>
      <c r="R445" s="10"/>
      <c r="S445" s="10"/>
      <c r="T445" s="10"/>
      <c r="U445" s="10"/>
      <c r="V445" s="10"/>
    </row>
    <row r="446" ht="22.5" customHeight="1">
      <c r="A446" s="5">
        <v>2.00239234423E11</v>
      </c>
      <c r="B446" s="5" t="s">
        <v>533</v>
      </c>
      <c r="C446" s="5">
        <v>51973856239</v>
      </c>
      <c r="D446" s="5" t="s">
        <v>13</v>
      </c>
      <c r="E446" s="5">
        <v>8.7547393E7</v>
      </c>
      <c r="F446" s="5" t="s">
        <v>42</v>
      </c>
      <c r="G446" s="5" t="s">
        <v>15</v>
      </c>
      <c r="H446" s="5" t="s">
        <v>16</v>
      </c>
      <c r="I446" s="6" t="s">
        <v>17</v>
      </c>
      <c r="J446" s="7" t="s">
        <v>18</v>
      </c>
      <c r="K446" s="7" t="s">
        <v>19</v>
      </c>
      <c r="L446" s="8">
        <v>1.770502497092E12</v>
      </c>
      <c r="M446" s="9"/>
      <c r="N446" s="10"/>
      <c r="O446" s="10"/>
      <c r="P446" s="10"/>
      <c r="Q446" s="10"/>
      <c r="R446" s="10"/>
      <c r="S446" s="10"/>
      <c r="T446" s="10"/>
      <c r="U446" s="10"/>
      <c r="V446" s="10"/>
    </row>
    <row r="447" ht="22.5" customHeight="1">
      <c r="A447" s="5">
        <v>2.00247274779E11</v>
      </c>
      <c r="B447" s="5" t="s">
        <v>534</v>
      </c>
      <c r="C447" s="5">
        <v>51999116001</v>
      </c>
      <c r="D447" s="5" t="s">
        <v>38</v>
      </c>
      <c r="E447" s="5">
        <v>8.7547393E7</v>
      </c>
      <c r="F447" s="5"/>
      <c r="G447" s="5"/>
      <c r="H447" s="5"/>
      <c r="I447" s="6"/>
      <c r="J447" s="7" t="s">
        <v>58</v>
      </c>
      <c r="K447" s="11" t="s">
        <v>59</v>
      </c>
      <c r="L447" s="8">
        <v>1.770504150691E12</v>
      </c>
      <c r="M447" s="9"/>
      <c r="N447" s="10"/>
      <c r="O447" s="10"/>
      <c r="P447" s="10"/>
      <c r="Q447" s="10"/>
      <c r="R447" s="10"/>
      <c r="S447" s="10"/>
      <c r="T447" s="10"/>
      <c r="U447" s="10"/>
      <c r="V447" s="10"/>
    </row>
    <row r="448" ht="22.5" customHeight="1">
      <c r="A448" s="5">
        <v>2.00254183452E11</v>
      </c>
      <c r="B448" s="5" t="s">
        <v>535</v>
      </c>
      <c r="C448" s="5">
        <v>51941331638</v>
      </c>
      <c r="D448" s="5" t="s">
        <v>13</v>
      </c>
      <c r="E448" s="5">
        <v>8.7547393E7</v>
      </c>
      <c r="F448" s="5" t="s">
        <v>23</v>
      </c>
      <c r="G448" s="5" t="s">
        <v>32</v>
      </c>
      <c r="H448" s="5" t="s">
        <v>66</v>
      </c>
      <c r="I448" s="6" t="s">
        <v>17</v>
      </c>
      <c r="J448" s="7" t="s">
        <v>18</v>
      </c>
      <c r="K448" s="7" t="s">
        <v>19</v>
      </c>
      <c r="L448" s="8">
        <v>1.770505403375E12</v>
      </c>
      <c r="M448" s="9"/>
      <c r="N448" s="10"/>
      <c r="O448" s="10"/>
      <c r="P448" s="10"/>
      <c r="Q448" s="10"/>
      <c r="R448" s="10"/>
      <c r="S448" s="10"/>
      <c r="T448" s="10"/>
      <c r="U448" s="10"/>
      <c r="V448" s="10"/>
    </row>
    <row r="449" ht="22.5" customHeight="1">
      <c r="A449" s="5">
        <v>2.00248536176E11</v>
      </c>
      <c r="B449" s="5" t="s">
        <v>536</v>
      </c>
      <c r="C449" s="5">
        <v>51993155100</v>
      </c>
      <c r="D449" s="5" t="s">
        <v>13</v>
      </c>
      <c r="E449" s="5">
        <v>8.0566583E7</v>
      </c>
      <c r="F449" s="5" t="s">
        <v>28</v>
      </c>
      <c r="G449" s="5" t="s">
        <v>15</v>
      </c>
      <c r="H449" s="5" t="s">
        <v>51</v>
      </c>
      <c r="I449" s="6" t="s">
        <v>89</v>
      </c>
      <c r="J449" s="7" t="s">
        <v>18</v>
      </c>
      <c r="K449" s="7" t="s">
        <v>19</v>
      </c>
      <c r="L449" s="8">
        <v>1.770506491199E12</v>
      </c>
      <c r="M449" s="9"/>
      <c r="N449" s="10"/>
      <c r="O449" s="10"/>
      <c r="P449" s="10"/>
      <c r="Q449" s="10"/>
      <c r="R449" s="10"/>
      <c r="S449" s="10"/>
      <c r="T449" s="10"/>
      <c r="U449" s="10"/>
      <c r="V449" s="10"/>
    </row>
    <row r="450" ht="22.5" customHeight="1">
      <c r="A450" s="5">
        <v>2.00257667915E11</v>
      </c>
      <c r="B450" s="5" t="s">
        <v>537</v>
      </c>
      <c r="C450" s="5">
        <v>51932303180</v>
      </c>
      <c r="D450" s="5" t="s">
        <v>13</v>
      </c>
      <c r="E450" s="5">
        <v>8.7547393E7</v>
      </c>
      <c r="F450" s="5" t="s">
        <v>28</v>
      </c>
      <c r="G450" s="5" t="s">
        <v>15</v>
      </c>
      <c r="H450" s="5" t="s">
        <v>16</v>
      </c>
      <c r="I450" s="6" t="s">
        <v>17</v>
      </c>
      <c r="J450" s="7" t="s">
        <v>25</v>
      </c>
      <c r="K450" s="7" t="s">
        <v>26</v>
      </c>
      <c r="L450" s="8">
        <v>1.770509239156E12</v>
      </c>
      <c r="M450" s="9"/>
      <c r="N450" s="10"/>
      <c r="O450" s="10"/>
      <c r="P450" s="10"/>
      <c r="Q450" s="10"/>
      <c r="R450" s="10"/>
      <c r="S450" s="10"/>
      <c r="T450" s="10"/>
      <c r="U450" s="10"/>
      <c r="V450" s="10"/>
    </row>
    <row r="451" ht="22.5" customHeight="1">
      <c r="A451" s="5">
        <v>2.00251689647E11</v>
      </c>
      <c r="B451" s="5" t="s">
        <v>538</v>
      </c>
      <c r="C451" s="5">
        <v>51970960752</v>
      </c>
      <c r="D451" s="5" t="s">
        <v>13</v>
      </c>
      <c r="E451" s="5">
        <v>8.7547393E7</v>
      </c>
      <c r="F451" s="5" t="s">
        <v>39</v>
      </c>
      <c r="G451" s="5" t="s">
        <v>32</v>
      </c>
      <c r="H451" s="5" t="s">
        <v>24</v>
      </c>
      <c r="I451" s="6" t="s">
        <v>17</v>
      </c>
      <c r="J451" s="7" t="s">
        <v>18</v>
      </c>
      <c r="K451" s="7" t="s">
        <v>19</v>
      </c>
      <c r="L451" s="8">
        <v>1.770510893905E12</v>
      </c>
      <c r="M451" s="9"/>
      <c r="N451" s="10"/>
      <c r="O451" s="10"/>
      <c r="P451" s="10"/>
      <c r="Q451" s="10"/>
      <c r="R451" s="10"/>
      <c r="S451" s="10"/>
      <c r="T451" s="10"/>
      <c r="U451" s="10"/>
      <c r="V451" s="10"/>
    </row>
    <row r="452" ht="22.5" customHeight="1">
      <c r="A452" s="5">
        <v>2.00265244795E11</v>
      </c>
      <c r="B452" s="5" t="s">
        <v>539</v>
      </c>
      <c r="C452" s="5">
        <v>51973021342</v>
      </c>
      <c r="D452" s="5" t="s">
        <v>13</v>
      </c>
      <c r="E452" s="5">
        <v>8.0566583E7</v>
      </c>
      <c r="F452" s="5" t="s">
        <v>65</v>
      </c>
      <c r="G452" s="5" t="s">
        <v>15</v>
      </c>
      <c r="H452" s="5" t="s">
        <v>33</v>
      </c>
      <c r="I452" s="6" t="s">
        <v>148</v>
      </c>
      <c r="J452" s="7" t="s">
        <v>34</v>
      </c>
      <c r="K452" s="7"/>
      <c r="L452" s="8">
        <v>1.770518566649E12</v>
      </c>
      <c r="M452" s="9"/>
      <c r="N452" s="10"/>
      <c r="O452" s="10"/>
      <c r="P452" s="10"/>
      <c r="Q452" s="10"/>
      <c r="R452" s="10"/>
      <c r="S452" s="10"/>
      <c r="T452" s="10"/>
      <c r="U452" s="10"/>
      <c r="V452" s="10"/>
    </row>
    <row r="453" ht="22.5" customHeight="1">
      <c r="A453" s="5">
        <v>2.00274500242E11</v>
      </c>
      <c r="B453" s="5" t="s">
        <v>540</v>
      </c>
      <c r="C453" s="5">
        <v>51920022337</v>
      </c>
      <c r="D453" s="5" t="s">
        <v>13</v>
      </c>
      <c r="E453" s="5">
        <v>8.7547393E7</v>
      </c>
      <c r="F453" s="5" t="s">
        <v>28</v>
      </c>
      <c r="G453" s="5" t="s">
        <v>32</v>
      </c>
      <c r="H453" s="5" t="s">
        <v>51</v>
      </c>
      <c r="I453" s="6" t="s">
        <v>17</v>
      </c>
      <c r="J453" s="7" t="s">
        <v>18</v>
      </c>
      <c r="K453" s="7" t="s">
        <v>19</v>
      </c>
      <c r="L453" s="8">
        <v>1.770518683187E12</v>
      </c>
      <c r="M453" s="9"/>
      <c r="N453" s="10"/>
      <c r="O453" s="10"/>
      <c r="P453" s="10"/>
      <c r="Q453" s="10"/>
      <c r="R453" s="10"/>
      <c r="S453" s="10"/>
      <c r="T453" s="10"/>
      <c r="U453" s="10"/>
      <c r="V453" s="10"/>
    </row>
    <row r="454" ht="22.5" customHeight="1">
      <c r="A454" s="5">
        <v>2.0027051766E11</v>
      </c>
      <c r="B454" s="5" t="s">
        <v>541</v>
      </c>
      <c r="C454" s="5">
        <v>524778251645</v>
      </c>
      <c r="D454" s="5" t="s">
        <v>13</v>
      </c>
      <c r="E454" s="5">
        <v>8.7547393E7</v>
      </c>
      <c r="F454" s="5" t="s">
        <v>39</v>
      </c>
      <c r="G454" s="5" t="s">
        <v>15</v>
      </c>
      <c r="H454" s="5" t="s">
        <v>24</v>
      </c>
      <c r="I454" s="6" t="s">
        <v>17</v>
      </c>
      <c r="J454" s="7" t="s">
        <v>18</v>
      </c>
      <c r="K454" s="7" t="s">
        <v>61</v>
      </c>
      <c r="L454" s="8">
        <v>1.770519680756E12</v>
      </c>
      <c r="M454" s="9"/>
      <c r="N454" s="10"/>
      <c r="O454" s="10"/>
      <c r="P454" s="10"/>
      <c r="Q454" s="10"/>
      <c r="R454" s="10"/>
      <c r="S454" s="10"/>
      <c r="T454" s="10"/>
      <c r="U454" s="10"/>
      <c r="V454" s="10"/>
    </row>
    <row r="455" ht="22.5" customHeight="1">
      <c r="A455" s="5">
        <v>2.00269135952E11</v>
      </c>
      <c r="B455" s="5" t="s">
        <v>542</v>
      </c>
      <c r="C455" s="5">
        <v>51986759934</v>
      </c>
      <c r="D455" s="5" t="s">
        <v>103</v>
      </c>
      <c r="E455" s="5">
        <v>8.0566583E7</v>
      </c>
      <c r="F455" s="5" t="s">
        <v>28</v>
      </c>
      <c r="G455" s="5" t="s">
        <v>104</v>
      </c>
      <c r="H455" s="5" t="s">
        <v>16</v>
      </c>
      <c r="I455" s="6" t="s">
        <v>17</v>
      </c>
      <c r="J455" s="7" t="s">
        <v>18</v>
      </c>
      <c r="K455" s="7" t="s">
        <v>19</v>
      </c>
      <c r="L455" s="8">
        <v>1.77051969016E12</v>
      </c>
      <c r="M455" s="9"/>
      <c r="N455" s="10"/>
      <c r="O455" s="10"/>
      <c r="P455" s="10"/>
      <c r="Q455" s="10"/>
      <c r="R455" s="10"/>
      <c r="S455" s="10"/>
      <c r="T455" s="10"/>
      <c r="U455" s="10"/>
      <c r="V455" s="10"/>
    </row>
    <row r="456" ht="22.5" customHeight="1">
      <c r="A456" s="5">
        <v>1.86569474852E11</v>
      </c>
      <c r="B456" s="5" t="s">
        <v>543</v>
      </c>
      <c r="C456" s="5">
        <v>51912755181</v>
      </c>
      <c r="D456" s="5" t="s">
        <v>13</v>
      </c>
      <c r="E456" s="5">
        <v>8.7547393E7</v>
      </c>
      <c r="F456" s="5" t="s">
        <v>28</v>
      </c>
      <c r="G456" s="5" t="s">
        <v>15</v>
      </c>
      <c r="H456" s="5" t="s">
        <v>24</v>
      </c>
      <c r="I456" s="6" t="s">
        <v>17</v>
      </c>
      <c r="J456" s="7" t="s">
        <v>34</v>
      </c>
      <c r="K456" s="7"/>
      <c r="L456" s="8">
        <v>1.770519855518E12</v>
      </c>
      <c r="M456" s="9"/>
      <c r="N456" s="10"/>
      <c r="O456" s="10"/>
      <c r="P456" s="10"/>
      <c r="Q456" s="10"/>
      <c r="R456" s="10"/>
      <c r="S456" s="10"/>
      <c r="T456" s="10"/>
      <c r="U456" s="10"/>
      <c r="V456" s="10"/>
    </row>
    <row r="457" ht="22.5" customHeight="1">
      <c r="A457" s="5">
        <v>2.002708749E11</v>
      </c>
      <c r="B457" s="5" t="s">
        <v>544</v>
      </c>
      <c r="C457" s="5">
        <v>51943319027</v>
      </c>
      <c r="D457" s="5" t="s">
        <v>13</v>
      </c>
      <c r="E457" s="5">
        <v>8.0566583E7</v>
      </c>
      <c r="F457" s="5"/>
      <c r="G457" s="5" t="s">
        <v>104</v>
      </c>
      <c r="H457" s="5" t="s">
        <v>51</v>
      </c>
      <c r="I457" s="6" t="s">
        <v>63</v>
      </c>
      <c r="J457" s="7" t="s">
        <v>18</v>
      </c>
      <c r="K457" s="7" t="s">
        <v>19</v>
      </c>
      <c r="L457" s="8">
        <v>1.770521423349E12</v>
      </c>
      <c r="M457" s="9"/>
      <c r="N457" s="10"/>
      <c r="O457" s="10"/>
      <c r="P457" s="10"/>
      <c r="Q457" s="10"/>
      <c r="R457" s="10"/>
      <c r="S457" s="10"/>
      <c r="T457" s="10"/>
      <c r="U457" s="10"/>
      <c r="V457" s="10"/>
    </row>
    <row r="458" ht="22.5" customHeight="1">
      <c r="A458" s="5">
        <v>2.00278955164E11</v>
      </c>
      <c r="B458" s="5" t="s">
        <v>545</v>
      </c>
      <c r="C458" s="5">
        <v>522221010531</v>
      </c>
      <c r="D458" s="5" t="s">
        <v>13</v>
      </c>
      <c r="E458" s="5">
        <v>8.7547393E7</v>
      </c>
      <c r="F458" s="5" t="s">
        <v>28</v>
      </c>
      <c r="G458" s="5" t="s">
        <v>15</v>
      </c>
      <c r="H458" s="5" t="s">
        <v>29</v>
      </c>
      <c r="I458" s="6" t="s">
        <v>17</v>
      </c>
      <c r="J458" s="7" t="s">
        <v>18</v>
      </c>
      <c r="K458" s="7" t="s">
        <v>61</v>
      </c>
      <c r="L458" s="8">
        <v>1.770522918188E12</v>
      </c>
      <c r="M458" s="9"/>
      <c r="N458" s="10"/>
      <c r="O458" s="10"/>
      <c r="P458" s="10"/>
      <c r="Q458" s="10"/>
      <c r="R458" s="10"/>
      <c r="S458" s="10"/>
      <c r="T458" s="10"/>
      <c r="U458" s="10"/>
      <c r="V458" s="10"/>
    </row>
    <row r="459" ht="22.5" customHeight="1">
      <c r="A459" s="5">
        <v>2.00281735434E11</v>
      </c>
      <c r="B459" s="5" t="s">
        <v>546</v>
      </c>
      <c r="C459" s="5">
        <v>51964197393</v>
      </c>
      <c r="D459" s="5" t="s">
        <v>13</v>
      </c>
      <c r="E459" s="5">
        <v>8.7547393E7</v>
      </c>
      <c r="F459" s="5" t="s">
        <v>93</v>
      </c>
      <c r="G459" s="5" t="s">
        <v>15</v>
      </c>
      <c r="H459" s="5" t="s">
        <v>51</v>
      </c>
      <c r="I459" s="6" t="s">
        <v>148</v>
      </c>
      <c r="J459" s="7" t="s">
        <v>58</v>
      </c>
      <c r="K459" s="11" t="s">
        <v>59</v>
      </c>
      <c r="L459" s="8">
        <v>1.770524150607E12</v>
      </c>
      <c r="M459" s="9"/>
      <c r="N459" s="10"/>
      <c r="O459" s="10"/>
      <c r="P459" s="10"/>
      <c r="Q459" s="10"/>
      <c r="R459" s="10"/>
      <c r="S459" s="10"/>
      <c r="T459" s="10"/>
      <c r="U459" s="10"/>
      <c r="V459" s="10"/>
    </row>
    <row r="460" ht="22.5" customHeight="1">
      <c r="A460" s="5">
        <v>2.00291353941E11</v>
      </c>
      <c r="B460" s="5" t="s">
        <v>547</v>
      </c>
      <c r="C460" s="5">
        <v>51984819911</v>
      </c>
      <c r="D460" s="5" t="s">
        <v>22</v>
      </c>
      <c r="E460" s="5">
        <v>8.0566583E7</v>
      </c>
      <c r="F460" s="5" t="s">
        <v>82</v>
      </c>
      <c r="G460" s="5" t="s">
        <v>44</v>
      </c>
      <c r="H460" s="5" t="s">
        <v>16</v>
      </c>
      <c r="I460" s="6" t="s">
        <v>17</v>
      </c>
      <c r="J460" s="7" t="s">
        <v>18</v>
      </c>
      <c r="K460" s="7" t="s">
        <v>19</v>
      </c>
      <c r="L460" s="8">
        <v>1.770525532676E12</v>
      </c>
      <c r="M460" s="9"/>
      <c r="N460" s="10"/>
      <c r="O460" s="10"/>
      <c r="P460" s="10"/>
      <c r="Q460" s="10"/>
      <c r="R460" s="10"/>
      <c r="S460" s="10"/>
      <c r="T460" s="10"/>
      <c r="U460" s="10"/>
      <c r="V460" s="10"/>
    </row>
    <row r="461" ht="22.5" customHeight="1">
      <c r="A461" s="5">
        <v>2.0028358031E11</v>
      </c>
      <c r="B461" s="5" t="s">
        <v>548</v>
      </c>
      <c r="C461" s="5">
        <v>51967116982</v>
      </c>
      <c r="D461" s="5" t="s">
        <v>13</v>
      </c>
      <c r="E461" s="5">
        <v>8.7547393E7</v>
      </c>
      <c r="F461" s="5" t="s">
        <v>39</v>
      </c>
      <c r="G461" s="5">
        <v>50</v>
      </c>
      <c r="H461" s="5" t="s">
        <v>51</v>
      </c>
      <c r="I461" s="6" t="s">
        <v>36</v>
      </c>
      <c r="J461" s="7" t="s">
        <v>18</v>
      </c>
      <c r="K461" s="7" t="s">
        <v>19</v>
      </c>
      <c r="L461" s="8">
        <v>1.770525849034E12</v>
      </c>
      <c r="M461" s="9"/>
      <c r="N461" s="10"/>
      <c r="O461" s="10"/>
      <c r="P461" s="10"/>
      <c r="Q461" s="10"/>
      <c r="R461" s="10"/>
      <c r="S461" s="10"/>
      <c r="T461" s="10"/>
      <c r="U461" s="10"/>
      <c r="V461" s="10"/>
    </row>
    <row r="462" ht="22.5" customHeight="1">
      <c r="A462" s="5">
        <v>2.00292291413E11</v>
      </c>
      <c r="B462" s="5" t="s">
        <v>549</v>
      </c>
      <c r="C462" s="5">
        <v>525519365756</v>
      </c>
      <c r="D462" s="5" t="s">
        <v>103</v>
      </c>
      <c r="E462" s="5">
        <v>8.0566583E7</v>
      </c>
      <c r="F462" s="5" t="s">
        <v>93</v>
      </c>
      <c r="G462" s="5" t="s">
        <v>79</v>
      </c>
      <c r="H462" s="5" t="s">
        <v>165</v>
      </c>
      <c r="I462" s="6" t="s">
        <v>17</v>
      </c>
      <c r="J462" s="7" t="s">
        <v>18</v>
      </c>
      <c r="K462" s="7" t="s">
        <v>61</v>
      </c>
      <c r="L462" s="8">
        <v>1.770527268489E12</v>
      </c>
      <c r="M462" s="9"/>
      <c r="N462" s="10"/>
      <c r="O462" s="10"/>
      <c r="P462" s="10"/>
      <c r="Q462" s="10"/>
      <c r="R462" s="10"/>
      <c r="S462" s="10"/>
      <c r="T462" s="10"/>
      <c r="U462" s="10"/>
      <c r="V462" s="10"/>
    </row>
    <row r="463" ht="22.5" customHeight="1">
      <c r="A463" s="5">
        <v>2.0029349895E11</v>
      </c>
      <c r="B463" s="5" t="s">
        <v>550</v>
      </c>
      <c r="C463" s="5">
        <v>5551985881591</v>
      </c>
      <c r="D463" s="5" t="s">
        <v>13</v>
      </c>
      <c r="E463" s="5">
        <v>7.9360573E7</v>
      </c>
      <c r="F463" s="5" t="s">
        <v>28</v>
      </c>
      <c r="G463" s="5" t="s">
        <v>15</v>
      </c>
      <c r="H463" s="5" t="s">
        <v>24</v>
      </c>
      <c r="I463" s="6" t="s">
        <v>17</v>
      </c>
      <c r="J463" s="7" t="s">
        <v>34</v>
      </c>
      <c r="K463" s="7"/>
      <c r="L463" s="8">
        <v>1.770527296331E12</v>
      </c>
      <c r="M463" s="9"/>
      <c r="N463" s="10"/>
      <c r="O463" s="10"/>
      <c r="P463" s="10"/>
      <c r="Q463" s="10"/>
      <c r="R463" s="10"/>
      <c r="S463" s="10"/>
      <c r="T463" s="10"/>
      <c r="U463" s="10"/>
      <c r="V463" s="10"/>
    </row>
    <row r="464" ht="22.5" customHeight="1">
      <c r="A464" s="5">
        <v>2.0029249696E11</v>
      </c>
      <c r="B464" s="5" t="s">
        <v>551</v>
      </c>
      <c r="C464" s="5">
        <v>51941500171</v>
      </c>
      <c r="D464" s="5" t="s">
        <v>13</v>
      </c>
      <c r="E464" s="5">
        <v>8.7547393E7</v>
      </c>
      <c r="F464" s="5" t="s">
        <v>28</v>
      </c>
      <c r="G464" s="5" t="s">
        <v>32</v>
      </c>
      <c r="H464" s="5" t="s">
        <v>51</v>
      </c>
      <c r="I464" s="6" t="s">
        <v>63</v>
      </c>
      <c r="J464" s="7" t="s">
        <v>34</v>
      </c>
      <c r="K464" s="7"/>
      <c r="L464" s="8">
        <v>1.770527670526E12</v>
      </c>
      <c r="M464" s="9"/>
      <c r="N464" s="10"/>
      <c r="O464" s="10"/>
      <c r="P464" s="10"/>
      <c r="Q464" s="10"/>
      <c r="R464" s="10"/>
      <c r="S464" s="10"/>
      <c r="T464" s="10"/>
      <c r="U464" s="10"/>
      <c r="V464" s="10"/>
    </row>
    <row r="465" ht="22.5" customHeight="1">
      <c r="A465" s="5">
        <v>1.64282352453E11</v>
      </c>
      <c r="B465" s="5" t="s">
        <v>552</v>
      </c>
      <c r="C465" s="5">
        <v>51997774083</v>
      </c>
      <c r="D465" s="5" t="s">
        <v>13</v>
      </c>
      <c r="E465" s="5"/>
      <c r="F465" s="5" t="s">
        <v>28</v>
      </c>
      <c r="G465" s="5" t="s">
        <v>15</v>
      </c>
      <c r="H465" s="5" t="s">
        <v>24</v>
      </c>
      <c r="I465" s="6" t="s">
        <v>17</v>
      </c>
      <c r="J465" s="7" t="s">
        <v>18</v>
      </c>
      <c r="K465" s="7" t="s">
        <v>19</v>
      </c>
      <c r="L465" s="8">
        <v>1.770527752211E12</v>
      </c>
      <c r="M465" s="9"/>
      <c r="N465" s="10"/>
      <c r="O465" s="10"/>
      <c r="P465" s="10"/>
      <c r="Q465" s="10"/>
      <c r="R465" s="10"/>
      <c r="S465" s="10"/>
      <c r="T465" s="10"/>
      <c r="U465" s="10"/>
      <c r="V465" s="10"/>
    </row>
    <row r="466" ht="22.5" customHeight="1">
      <c r="A466" s="5">
        <v>1.98519439743E11</v>
      </c>
      <c r="B466" s="5" t="s">
        <v>553</v>
      </c>
      <c r="C466" s="5">
        <v>51934755552</v>
      </c>
      <c r="D466" s="5" t="s">
        <v>22</v>
      </c>
      <c r="E466" s="5">
        <v>8.7547393E7</v>
      </c>
      <c r="F466" s="5" t="s">
        <v>65</v>
      </c>
      <c r="G466" s="5" t="s">
        <v>44</v>
      </c>
      <c r="H466" s="5" t="s">
        <v>33</v>
      </c>
      <c r="I466" s="6" t="s">
        <v>17</v>
      </c>
      <c r="J466" s="7" t="s">
        <v>34</v>
      </c>
      <c r="K466" s="7"/>
      <c r="L466" s="8">
        <v>1.770527926284E12</v>
      </c>
      <c r="M466" s="9"/>
      <c r="N466" s="10"/>
      <c r="O466" s="10"/>
      <c r="P466" s="10"/>
      <c r="Q466" s="10"/>
      <c r="R466" s="10"/>
      <c r="S466" s="10"/>
      <c r="T466" s="10"/>
      <c r="U466" s="10"/>
      <c r="V466" s="10"/>
    </row>
    <row r="467" ht="22.5" customHeight="1">
      <c r="A467" s="5">
        <v>1.73506584962E11</v>
      </c>
      <c r="B467" s="5" t="s">
        <v>554</v>
      </c>
      <c r="C467" s="5">
        <v>51939320691</v>
      </c>
      <c r="D467" s="5" t="s">
        <v>13</v>
      </c>
      <c r="E467" s="5">
        <v>8.0566583E7</v>
      </c>
      <c r="F467" s="5" t="s">
        <v>28</v>
      </c>
      <c r="G467" s="5" t="s">
        <v>32</v>
      </c>
      <c r="H467" s="5" t="s">
        <v>24</v>
      </c>
      <c r="I467" s="6" t="s">
        <v>17</v>
      </c>
      <c r="J467" s="7" t="s">
        <v>18</v>
      </c>
      <c r="K467" s="7" t="s">
        <v>116</v>
      </c>
      <c r="L467" s="8">
        <v>1.770528144449E12</v>
      </c>
      <c r="M467" s="9"/>
      <c r="N467" s="10"/>
      <c r="O467" s="10"/>
      <c r="P467" s="10"/>
      <c r="Q467" s="10"/>
      <c r="R467" s="10"/>
      <c r="S467" s="10"/>
      <c r="T467" s="10"/>
      <c r="U467" s="10"/>
      <c r="V467" s="10"/>
    </row>
    <row r="468" ht="22.5" customHeight="1">
      <c r="A468" s="5">
        <v>1.99468276651E11</v>
      </c>
      <c r="B468" s="5" t="s">
        <v>555</v>
      </c>
      <c r="C468" s="5">
        <v>51930163396</v>
      </c>
      <c r="D468" s="5" t="s">
        <v>38</v>
      </c>
      <c r="E468" s="5">
        <v>8.0566583E7</v>
      </c>
      <c r="F468" s="5"/>
      <c r="G468" s="5"/>
      <c r="H468" s="5"/>
      <c r="I468" s="6"/>
      <c r="J468" s="7" t="s">
        <v>18</v>
      </c>
      <c r="K468" s="7" t="s">
        <v>19</v>
      </c>
      <c r="L468" s="8">
        <v>1.770529387341E12</v>
      </c>
      <c r="M468" s="9"/>
      <c r="N468" s="10"/>
      <c r="O468" s="10"/>
      <c r="P468" s="10"/>
      <c r="Q468" s="10"/>
      <c r="R468" s="10"/>
      <c r="S468" s="10"/>
      <c r="T468" s="10"/>
      <c r="U468" s="10"/>
      <c r="V468" s="10"/>
    </row>
    <row r="469" ht="22.5" customHeight="1">
      <c r="A469" s="5">
        <v>2.0029435271E11</v>
      </c>
      <c r="B469" s="5" t="s">
        <v>556</v>
      </c>
      <c r="C469" s="5">
        <v>51996376971</v>
      </c>
      <c r="D469" s="5" t="s">
        <v>13</v>
      </c>
      <c r="E469" s="5">
        <v>8.0566583E7</v>
      </c>
      <c r="F469" s="5" t="s">
        <v>28</v>
      </c>
      <c r="G469" s="5" t="s">
        <v>15</v>
      </c>
      <c r="H469" s="5" t="s">
        <v>24</v>
      </c>
      <c r="I469" s="6" t="s">
        <v>17</v>
      </c>
      <c r="J469" s="7" t="s">
        <v>18</v>
      </c>
      <c r="K469" s="7" t="s">
        <v>19</v>
      </c>
      <c r="L469" s="8">
        <v>1.770530996097E12</v>
      </c>
      <c r="M469" s="9"/>
      <c r="N469" s="10"/>
      <c r="O469" s="10"/>
      <c r="P469" s="10"/>
      <c r="Q469" s="10"/>
      <c r="R469" s="10"/>
      <c r="S469" s="10"/>
      <c r="T469" s="10"/>
      <c r="U469" s="10"/>
      <c r="V469" s="10"/>
    </row>
    <row r="470" ht="22.5" customHeight="1">
      <c r="A470" s="5">
        <v>2.00285940532E11</v>
      </c>
      <c r="B470" s="5" t="s">
        <v>557</v>
      </c>
      <c r="C470" s="5">
        <v>528442752849</v>
      </c>
      <c r="D470" s="5" t="s">
        <v>13</v>
      </c>
      <c r="E470" s="5">
        <v>8.7547393E7</v>
      </c>
      <c r="F470" s="5" t="s">
        <v>23</v>
      </c>
      <c r="G470" s="5" t="s">
        <v>32</v>
      </c>
      <c r="H470" s="5" t="s">
        <v>66</v>
      </c>
      <c r="I470" s="6" t="s">
        <v>17</v>
      </c>
      <c r="J470" s="7" t="s">
        <v>58</v>
      </c>
      <c r="K470" s="11" t="s">
        <v>59</v>
      </c>
      <c r="L470" s="8">
        <v>1.770531104295E12</v>
      </c>
      <c r="M470" s="9"/>
      <c r="N470" s="10"/>
      <c r="O470" s="10"/>
      <c r="P470" s="10"/>
      <c r="Q470" s="10"/>
      <c r="R470" s="10"/>
      <c r="S470" s="10"/>
      <c r="T470" s="10"/>
      <c r="U470" s="10"/>
      <c r="V470" s="10"/>
    </row>
    <row r="471" ht="22.5" customHeight="1">
      <c r="A471" s="5">
        <v>2.00289129629E11</v>
      </c>
      <c r="B471" s="5" t="s">
        <v>558</v>
      </c>
      <c r="C471" s="5">
        <v>51998909455</v>
      </c>
      <c r="D471" s="5" t="s">
        <v>13</v>
      </c>
      <c r="E471" s="5">
        <v>8.7547393E7</v>
      </c>
      <c r="F471" s="5" t="s">
        <v>31</v>
      </c>
      <c r="G471" s="5" t="s">
        <v>15</v>
      </c>
      <c r="H471" s="5" t="s">
        <v>51</v>
      </c>
      <c r="I471" s="6" t="s">
        <v>17</v>
      </c>
      <c r="J471" s="7" t="s">
        <v>124</v>
      </c>
      <c r="K471" s="7" t="s">
        <v>125</v>
      </c>
      <c r="L471" s="8">
        <v>1.770531711408E12</v>
      </c>
      <c r="M471" s="9"/>
      <c r="N471" s="10"/>
      <c r="O471" s="10"/>
      <c r="P471" s="10"/>
      <c r="Q471" s="10"/>
      <c r="R471" s="10"/>
      <c r="S471" s="10"/>
      <c r="T471" s="10"/>
      <c r="U471" s="10"/>
      <c r="V471" s="10"/>
    </row>
    <row r="472" ht="22.5" customHeight="1">
      <c r="A472" s="5">
        <v>2.00291958056E11</v>
      </c>
      <c r="B472" s="5" t="s">
        <v>559</v>
      </c>
      <c r="C472" s="5">
        <v>51910445556</v>
      </c>
      <c r="D472" s="5" t="s">
        <v>22</v>
      </c>
      <c r="E472" s="5">
        <v>8.7547393E7</v>
      </c>
      <c r="F472" s="5" t="s">
        <v>39</v>
      </c>
      <c r="G472" s="5" t="s">
        <v>44</v>
      </c>
      <c r="H472" s="5" t="s">
        <v>24</v>
      </c>
      <c r="I472" s="6" t="s">
        <v>17</v>
      </c>
      <c r="J472" s="7" t="s">
        <v>18</v>
      </c>
      <c r="K472" s="7" t="s">
        <v>19</v>
      </c>
      <c r="L472" s="8">
        <v>1.770532219007E12</v>
      </c>
      <c r="M472" s="9"/>
      <c r="N472" s="10"/>
      <c r="O472" s="10"/>
      <c r="P472" s="10"/>
      <c r="Q472" s="10"/>
      <c r="R472" s="10"/>
      <c r="S472" s="10"/>
      <c r="T472" s="10"/>
      <c r="U472" s="10"/>
      <c r="V472" s="10"/>
    </row>
    <row r="473" ht="22.5" customHeight="1">
      <c r="A473" s="5">
        <v>2.00298875907E11</v>
      </c>
      <c r="B473" s="5" t="s">
        <v>560</v>
      </c>
      <c r="C473" s="5">
        <v>523111429357</v>
      </c>
      <c r="D473" s="5" t="s">
        <v>13</v>
      </c>
      <c r="E473" s="5">
        <v>8.7547393E7</v>
      </c>
      <c r="F473" s="5" t="s">
        <v>14</v>
      </c>
      <c r="G473" s="5" t="s">
        <v>15</v>
      </c>
      <c r="H473" s="5" t="s">
        <v>51</v>
      </c>
      <c r="I473" s="6" t="s">
        <v>49</v>
      </c>
      <c r="J473" s="7" t="s">
        <v>18</v>
      </c>
      <c r="K473" s="7" t="s">
        <v>61</v>
      </c>
      <c r="L473" s="8">
        <v>1.770532866416E12</v>
      </c>
      <c r="M473" s="9"/>
      <c r="N473" s="10"/>
      <c r="O473" s="10"/>
      <c r="P473" s="10"/>
      <c r="Q473" s="10"/>
      <c r="R473" s="10"/>
      <c r="S473" s="10"/>
      <c r="T473" s="10"/>
      <c r="U473" s="10"/>
      <c r="V473" s="10"/>
    </row>
    <row r="474" ht="22.5" customHeight="1">
      <c r="A474" s="5">
        <v>2.0030645172E11</v>
      </c>
      <c r="B474" s="5" t="s">
        <v>561</v>
      </c>
      <c r="C474" s="5">
        <v>522451128852</v>
      </c>
      <c r="D474" s="5" t="s">
        <v>13</v>
      </c>
      <c r="E474" s="5">
        <v>8.0566583E7</v>
      </c>
      <c r="F474" s="5" t="s">
        <v>28</v>
      </c>
      <c r="G474" s="5" t="s">
        <v>15</v>
      </c>
      <c r="H474" s="5" t="s">
        <v>51</v>
      </c>
      <c r="I474" s="6" t="s">
        <v>17</v>
      </c>
      <c r="J474" s="7" t="s">
        <v>18</v>
      </c>
      <c r="K474" s="7" t="s">
        <v>61</v>
      </c>
      <c r="L474" s="8">
        <v>1.770536997858E12</v>
      </c>
      <c r="M474" s="9"/>
      <c r="N474" s="10"/>
      <c r="O474" s="10"/>
      <c r="P474" s="10"/>
      <c r="Q474" s="10"/>
      <c r="R474" s="10"/>
      <c r="S474" s="10"/>
      <c r="T474" s="10"/>
      <c r="U474" s="10"/>
      <c r="V474" s="10"/>
    </row>
    <row r="475" ht="22.5" customHeight="1">
      <c r="A475" s="5">
        <v>2.00312226182E11</v>
      </c>
      <c r="B475" s="5" t="s">
        <v>562</v>
      </c>
      <c r="C475" s="5">
        <v>51901170429</v>
      </c>
      <c r="D475" s="5" t="s">
        <v>103</v>
      </c>
      <c r="E475" s="5">
        <v>8.7547393E7</v>
      </c>
      <c r="F475" s="5" t="s">
        <v>28</v>
      </c>
      <c r="G475" s="5" t="s">
        <v>79</v>
      </c>
      <c r="H475" s="5" t="s">
        <v>16</v>
      </c>
      <c r="I475" s="6" t="s">
        <v>17</v>
      </c>
      <c r="J475" s="7" t="s">
        <v>18</v>
      </c>
      <c r="K475" s="7" t="s">
        <v>19</v>
      </c>
      <c r="L475" s="8">
        <v>1.770537699615E12</v>
      </c>
      <c r="M475" s="9"/>
      <c r="N475" s="10"/>
      <c r="O475" s="10"/>
      <c r="P475" s="10"/>
      <c r="Q475" s="10"/>
      <c r="R475" s="10"/>
      <c r="S475" s="10"/>
      <c r="T475" s="10"/>
      <c r="U475" s="10"/>
      <c r="V475" s="10"/>
    </row>
    <row r="476" ht="22.5" customHeight="1">
      <c r="A476" s="5">
        <v>2.00320005794E11</v>
      </c>
      <c r="B476" s="5" t="s">
        <v>563</v>
      </c>
      <c r="C476" s="5">
        <v>5511965360758</v>
      </c>
      <c r="D476" s="5" t="s">
        <v>13</v>
      </c>
      <c r="E476" s="5">
        <v>8.7547393E7</v>
      </c>
      <c r="F476" s="5" t="s">
        <v>42</v>
      </c>
      <c r="G476" s="5" t="s">
        <v>15</v>
      </c>
      <c r="H476" s="5" t="s">
        <v>24</v>
      </c>
      <c r="I476" s="6" t="s">
        <v>36</v>
      </c>
      <c r="J476" s="7" t="s">
        <v>34</v>
      </c>
      <c r="K476" s="7"/>
      <c r="L476" s="8">
        <v>1.770546847091E12</v>
      </c>
      <c r="M476" s="9"/>
      <c r="N476" s="10"/>
      <c r="O476" s="10"/>
      <c r="P476" s="10"/>
      <c r="Q476" s="10"/>
      <c r="R476" s="10"/>
      <c r="S476" s="10"/>
      <c r="T476" s="10"/>
      <c r="U476" s="10"/>
      <c r="V476" s="10"/>
    </row>
    <row r="477" ht="22.5" customHeight="1">
      <c r="A477" s="5">
        <v>2.00327904384E11</v>
      </c>
      <c r="B477" s="5" t="s">
        <v>564</v>
      </c>
      <c r="C477" s="5">
        <v>5562981829357</v>
      </c>
      <c r="D477" s="5" t="s">
        <v>13</v>
      </c>
      <c r="E477" s="5">
        <v>7.9360573E7</v>
      </c>
      <c r="F477" s="5" t="s">
        <v>93</v>
      </c>
      <c r="G477" s="5" t="s">
        <v>32</v>
      </c>
      <c r="H477" s="5" t="s">
        <v>24</v>
      </c>
      <c r="I477" s="6" t="s">
        <v>17</v>
      </c>
      <c r="J477" s="7" t="s">
        <v>34</v>
      </c>
      <c r="K477" s="7"/>
      <c r="L477" s="8">
        <v>1.77055057528E12</v>
      </c>
      <c r="M477" s="9"/>
      <c r="N477" s="10"/>
      <c r="O477" s="10"/>
      <c r="P477" s="10"/>
      <c r="Q477" s="10"/>
      <c r="R477" s="10"/>
      <c r="S477" s="10"/>
      <c r="T477" s="10"/>
      <c r="U477" s="10"/>
      <c r="V477" s="10"/>
    </row>
    <row r="478" ht="22.5" customHeight="1">
      <c r="A478" s="5">
        <v>1.71556953161E11</v>
      </c>
      <c r="B478" s="5" t="s">
        <v>565</v>
      </c>
      <c r="C478" s="5">
        <v>51924668842</v>
      </c>
      <c r="D478" s="5" t="s">
        <v>13</v>
      </c>
      <c r="E478" s="5"/>
      <c r="F478" s="5" t="s">
        <v>14</v>
      </c>
      <c r="G478" s="5" t="s">
        <v>32</v>
      </c>
      <c r="H478" s="5" t="s">
        <v>24</v>
      </c>
      <c r="I478" s="6" t="s">
        <v>17</v>
      </c>
      <c r="J478" s="7" t="s">
        <v>124</v>
      </c>
      <c r="K478" s="7" t="s">
        <v>511</v>
      </c>
      <c r="L478" s="8">
        <v>1.770551976688E12</v>
      </c>
      <c r="M478" s="9"/>
      <c r="N478" s="10"/>
      <c r="O478" s="10"/>
      <c r="P478" s="10"/>
      <c r="Q478" s="10"/>
      <c r="R478" s="10"/>
      <c r="S478" s="10"/>
      <c r="T478" s="10"/>
      <c r="U478" s="10"/>
      <c r="V478" s="10"/>
    </row>
    <row r="479" ht="22.5" customHeight="1">
      <c r="A479" s="5">
        <v>2.0032934025E11</v>
      </c>
      <c r="B479" s="5" t="s">
        <v>566</v>
      </c>
      <c r="C479" s="5">
        <v>524422692826</v>
      </c>
      <c r="D479" s="5" t="s">
        <v>38</v>
      </c>
      <c r="E479" s="5">
        <v>8.0566583E7</v>
      </c>
      <c r="F479" s="5"/>
      <c r="G479" s="5"/>
      <c r="H479" s="5"/>
      <c r="I479" s="6"/>
      <c r="J479" s="7" t="s">
        <v>18</v>
      </c>
      <c r="K479" s="7" t="s">
        <v>61</v>
      </c>
      <c r="L479" s="8">
        <v>1.770552016847E12</v>
      </c>
      <c r="M479" s="9"/>
      <c r="N479" s="10"/>
      <c r="O479" s="10"/>
      <c r="P479" s="10"/>
      <c r="Q479" s="10"/>
      <c r="R479" s="10"/>
      <c r="S479" s="10"/>
      <c r="T479" s="10"/>
      <c r="U479" s="10"/>
      <c r="V479" s="10"/>
    </row>
    <row r="480" ht="22.5" customHeight="1">
      <c r="A480" s="5">
        <v>2.0032934025E11</v>
      </c>
      <c r="B480" s="5" t="s">
        <v>566</v>
      </c>
      <c r="C480" s="5">
        <v>524422692826</v>
      </c>
      <c r="D480" s="5" t="s">
        <v>38</v>
      </c>
      <c r="E480" s="5">
        <v>8.0566583E7</v>
      </c>
      <c r="F480" s="5"/>
      <c r="G480" s="5"/>
      <c r="H480" s="5"/>
      <c r="I480" s="6"/>
      <c r="J480" s="7" t="s">
        <v>18</v>
      </c>
      <c r="K480" s="7" t="s">
        <v>61</v>
      </c>
      <c r="L480" s="8">
        <v>1.770552038131E12</v>
      </c>
      <c r="M480" s="9"/>
      <c r="N480" s="10"/>
      <c r="O480" s="10"/>
      <c r="P480" s="10"/>
      <c r="Q480" s="10"/>
      <c r="R480" s="10"/>
      <c r="S480" s="10"/>
      <c r="T480" s="10"/>
      <c r="U480" s="10"/>
      <c r="V480" s="10"/>
    </row>
    <row r="481" ht="22.5" customHeight="1">
      <c r="A481" s="5">
        <v>2.00337382788E11</v>
      </c>
      <c r="B481" s="5" t="s">
        <v>567</v>
      </c>
      <c r="C481" s="5">
        <v>51930992145</v>
      </c>
      <c r="D481" s="5" t="s">
        <v>13</v>
      </c>
      <c r="E481" s="5">
        <v>8.7547393E7</v>
      </c>
      <c r="F481" s="5" t="s">
        <v>65</v>
      </c>
      <c r="G481" s="5" t="s">
        <v>15</v>
      </c>
      <c r="H481" s="5" t="s">
        <v>51</v>
      </c>
      <c r="I481" s="6" t="s">
        <v>49</v>
      </c>
      <c r="J481" s="7" t="s">
        <v>34</v>
      </c>
      <c r="K481" s="7"/>
      <c r="L481" s="8">
        <v>1.770552786171E12</v>
      </c>
      <c r="M481" s="9"/>
      <c r="N481" s="10"/>
      <c r="O481" s="10"/>
      <c r="P481" s="10"/>
      <c r="Q481" s="10"/>
      <c r="R481" s="10"/>
      <c r="S481" s="10"/>
      <c r="T481" s="10"/>
      <c r="U481" s="10"/>
      <c r="V481" s="10"/>
    </row>
    <row r="482" ht="22.5" customHeight="1">
      <c r="A482" s="5">
        <v>2.00337780127E11</v>
      </c>
      <c r="B482" s="5" t="s">
        <v>568</v>
      </c>
      <c r="C482" s="5">
        <v>51983721625</v>
      </c>
      <c r="D482" s="5" t="s">
        <v>13</v>
      </c>
      <c r="E482" s="5">
        <v>8.0566583E7</v>
      </c>
      <c r="F482" s="5" t="s">
        <v>39</v>
      </c>
      <c r="G482" s="5" t="s">
        <v>15</v>
      </c>
      <c r="H482" s="5" t="s">
        <v>16</v>
      </c>
      <c r="I482" s="6" t="s">
        <v>36</v>
      </c>
      <c r="J482" s="7" t="s">
        <v>58</v>
      </c>
      <c r="K482" s="11" t="s">
        <v>59</v>
      </c>
      <c r="L482" s="8">
        <v>1.770553773733E12</v>
      </c>
      <c r="M482" s="9"/>
      <c r="N482" s="10"/>
      <c r="O482" s="10"/>
      <c r="P482" s="10"/>
      <c r="Q482" s="10"/>
      <c r="R482" s="10"/>
      <c r="S482" s="10"/>
      <c r="T482" s="10"/>
      <c r="U482" s="10"/>
      <c r="V482" s="10"/>
    </row>
    <row r="483" ht="22.5" customHeight="1">
      <c r="A483" s="5">
        <v>2.00343384925E11</v>
      </c>
      <c r="B483" s="5" t="s">
        <v>569</v>
      </c>
      <c r="C483" s="5">
        <v>51975001315</v>
      </c>
      <c r="D483" s="5" t="s">
        <v>22</v>
      </c>
      <c r="E483" s="5">
        <v>8.0566583E7</v>
      </c>
      <c r="F483" s="5" t="s">
        <v>93</v>
      </c>
      <c r="G483" s="5" t="s">
        <v>44</v>
      </c>
      <c r="H483" s="5" t="s">
        <v>16</v>
      </c>
      <c r="I483" s="6" t="s">
        <v>17</v>
      </c>
      <c r="J483" s="7" t="s">
        <v>18</v>
      </c>
      <c r="K483" s="7" t="s">
        <v>19</v>
      </c>
      <c r="L483" s="8">
        <v>1.770555835059E12</v>
      </c>
      <c r="M483" s="9"/>
      <c r="N483" s="10"/>
      <c r="O483" s="10"/>
      <c r="P483" s="10"/>
      <c r="Q483" s="10"/>
      <c r="R483" s="10"/>
      <c r="S483" s="10"/>
      <c r="T483" s="10"/>
      <c r="U483" s="10"/>
      <c r="V483" s="10"/>
    </row>
    <row r="484" ht="22.5" customHeight="1">
      <c r="A484" s="5">
        <v>2.00351187036E11</v>
      </c>
      <c r="B484" s="5" t="s">
        <v>570</v>
      </c>
      <c r="C484" s="5">
        <v>51924956224</v>
      </c>
      <c r="D484" s="5" t="s">
        <v>22</v>
      </c>
      <c r="E484" s="5">
        <v>8.0566583E7</v>
      </c>
      <c r="F484" s="5" t="s">
        <v>28</v>
      </c>
      <c r="G484" s="5" t="s">
        <v>44</v>
      </c>
      <c r="H484" s="5" t="s">
        <v>16</v>
      </c>
      <c r="I484" s="6" t="s">
        <v>17</v>
      </c>
      <c r="J484" s="7" t="s">
        <v>34</v>
      </c>
      <c r="K484" s="7"/>
      <c r="L484" s="8">
        <v>1.770556894484E12</v>
      </c>
      <c r="M484" s="9"/>
      <c r="N484" s="10"/>
      <c r="O484" s="10"/>
      <c r="P484" s="10"/>
      <c r="Q484" s="10"/>
      <c r="R484" s="10"/>
      <c r="S484" s="10"/>
      <c r="T484" s="10"/>
      <c r="U484" s="10"/>
      <c r="V484" s="10"/>
    </row>
    <row r="485" ht="22.5" customHeight="1">
      <c r="A485" s="5">
        <v>2.00351309721E11</v>
      </c>
      <c r="B485" s="5" t="s">
        <v>571</v>
      </c>
      <c r="C485" s="5">
        <v>51987733977</v>
      </c>
      <c r="D485" s="5" t="s">
        <v>13</v>
      </c>
      <c r="E485" s="5">
        <v>8.0566583E7</v>
      </c>
      <c r="F485" s="5" t="s">
        <v>28</v>
      </c>
      <c r="G485" s="5" t="s">
        <v>15</v>
      </c>
      <c r="H485" s="5" t="s">
        <v>352</v>
      </c>
      <c r="I485" s="6" t="s">
        <v>17</v>
      </c>
      <c r="J485" s="7" t="s">
        <v>58</v>
      </c>
      <c r="K485" s="11" t="s">
        <v>59</v>
      </c>
      <c r="L485" s="8">
        <v>1.770557115144E12</v>
      </c>
      <c r="M485" s="9"/>
      <c r="N485" s="10"/>
      <c r="O485" s="10"/>
      <c r="P485" s="10"/>
      <c r="Q485" s="10"/>
      <c r="R485" s="10"/>
      <c r="S485" s="10"/>
      <c r="T485" s="10"/>
      <c r="U485" s="10"/>
      <c r="V485" s="10"/>
    </row>
    <row r="486" ht="22.5" customHeight="1">
      <c r="A486" s="5">
        <v>2.00341376009E11</v>
      </c>
      <c r="B486" s="5" t="s">
        <v>572</v>
      </c>
      <c r="C486" s="5">
        <v>525588043330</v>
      </c>
      <c r="D486" s="5" t="s">
        <v>13</v>
      </c>
      <c r="E486" s="5">
        <v>8.7547393E7</v>
      </c>
      <c r="F486" s="5" t="s">
        <v>65</v>
      </c>
      <c r="G486" s="5" t="s">
        <v>15</v>
      </c>
      <c r="H486" s="5" t="s">
        <v>51</v>
      </c>
      <c r="I486" s="6" t="s">
        <v>17</v>
      </c>
      <c r="J486" s="7" t="s">
        <v>18</v>
      </c>
      <c r="K486" s="7" t="s">
        <v>61</v>
      </c>
      <c r="L486" s="8">
        <v>1.770557153906E12</v>
      </c>
      <c r="M486" s="9"/>
      <c r="N486" s="10"/>
      <c r="O486" s="10"/>
      <c r="P486" s="10"/>
      <c r="Q486" s="10"/>
      <c r="R486" s="10"/>
      <c r="S486" s="10"/>
      <c r="T486" s="10"/>
      <c r="U486" s="10"/>
      <c r="V486" s="10"/>
    </row>
    <row r="487" ht="22.5" customHeight="1">
      <c r="A487" s="5">
        <v>2.00344227763E11</v>
      </c>
      <c r="B487" s="5" t="s">
        <v>573</v>
      </c>
      <c r="C487" s="5">
        <v>51994895245</v>
      </c>
      <c r="D487" s="5" t="s">
        <v>13</v>
      </c>
      <c r="E487" s="5">
        <v>8.7547393E7</v>
      </c>
      <c r="F487" s="5" t="s">
        <v>28</v>
      </c>
      <c r="G487" s="5" t="s">
        <v>32</v>
      </c>
      <c r="H487" s="5" t="s">
        <v>66</v>
      </c>
      <c r="I487" s="6" t="s">
        <v>17</v>
      </c>
      <c r="J487" s="7" t="s">
        <v>18</v>
      </c>
      <c r="K487" s="7" t="s">
        <v>19</v>
      </c>
      <c r="L487" s="8">
        <v>1.770557243181E12</v>
      </c>
      <c r="M487" s="9"/>
      <c r="N487" s="10"/>
      <c r="O487" s="10"/>
      <c r="P487" s="10"/>
      <c r="Q487" s="10"/>
      <c r="R487" s="10"/>
      <c r="S487" s="10"/>
      <c r="T487" s="10"/>
      <c r="U487" s="10"/>
      <c r="V487" s="10"/>
    </row>
    <row r="488" ht="22.5" customHeight="1">
      <c r="A488" s="5">
        <v>2.00348360812E11</v>
      </c>
      <c r="B488" s="5" t="s">
        <v>574</v>
      </c>
      <c r="C488" s="5">
        <v>5547997206234</v>
      </c>
      <c r="D488" s="5" t="s">
        <v>13</v>
      </c>
      <c r="E488" s="5">
        <v>8.7547393E7</v>
      </c>
      <c r="F488" s="5" t="s">
        <v>28</v>
      </c>
      <c r="G488" s="5" t="s">
        <v>15</v>
      </c>
      <c r="H488" s="5" t="s">
        <v>114</v>
      </c>
      <c r="I488" s="6" t="s">
        <v>17</v>
      </c>
      <c r="J488" s="7" t="s">
        <v>34</v>
      </c>
      <c r="K488" s="7"/>
      <c r="L488" s="8">
        <v>1.770558229483E12</v>
      </c>
      <c r="M488" s="9"/>
      <c r="N488" s="10"/>
      <c r="O488" s="10"/>
      <c r="P488" s="10"/>
      <c r="Q488" s="10"/>
      <c r="R488" s="10"/>
      <c r="S488" s="10"/>
      <c r="T488" s="10"/>
      <c r="U488" s="10"/>
      <c r="V488" s="10"/>
    </row>
    <row r="489" ht="22.5" customHeight="1">
      <c r="A489" s="5">
        <v>1.9988590967E11</v>
      </c>
      <c r="B489" s="5" t="s">
        <v>575</v>
      </c>
      <c r="C489" s="5">
        <v>51984626175</v>
      </c>
      <c r="D489" s="5" t="s">
        <v>38</v>
      </c>
      <c r="E489" s="5">
        <v>8.7547393E7</v>
      </c>
      <c r="F489" s="5"/>
      <c r="G489" s="5"/>
      <c r="H489" s="5"/>
      <c r="I489" s="6"/>
      <c r="J489" s="7" t="s">
        <v>18</v>
      </c>
      <c r="K489" s="7" t="s">
        <v>19</v>
      </c>
      <c r="L489" s="8">
        <v>1.770558799144E12</v>
      </c>
      <c r="M489" s="9"/>
      <c r="N489" s="10"/>
      <c r="O489" s="10"/>
      <c r="P489" s="10"/>
      <c r="Q489" s="10"/>
      <c r="R489" s="10"/>
      <c r="S489" s="10"/>
      <c r="T489" s="10"/>
      <c r="U489" s="10"/>
      <c r="V489" s="10"/>
    </row>
    <row r="490" ht="22.5" customHeight="1">
      <c r="A490" s="5">
        <v>1.90350518025E11</v>
      </c>
      <c r="B490" s="5" t="s">
        <v>576</v>
      </c>
      <c r="C490" s="5">
        <v>5577991092517</v>
      </c>
      <c r="D490" s="5" t="s">
        <v>13</v>
      </c>
      <c r="E490" s="5">
        <v>8.7547393E7</v>
      </c>
      <c r="F490" s="5" t="s">
        <v>28</v>
      </c>
      <c r="G490" s="5"/>
      <c r="H490" s="5" t="s">
        <v>16</v>
      </c>
      <c r="I490" s="6" t="s">
        <v>17</v>
      </c>
      <c r="J490" s="7" t="s">
        <v>18</v>
      </c>
      <c r="K490" s="7" t="s">
        <v>45</v>
      </c>
      <c r="L490" s="8">
        <v>1.770558813402E12</v>
      </c>
      <c r="M490" s="9"/>
      <c r="N490" s="10"/>
      <c r="O490" s="10"/>
      <c r="P490" s="10"/>
      <c r="Q490" s="10"/>
      <c r="R490" s="10"/>
      <c r="S490" s="10"/>
      <c r="T490" s="10"/>
      <c r="U490" s="10"/>
      <c r="V490" s="10"/>
    </row>
    <row r="491" ht="22.5" customHeight="1">
      <c r="A491" s="5">
        <v>2.00348261948E11</v>
      </c>
      <c r="B491" s="5" t="s">
        <v>577</v>
      </c>
      <c r="C491" s="5">
        <v>51936819878</v>
      </c>
      <c r="D491" s="5" t="s">
        <v>13</v>
      </c>
      <c r="E491" s="5">
        <v>8.7547393E7</v>
      </c>
      <c r="F491" s="5" t="s">
        <v>39</v>
      </c>
      <c r="G491" s="5" t="s">
        <v>15</v>
      </c>
      <c r="H491" s="5" t="s">
        <v>33</v>
      </c>
      <c r="I491" s="6" t="s">
        <v>17</v>
      </c>
      <c r="J491" s="7" t="s">
        <v>34</v>
      </c>
      <c r="K491" s="7"/>
      <c r="L491" s="8">
        <v>1.770558964054E12</v>
      </c>
      <c r="M491" s="9"/>
      <c r="N491" s="10"/>
      <c r="O491" s="10"/>
      <c r="P491" s="10"/>
      <c r="Q491" s="10"/>
      <c r="R491" s="10"/>
      <c r="S491" s="10"/>
      <c r="T491" s="10"/>
      <c r="U491" s="10"/>
      <c r="V491" s="10"/>
    </row>
    <row r="492" ht="22.5" customHeight="1">
      <c r="A492" s="5">
        <v>2.00358608432E11</v>
      </c>
      <c r="B492" s="5" t="s">
        <v>578</v>
      </c>
      <c r="C492" s="5">
        <v>51969848768</v>
      </c>
      <c r="D492" s="5" t="s">
        <v>13</v>
      </c>
      <c r="E492" s="5">
        <v>8.7547393E7</v>
      </c>
      <c r="F492" s="5" t="s">
        <v>28</v>
      </c>
      <c r="G492" s="5" t="s">
        <v>15</v>
      </c>
      <c r="H492" s="5" t="s">
        <v>128</v>
      </c>
      <c r="I492" s="6" t="s">
        <v>17</v>
      </c>
      <c r="J492" s="7" t="s">
        <v>18</v>
      </c>
      <c r="K492" s="7" t="s">
        <v>19</v>
      </c>
      <c r="L492" s="8">
        <v>1.770560948611E12</v>
      </c>
      <c r="M492" s="9"/>
      <c r="N492" s="10"/>
      <c r="O492" s="10"/>
      <c r="P492" s="10"/>
      <c r="Q492" s="10"/>
      <c r="R492" s="10"/>
      <c r="S492" s="10"/>
      <c r="T492" s="10"/>
      <c r="U492" s="10"/>
      <c r="V492" s="10"/>
    </row>
    <row r="493" ht="22.5" customHeight="1">
      <c r="A493" s="5">
        <v>2.00358627513E11</v>
      </c>
      <c r="B493" s="5" t="s">
        <v>579</v>
      </c>
      <c r="C493" s="5">
        <v>522216409527</v>
      </c>
      <c r="D493" s="5" t="s">
        <v>38</v>
      </c>
      <c r="E493" s="5">
        <v>8.7547393E7</v>
      </c>
      <c r="F493" s="5"/>
      <c r="G493" s="5"/>
      <c r="H493" s="5"/>
      <c r="I493" s="6"/>
      <c r="J493" s="7" t="s">
        <v>18</v>
      </c>
      <c r="K493" s="7" t="s">
        <v>61</v>
      </c>
      <c r="L493" s="8">
        <v>1.770561415789E12</v>
      </c>
      <c r="M493" s="9"/>
      <c r="N493" s="10"/>
      <c r="O493" s="10"/>
      <c r="P493" s="10"/>
      <c r="Q493" s="10"/>
      <c r="R493" s="10"/>
      <c r="S493" s="10"/>
      <c r="T493" s="10"/>
      <c r="U493" s="10"/>
      <c r="V493" s="10"/>
    </row>
    <row r="494" ht="22.5" customHeight="1">
      <c r="A494" s="5">
        <v>2.00362954515E11</v>
      </c>
      <c r="B494" s="5" t="s">
        <v>580</v>
      </c>
      <c r="C494" s="5">
        <v>51965376752</v>
      </c>
      <c r="D494" s="5" t="s">
        <v>13</v>
      </c>
      <c r="E494" s="5">
        <v>8.0566583E7</v>
      </c>
      <c r="F494" s="5" t="s">
        <v>42</v>
      </c>
      <c r="G494" s="5" t="s">
        <v>15</v>
      </c>
      <c r="H494" s="5" t="s">
        <v>24</v>
      </c>
      <c r="I494" s="6" t="s">
        <v>17</v>
      </c>
      <c r="J494" s="7" t="s">
        <v>18</v>
      </c>
      <c r="K494" s="7" t="s">
        <v>19</v>
      </c>
      <c r="L494" s="8">
        <v>1.770563581282E12</v>
      </c>
      <c r="M494" s="9"/>
      <c r="N494" s="10"/>
      <c r="O494" s="10"/>
      <c r="P494" s="10"/>
      <c r="Q494" s="10"/>
      <c r="R494" s="10"/>
      <c r="S494" s="10"/>
      <c r="T494" s="10"/>
      <c r="U494" s="10"/>
      <c r="V494" s="10"/>
    </row>
    <row r="495" ht="22.5" customHeight="1">
      <c r="A495" s="5">
        <v>2.00363428223E11</v>
      </c>
      <c r="B495" s="5" t="s">
        <v>581</v>
      </c>
      <c r="C495" s="5">
        <v>51972083138</v>
      </c>
      <c r="D495" s="5" t="s">
        <v>13</v>
      </c>
      <c r="E495" s="5">
        <v>8.7547393E7</v>
      </c>
      <c r="F495" s="5" t="s">
        <v>28</v>
      </c>
      <c r="G495" s="5" t="s">
        <v>32</v>
      </c>
      <c r="H495" s="5" t="s">
        <v>24</v>
      </c>
      <c r="I495" s="6" t="s">
        <v>17</v>
      </c>
      <c r="J495" s="7" t="s">
        <v>58</v>
      </c>
      <c r="K495" s="11" t="s">
        <v>59</v>
      </c>
      <c r="L495" s="8">
        <v>1.7705636204E12</v>
      </c>
      <c r="M495" s="9"/>
      <c r="N495" s="10"/>
      <c r="O495" s="10"/>
      <c r="P495" s="10"/>
      <c r="Q495" s="10"/>
      <c r="R495" s="10"/>
      <c r="S495" s="10"/>
      <c r="T495" s="10"/>
      <c r="U495" s="10"/>
      <c r="V495" s="10"/>
    </row>
    <row r="496" ht="22.5" customHeight="1">
      <c r="A496" s="5">
        <v>2.00365558033E11</v>
      </c>
      <c r="B496" s="5" t="s">
        <v>582</v>
      </c>
      <c r="C496" s="5">
        <v>5521970723070</v>
      </c>
      <c r="D496" s="5" t="s">
        <v>13</v>
      </c>
      <c r="E496" s="5">
        <v>8.7547393E7</v>
      </c>
      <c r="F496" s="5" t="s">
        <v>39</v>
      </c>
      <c r="G496" s="5" t="s">
        <v>15</v>
      </c>
      <c r="H496" s="5" t="s">
        <v>583</v>
      </c>
      <c r="I496" s="6" t="s">
        <v>148</v>
      </c>
      <c r="J496" s="7" t="s">
        <v>34</v>
      </c>
      <c r="K496" s="7"/>
      <c r="L496" s="8">
        <v>1.770565388144E12</v>
      </c>
      <c r="M496" s="9"/>
      <c r="N496" s="10"/>
      <c r="O496" s="10"/>
      <c r="P496" s="10"/>
      <c r="Q496" s="10"/>
      <c r="R496" s="10"/>
      <c r="S496" s="10"/>
      <c r="T496" s="10"/>
      <c r="U496" s="10"/>
      <c r="V496" s="10"/>
    </row>
    <row r="497" ht="22.5" customHeight="1">
      <c r="A497" s="5">
        <v>2.00372583725E11</v>
      </c>
      <c r="B497" s="5" t="s">
        <v>584</v>
      </c>
      <c r="C497" s="5">
        <v>51981364447</v>
      </c>
      <c r="D497" s="5" t="s">
        <v>13</v>
      </c>
      <c r="E497" s="5">
        <v>8.0566583E7</v>
      </c>
      <c r="F497" s="5" t="s">
        <v>14</v>
      </c>
      <c r="G497" s="5" t="s">
        <v>15</v>
      </c>
      <c r="H497" s="5" t="s">
        <v>51</v>
      </c>
      <c r="I497" s="6" t="s">
        <v>17</v>
      </c>
      <c r="J497" s="7" t="s">
        <v>34</v>
      </c>
      <c r="K497" s="7"/>
      <c r="L497" s="8">
        <v>1.770567110101E12</v>
      </c>
      <c r="M497" s="9"/>
      <c r="N497" s="10"/>
      <c r="O497" s="10"/>
      <c r="P497" s="10"/>
      <c r="Q497" s="10"/>
      <c r="R497" s="10"/>
      <c r="S497" s="10"/>
      <c r="T497" s="10"/>
      <c r="U497" s="10"/>
      <c r="V497" s="10"/>
    </row>
    <row r="498" ht="22.5" customHeight="1">
      <c r="A498" s="5">
        <v>1.69314497845E11</v>
      </c>
      <c r="B498" s="5" t="s">
        <v>585</v>
      </c>
      <c r="C498" s="5">
        <v>51983994185</v>
      </c>
      <c r="D498" s="5"/>
      <c r="E498" s="5"/>
      <c r="F498" s="5"/>
      <c r="G498" s="5"/>
      <c r="H498" s="5"/>
      <c r="I498" s="6"/>
      <c r="J498" s="7" t="s">
        <v>18</v>
      </c>
      <c r="K498" s="7" t="s">
        <v>19</v>
      </c>
      <c r="L498" s="8">
        <v>1.770567222897E12</v>
      </c>
      <c r="M498" s="9"/>
      <c r="N498" s="10"/>
      <c r="O498" s="10"/>
      <c r="P498" s="10"/>
      <c r="Q498" s="10"/>
      <c r="R498" s="10"/>
      <c r="S498" s="10"/>
      <c r="T498" s="10"/>
      <c r="U498" s="10"/>
      <c r="V498" s="10"/>
    </row>
    <row r="499" ht="22.5" customHeight="1">
      <c r="A499" s="5">
        <v>2.00367331147E11</v>
      </c>
      <c r="B499" s="5" t="s">
        <v>586</v>
      </c>
      <c r="C499" s="5">
        <v>528183629847</v>
      </c>
      <c r="D499" s="5" t="s">
        <v>13</v>
      </c>
      <c r="E499" s="5">
        <v>8.7547393E7</v>
      </c>
      <c r="F499" s="5" t="s">
        <v>28</v>
      </c>
      <c r="G499" s="5" t="s">
        <v>32</v>
      </c>
      <c r="H499" s="5" t="s">
        <v>66</v>
      </c>
      <c r="I499" s="6" t="s">
        <v>36</v>
      </c>
      <c r="J499" s="7" t="s">
        <v>18</v>
      </c>
      <c r="K499" s="7" t="s">
        <v>61</v>
      </c>
      <c r="L499" s="8">
        <v>1.770567573699E12</v>
      </c>
      <c r="M499" s="9"/>
      <c r="N499" s="10"/>
      <c r="O499" s="10"/>
      <c r="P499" s="10"/>
      <c r="Q499" s="10"/>
      <c r="R499" s="10"/>
      <c r="S499" s="10"/>
      <c r="T499" s="10"/>
      <c r="U499" s="10"/>
      <c r="V499" s="10"/>
    </row>
    <row r="500" ht="22.5" customHeight="1">
      <c r="A500" s="5">
        <v>2.00376812385E11</v>
      </c>
      <c r="B500" s="5" t="s">
        <v>587</v>
      </c>
      <c r="C500" s="5">
        <v>51930415578</v>
      </c>
      <c r="D500" s="5" t="s">
        <v>13</v>
      </c>
      <c r="E500" s="5">
        <v>8.7547393E7</v>
      </c>
      <c r="F500" s="5" t="s">
        <v>23</v>
      </c>
      <c r="G500" s="5" t="s">
        <v>15</v>
      </c>
      <c r="H500" s="5" t="s">
        <v>51</v>
      </c>
      <c r="I500" s="6" t="s">
        <v>17</v>
      </c>
      <c r="J500" s="7" t="s">
        <v>18</v>
      </c>
      <c r="K500" s="7" t="s">
        <v>19</v>
      </c>
      <c r="L500" s="8">
        <v>1.770568042747E12</v>
      </c>
      <c r="M500" s="9"/>
      <c r="N500" s="10"/>
      <c r="O500" s="10"/>
      <c r="P500" s="10"/>
      <c r="Q500" s="10"/>
      <c r="R500" s="10"/>
      <c r="S500" s="10"/>
      <c r="T500" s="10"/>
      <c r="U500" s="10"/>
      <c r="V500" s="10"/>
    </row>
    <row r="501" ht="22.5" customHeight="1">
      <c r="A501" s="5">
        <v>1.93564336261E11</v>
      </c>
      <c r="B501" s="5" t="s">
        <v>588</v>
      </c>
      <c r="C501" s="5">
        <v>573127164506</v>
      </c>
      <c r="D501" s="5" t="s">
        <v>103</v>
      </c>
      <c r="E501" s="5">
        <v>8.0566583E7</v>
      </c>
      <c r="F501" s="5" t="s">
        <v>28</v>
      </c>
      <c r="G501" s="5" t="s">
        <v>79</v>
      </c>
      <c r="H501" s="5" t="s">
        <v>16</v>
      </c>
      <c r="I501" s="6" t="s">
        <v>17</v>
      </c>
      <c r="J501" s="7" t="s">
        <v>34</v>
      </c>
      <c r="K501" s="7"/>
      <c r="L501" s="8">
        <v>1.770568788719E12</v>
      </c>
      <c r="M501" s="9"/>
      <c r="N501" s="10"/>
      <c r="O501" s="10"/>
      <c r="P501" s="10"/>
      <c r="Q501" s="10"/>
      <c r="R501" s="10"/>
      <c r="S501" s="10"/>
      <c r="T501" s="10"/>
      <c r="U501" s="10"/>
      <c r="V501" s="10"/>
    </row>
    <row r="502" ht="22.5" customHeight="1">
      <c r="A502" s="5">
        <v>1.67448495619E11</v>
      </c>
      <c r="B502" s="5" t="s">
        <v>589</v>
      </c>
      <c r="C502" s="5">
        <v>51902893039</v>
      </c>
      <c r="D502" s="5" t="s">
        <v>13</v>
      </c>
      <c r="E502" s="5">
        <v>8.0566583E7</v>
      </c>
      <c r="F502" s="5" t="s">
        <v>28</v>
      </c>
      <c r="G502" s="5" t="s">
        <v>15</v>
      </c>
      <c r="H502" s="5" t="s">
        <v>16</v>
      </c>
      <c r="I502" s="6" t="s">
        <v>17</v>
      </c>
      <c r="J502" s="7" t="s">
        <v>18</v>
      </c>
      <c r="K502" s="7" t="s">
        <v>116</v>
      </c>
      <c r="L502" s="8">
        <v>1.770569750398E12</v>
      </c>
      <c r="M502" s="9"/>
      <c r="N502" s="10"/>
      <c r="O502" s="10"/>
      <c r="P502" s="10"/>
      <c r="Q502" s="10"/>
      <c r="R502" s="10"/>
      <c r="S502" s="10"/>
      <c r="T502" s="10"/>
      <c r="U502" s="10"/>
      <c r="V502" s="10"/>
    </row>
    <row r="503" ht="22.5" customHeight="1">
      <c r="A503" s="5">
        <v>2.00367867681E11</v>
      </c>
      <c r="B503" s="5" t="s">
        <v>590</v>
      </c>
      <c r="C503" s="5">
        <v>51951438987</v>
      </c>
      <c r="D503" s="5" t="s">
        <v>22</v>
      </c>
      <c r="E503" s="5">
        <v>8.7547393E7</v>
      </c>
      <c r="F503" s="5" t="s">
        <v>23</v>
      </c>
      <c r="G503" s="5" t="s">
        <v>32</v>
      </c>
      <c r="H503" s="5" t="s">
        <v>80</v>
      </c>
      <c r="I503" s="6" t="s">
        <v>17</v>
      </c>
      <c r="J503" s="7" t="s">
        <v>34</v>
      </c>
      <c r="K503" s="7"/>
      <c r="L503" s="8">
        <v>1.770569809845E12</v>
      </c>
      <c r="M503" s="9"/>
      <c r="N503" s="10"/>
      <c r="O503" s="10"/>
      <c r="P503" s="10"/>
      <c r="Q503" s="10"/>
      <c r="R503" s="10"/>
      <c r="S503" s="10"/>
      <c r="T503" s="10"/>
      <c r="U503" s="10"/>
      <c r="V503" s="10"/>
    </row>
    <row r="504" ht="22.5" customHeight="1">
      <c r="A504" s="5">
        <v>2.00379619236E11</v>
      </c>
      <c r="B504" s="5" t="s">
        <v>591</v>
      </c>
      <c r="C504" s="5">
        <v>51946236634</v>
      </c>
      <c r="D504" s="5" t="s">
        <v>13</v>
      </c>
      <c r="E504" s="5">
        <v>8.0566583E7</v>
      </c>
      <c r="F504" s="5" t="s">
        <v>39</v>
      </c>
      <c r="G504" s="5" t="s">
        <v>32</v>
      </c>
      <c r="H504" s="5" t="s">
        <v>66</v>
      </c>
      <c r="I504" s="6" t="s">
        <v>17</v>
      </c>
      <c r="J504" s="7" t="s">
        <v>18</v>
      </c>
      <c r="K504" s="7" t="s">
        <v>19</v>
      </c>
      <c r="L504" s="8">
        <v>1.770571281215E12</v>
      </c>
      <c r="M504" s="9"/>
      <c r="N504" s="10"/>
      <c r="O504" s="10"/>
      <c r="P504" s="10"/>
      <c r="Q504" s="10"/>
      <c r="R504" s="10"/>
      <c r="S504" s="10"/>
      <c r="T504" s="10"/>
      <c r="U504" s="10"/>
      <c r="V504" s="10"/>
    </row>
    <row r="505" ht="22.5" customHeight="1">
      <c r="A505" s="5">
        <v>2.00381881871E11</v>
      </c>
      <c r="B505" s="5" t="s">
        <v>592</v>
      </c>
      <c r="C505" s="5">
        <v>51923244280</v>
      </c>
      <c r="D505" s="5" t="s">
        <v>13</v>
      </c>
      <c r="E505" s="5">
        <v>8.7547393E7</v>
      </c>
      <c r="F505" s="5" t="s">
        <v>39</v>
      </c>
      <c r="G505" s="5" t="s">
        <v>15</v>
      </c>
      <c r="H505" s="5" t="s">
        <v>51</v>
      </c>
      <c r="I505" s="6" t="s">
        <v>17</v>
      </c>
      <c r="J505" s="7" t="s">
        <v>18</v>
      </c>
      <c r="K505" s="7" t="s">
        <v>116</v>
      </c>
      <c r="L505" s="8">
        <v>1.770572690511E12</v>
      </c>
      <c r="M505" s="9"/>
      <c r="N505" s="10"/>
      <c r="O505" s="10"/>
      <c r="P505" s="10"/>
      <c r="Q505" s="10"/>
      <c r="R505" s="10"/>
      <c r="S505" s="10"/>
      <c r="T505" s="10"/>
      <c r="U505" s="10"/>
      <c r="V505" s="10"/>
    </row>
    <row r="506" ht="22.5" customHeight="1">
      <c r="A506" s="5">
        <v>2.00382204967E11</v>
      </c>
      <c r="B506" s="5" t="s">
        <v>593</v>
      </c>
      <c r="C506" s="5">
        <v>5511980565008</v>
      </c>
      <c r="D506" s="5" t="s">
        <v>22</v>
      </c>
      <c r="E506" s="5">
        <v>7.9360573E7</v>
      </c>
      <c r="F506" s="5" t="s">
        <v>93</v>
      </c>
      <c r="G506" s="5" t="s">
        <v>32</v>
      </c>
      <c r="H506" s="5" t="s">
        <v>16</v>
      </c>
      <c r="I506" s="6" t="s">
        <v>36</v>
      </c>
      <c r="J506" s="7" t="s">
        <v>34</v>
      </c>
      <c r="K506" s="7"/>
      <c r="L506" s="8">
        <v>1.770573763882E12</v>
      </c>
      <c r="M506" s="9"/>
      <c r="N506" s="10"/>
      <c r="O506" s="10"/>
      <c r="P506" s="10"/>
      <c r="Q506" s="10"/>
      <c r="R506" s="10"/>
      <c r="S506" s="10"/>
      <c r="T506" s="10"/>
      <c r="U506" s="10"/>
      <c r="V506" s="10"/>
    </row>
    <row r="507" ht="22.5" customHeight="1">
      <c r="A507" s="5">
        <v>2.00383520526E11</v>
      </c>
      <c r="B507" s="5" t="s">
        <v>594</v>
      </c>
      <c r="C507" s="5">
        <v>51958136157</v>
      </c>
      <c r="D507" s="5" t="s">
        <v>13</v>
      </c>
      <c r="E507" s="5">
        <v>8.0566583E7</v>
      </c>
      <c r="F507" s="5"/>
      <c r="G507" s="5"/>
      <c r="H507" s="5" t="s">
        <v>114</v>
      </c>
      <c r="I507" s="6" t="s">
        <v>17</v>
      </c>
      <c r="J507" s="7" t="s">
        <v>34</v>
      </c>
      <c r="K507" s="7"/>
      <c r="L507" s="8">
        <v>1.770573905705E12</v>
      </c>
      <c r="M507" s="9"/>
      <c r="N507" s="10"/>
      <c r="O507" s="10"/>
      <c r="P507" s="10"/>
      <c r="Q507" s="10"/>
      <c r="R507" s="10"/>
      <c r="S507" s="10"/>
      <c r="T507" s="10"/>
      <c r="U507" s="10"/>
      <c r="V507" s="10"/>
    </row>
    <row r="508" ht="22.5" customHeight="1">
      <c r="A508" s="5">
        <v>2.00385149214E11</v>
      </c>
      <c r="B508" s="5" t="s">
        <v>595</v>
      </c>
      <c r="C508" s="5">
        <v>51907668005</v>
      </c>
      <c r="D508" s="5" t="s">
        <v>22</v>
      </c>
      <c r="E508" s="5">
        <v>8.7547393E7</v>
      </c>
      <c r="F508" s="5" t="s">
        <v>23</v>
      </c>
      <c r="G508" s="5" t="s">
        <v>44</v>
      </c>
      <c r="H508" s="5" t="s">
        <v>74</v>
      </c>
      <c r="I508" s="6" t="s">
        <v>17</v>
      </c>
      <c r="J508" s="7" t="s">
        <v>34</v>
      </c>
      <c r="K508" s="7"/>
      <c r="L508" s="8">
        <v>1.770574436568E12</v>
      </c>
      <c r="M508" s="9"/>
      <c r="N508" s="10"/>
      <c r="O508" s="10"/>
      <c r="P508" s="10"/>
      <c r="Q508" s="10"/>
      <c r="R508" s="10"/>
      <c r="S508" s="10"/>
      <c r="T508" s="10"/>
      <c r="U508" s="10"/>
      <c r="V508" s="10"/>
    </row>
    <row r="509" ht="22.5" customHeight="1">
      <c r="A509" s="5">
        <v>2.00395243561E11</v>
      </c>
      <c r="B509" s="5" t="s">
        <v>596</v>
      </c>
      <c r="C509" s="5">
        <v>5569992369502</v>
      </c>
      <c r="D509" s="5" t="s">
        <v>22</v>
      </c>
      <c r="E509" s="5">
        <v>8.7547393E7</v>
      </c>
      <c r="F509" s="5" t="s">
        <v>93</v>
      </c>
      <c r="G509" s="5" t="s">
        <v>32</v>
      </c>
      <c r="H509" s="5" t="s">
        <v>16</v>
      </c>
      <c r="I509" s="6" t="s">
        <v>36</v>
      </c>
      <c r="J509" s="7" t="s">
        <v>18</v>
      </c>
      <c r="K509" s="7" t="s">
        <v>45</v>
      </c>
      <c r="L509" s="8">
        <v>1.770576353244E12</v>
      </c>
      <c r="M509" s="9"/>
      <c r="N509" s="10"/>
      <c r="O509" s="10"/>
      <c r="P509" s="10"/>
      <c r="Q509" s="10"/>
      <c r="R509" s="10"/>
      <c r="S509" s="10"/>
      <c r="T509" s="10"/>
      <c r="U509" s="10"/>
      <c r="V509" s="10"/>
    </row>
    <row r="510" ht="22.5" customHeight="1">
      <c r="A510" s="5">
        <v>2.00385263957E11</v>
      </c>
      <c r="B510" s="5" t="s">
        <v>597</v>
      </c>
      <c r="C510" s="5">
        <v>51946156280</v>
      </c>
      <c r="D510" s="5" t="s">
        <v>13</v>
      </c>
      <c r="E510" s="5">
        <v>8.0566583E7</v>
      </c>
      <c r="F510" s="5" t="s">
        <v>31</v>
      </c>
      <c r="G510" s="5" t="s">
        <v>32</v>
      </c>
      <c r="H510" s="5" t="s">
        <v>24</v>
      </c>
      <c r="I510" s="6"/>
      <c r="J510" s="7" t="s">
        <v>177</v>
      </c>
      <c r="K510" s="7" t="s">
        <v>36</v>
      </c>
      <c r="L510" s="8">
        <v>1.770576986121E12</v>
      </c>
      <c r="M510" s="9"/>
      <c r="N510" s="10"/>
      <c r="O510" s="10"/>
      <c r="P510" s="10"/>
      <c r="Q510" s="10"/>
      <c r="R510" s="10"/>
      <c r="S510" s="10"/>
      <c r="T510" s="10"/>
      <c r="U510" s="10"/>
      <c r="V510" s="10"/>
    </row>
    <row r="511" ht="22.5" customHeight="1">
      <c r="A511" s="5">
        <v>2.00386626163E11</v>
      </c>
      <c r="B511" s="5" t="s">
        <v>598</v>
      </c>
      <c r="C511" s="5">
        <v>5562993034828</v>
      </c>
      <c r="D511" s="5" t="s">
        <v>13</v>
      </c>
      <c r="E511" s="5">
        <v>8.0566583E7</v>
      </c>
      <c r="F511" s="5" t="s">
        <v>14</v>
      </c>
      <c r="G511" s="5" t="s">
        <v>15</v>
      </c>
      <c r="H511" s="5" t="s">
        <v>16</v>
      </c>
      <c r="I511" s="6" t="s">
        <v>17</v>
      </c>
      <c r="J511" s="7" t="s">
        <v>34</v>
      </c>
      <c r="K511" s="7"/>
      <c r="L511" s="8">
        <v>1.770576993545E12</v>
      </c>
      <c r="M511" s="9"/>
      <c r="N511" s="10"/>
      <c r="O511" s="10"/>
      <c r="P511" s="10"/>
      <c r="Q511" s="10"/>
      <c r="R511" s="10"/>
      <c r="S511" s="10"/>
      <c r="T511" s="10"/>
      <c r="U511" s="10"/>
      <c r="V511" s="10"/>
    </row>
    <row r="512" ht="22.5" customHeight="1">
      <c r="A512" s="5">
        <v>1.88204597066E11</v>
      </c>
      <c r="B512" s="5" t="s">
        <v>599</v>
      </c>
      <c r="C512" s="5">
        <v>51987528989</v>
      </c>
      <c r="D512" s="5" t="s">
        <v>103</v>
      </c>
      <c r="E512" s="5">
        <v>8.0566583E7</v>
      </c>
      <c r="F512" s="5" t="s">
        <v>93</v>
      </c>
      <c r="G512" s="5" t="s">
        <v>44</v>
      </c>
      <c r="H512" s="5" t="s">
        <v>112</v>
      </c>
      <c r="I512" s="6" t="s">
        <v>17</v>
      </c>
      <c r="J512" s="7" t="s">
        <v>25</v>
      </c>
      <c r="K512" s="7" t="s">
        <v>26</v>
      </c>
      <c r="L512" s="8">
        <v>1.770578698929E12</v>
      </c>
      <c r="M512" s="9"/>
      <c r="N512" s="10"/>
      <c r="O512" s="10"/>
      <c r="P512" s="10"/>
      <c r="Q512" s="10"/>
      <c r="R512" s="10"/>
      <c r="S512" s="10"/>
      <c r="T512" s="10"/>
      <c r="U512" s="10"/>
      <c r="V512" s="10"/>
    </row>
    <row r="513" ht="22.5" customHeight="1">
      <c r="A513" s="5">
        <v>2.00398546213E11</v>
      </c>
      <c r="B513" s="5" t="s">
        <v>600</v>
      </c>
      <c r="C513" s="5">
        <v>51991205731</v>
      </c>
      <c r="D513" s="5" t="s">
        <v>13</v>
      </c>
      <c r="E513" s="5">
        <v>8.7547393E7</v>
      </c>
      <c r="F513" s="5" t="s">
        <v>39</v>
      </c>
      <c r="G513" s="5" t="s">
        <v>15</v>
      </c>
      <c r="H513" s="5" t="s">
        <v>112</v>
      </c>
      <c r="I513" s="6" t="s">
        <v>17</v>
      </c>
      <c r="J513" s="7" t="s">
        <v>18</v>
      </c>
      <c r="K513" s="7" t="s">
        <v>19</v>
      </c>
      <c r="L513" s="8">
        <v>1.770579333427E12</v>
      </c>
      <c r="M513" s="9"/>
      <c r="N513" s="10"/>
      <c r="O513" s="10"/>
      <c r="P513" s="10"/>
      <c r="Q513" s="10"/>
      <c r="R513" s="10"/>
      <c r="S513" s="10"/>
      <c r="T513" s="10"/>
      <c r="U513" s="10"/>
      <c r="V513" s="10"/>
    </row>
    <row r="514" ht="22.5" customHeight="1">
      <c r="A514" s="5">
        <v>1.90041640374E11</v>
      </c>
      <c r="B514" s="5" t="s">
        <v>601</v>
      </c>
      <c r="C514" s="5">
        <v>528110731511</v>
      </c>
      <c r="D514" s="5" t="s">
        <v>13</v>
      </c>
      <c r="E514" s="5">
        <v>8.0566583E7</v>
      </c>
      <c r="F514" s="5" t="s">
        <v>28</v>
      </c>
      <c r="G514" s="5" t="s">
        <v>15</v>
      </c>
      <c r="H514" s="5" t="s">
        <v>51</v>
      </c>
      <c r="I514" s="6" t="s">
        <v>17</v>
      </c>
      <c r="J514" s="7" t="s">
        <v>18</v>
      </c>
      <c r="K514" s="7" t="s">
        <v>61</v>
      </c>
      <c r="L514" s="8">
        <v>1.770580932408E12</v>
      </c>
      <c r="M514" s="9"/>
      <c r="N514" s="10"/>
      <c r="O514" s="10"/>
      <c r="P514" s="10"/>
      <c r="Q514" s="10"/>
      <c r="R514" s="10"/>
      <c r="S514" s="10"/>
      <c r="T514" s="10"/>
      <c r="U514" s="10"/>
      <c r="V514" s="10"/>
    </row>
    <row r="515" ht="22.5" customHeight="1">
      <c r="A515" s="5">
        <v>2.00390565279E11</v>
      </c>
      <c r="B515" s="5" t="s">
        <v>602</v>
      </c>
      <c r="C515" s="5">
        <v>51947201500</v>
      </c>
      <c r="D515" s="5"/>
      <c r="E515" s="5"/>
      <c r="F515" s="5" t="s">
        <v>39</v>
      </c>
      <c r="G515" s="5" t="s">
        <v>15</v>
      </c>
      <c r="H515" s="5" t="s">
        <v>69</v>
      </c>
      <c r="I515" s="6" t="s">
        <v>17</v>
      </c>
      <c r="J515" s="7" t="s">
        <v>18</v>
      </c>
      <c r="K515" s="7" t="s">
        <v>19</v>
      </c>
      <c r="L515" s="8">
        <v>1.770581742156E12</v>
      </c>
      <c r="M515" s="9"/>
      <c r="N515" s="10"/>
      <c r="O515" s="10"/>
      <c r="P515" s="10"/>
      <c r="Q515" s="10"/>
      <c r="R515" s="10"/>
      <c r="S515" s="10"/>
      <c r="T515" s="10"/>
      <c r="U515" s="10"/>
      <c r="V515" s="10"/>
    </row>
    <row r="516" ht="22.5" customHeight="1">
      <c r="A516" s="5">
        <v>1.44714412211E11</v>
      </c>
      <c r="B516" s="5" t="s">
        <v>603</v>
      </c>
      <c r="C516" s="5">
        <v>51977219427</v>
      </c>
      <c r="D516" s="5"/>
      <c r="E516" s="5"/>
      <c r="F516" s="5"/>
      <c r="G516" s="5"/>
      <c r="H516" s="5"/>
      <c r="I516" s="6"/>
      <c r="J516" s="7" t="s">
        <v>18</v>
      </c>
      <c r="K516" s="7" t="s">
        <v>19</v>
      </c>
      <c r="L516" s="8">
        <v>1.770584116043E12</v>
      </c>
      <c r="M516" s="9"/>
      <c r="N516" s="10"/>
      <c r="O516" s="10"/>
      <c r="P516" s="10"/>
      <c r="Q516" s="10"/>
      <c r="R516" s="10"/>
      <c r="S516" s="10"/>
      <c r="T516" s="10"/>
      <c r="U516" s="10"/>
      <c r="V516" s="10"/>
    </row>
    <row r="517" ht="22.5" customHeight="1">
      <c r="A517" s="5">
        <v>2.00417424986E11</v>
      </c>
      <c r="B517" s="5" t="s">
        <v>604</v>
      </c>
      <c r="C517" s="5">
        <v>5511960697767</v>
      </c>
      <c r="D517" s="5" t="s">
        <v>22</v>
      </c>
      <c r="E517" s="5">
        <v>8.0566583E7</v>
      </c>
      <c r="F517" s="5" t="s">
        <v>28</v>
      </c>
      <c r="G517" s="5" t="s">
        <v>44</v>
      </c>
      <c r="H517" s="5" t="s">
        <v>24</v>
      </c>
      <c r="I517" s="6" t="s">
        <v>17</v>
      </c>
      <c r="J517" s="7" t="s">
        <v>34</v>
      </c>
      <c r="K517" s="7"/>
      <c r="L517" s="8">
        <v>1.770587027683E12</v>
      </c>
      <c r="M517" s="9"/>
      <c r="N517" s="10"/>
      <c r="O517" s="10"/>
      <c r="P517" s="10"/>
      <c r="Q517" s="10"/>
      <c r="R517" s="10"/>
      <c r="S517" s="10"/>
      <c r="T517" s="10"/>
      <c r="U517" s="10"/>
      <c r="V517" s="10"/>
    </row>
    <row r="518" ht="22.5" customHeight="1">
      <c r="A518" s="5">
        <v>2.00415222337E11</v>
      </c>
      <c r="B518" s="5" t="s">
        <v>605</v>
      </c>
      <c r="C518" s="5">
        <v>528287684445</v>
      </c>
      <c r="D518" s="5" t="s">
        <v>13</v>
      </c>
      <c r="E518" s="5">
        <v>8.7547393E7</v>
      </c>
      <c r="F518" s="5" t="s">
        <v>28</v>
      </c>
      <c r="G518" s="5" t="s">
        <v>15</v>
      </c>
      <c r="H518" s="5" t="s">
        <v>51</v>
      </c>
      <c r="I518" s="6" t="s">
        <v>17</v>
      </c>
      <c r="J518" s="7" t="s">
        <v>18</v>
      </c>
      <c r="K518" s="7" t="s">
        <v>76</v>
      </c>
      <c r="L518" s="8">
        <v>1.770588204149E12</v>
      </c>
      <c r="M518" s="9"/>
      <c r="N518" s="10"/>
      <c r="O518" s="10"/>
      <c r="P518" s="10"/>
      <c r="Q518" s="10"/>
      <c r="R518" s="10"/>
      <c r="S518" s="10"/>
      <c r="T518" s="10"/>
      <c r="U518" s="10"/>
      <c r="V518" s="10"/>
    </row>
    <row r="519" ht="22.5" customHeight="1">
      <c r="A519" s="5">
        <v>1.92076236728E11</v>
      </c>
      <c r="B519" s="5" t="s">
        <v>606</v>
      </c>
      <c r="C519" s="5">
        <v>529671340012</v>
      </c>
      <c r="D519" s="5" t="s">
        <v>13</v>
      </c>
      <c r="E519" s="5">
        <v>8.0566583E7</v>
      </c>
      <c r="F519" s="5" t="s">
        <v>28</v>
      </c>
      <c r="G519" s="5" t="s">
        <v>15</v>
      </c>
      <c r="H519" s="5" t="s">
        <v>51</v>
      </c>
      <c r="I519" s="6" t="s">
        <v>17</v>
      </c>
      <c r="J519" s="7" t="s">
        <v>34</v>
      </c>
      <c r="K519" s="7"/>
      <c r="L519" s="8">
        <v>1.770591317854E12</v>
      </c>
      <c r="M519" s="9"/>
      <c r="N519" s="10"/>
      <c r="O519" s="10"/>
      <c r="P519" s="10"/>
      <c r="Q519" s="10"/>
      <c r="R519" s="10"/>
      <c r="S519" s="10"/>
      <c r="T519" s="10"/>
      <c r="U519" s="10"/>
      <c r="V519" s="10"/>
    </row>
    <row r="520" ht="22.5" customHeight="1">
      <c r="A520" s="5">
        <v>2.00420874775E11</v>
      </c>
      <c r="B520" s="5" t="s">
        <v>607</v>
      </c>
      <c r="C520" s="5">
        <v>5586999898295</v>
      </c>
      <c r="D520" s="5" t="s">
        <v>13</v>
      </c>
      <c r="E520" s="5">
        <v>8.7547393E7</v>
      </c>
      <c r="F520" s="5" t="s">
        <v>93</v>
      </c>
      <c r="G520" s="5" t="s">
        <v>15</v>
      </c>
      <c r="H520" s="5" t="s">
        <v>16</v>
      </c>
      <c r="I520" s="6" t="s">
        <v>17</v>
      </c>
      <c r="J520" s="7" t="s">
        <v>34</v>
      </c>
      <c r="K520" s="7"/>
      <c r="L520" s="8">
        <v>1.770592637972E12</v>
      </c>
      <c r="M520" s="9"/>
      <c r="N520" s="10"/>
      <c r="O520" s="10"/>
      <c r="P520" s="10"/>
      <c r="Q520" s="10"/>
      <c r="R520" s="10"/>
      <c r="S520" s="10"/>
      <c r="T520" s="10"/>
      <c r="U520" s="10"/>
      <c r="V520" s="10"/>
    </row>
    <row r="521" ht="22.5" customHeight="1">
      <c r="A521" s="5">
        <v>2.00427472404E11</v>
      </c>
      <c r="B521" s="5" t="s">
        <v>608</v>
      </c>
      <c r="C521" s="5">
        <v>5551984191286</v>
      </c>
      <c r="D521" s="5" t="s">
        <v>22</v>
      </c>
      <c r="E521" s="5">
        <v>7.9360573E7</v>
      </c>
      <c r="F521" s="5" t="s">
        <v>42</v>
      </c>
      <c r="G521" s="5" t="s">
        <v>44</v>
      </c>
      <c r="H521" s="5" t="s">
        <v>16</v>
      </c>
      <c r="I521" s="6" t="s">
        <v>17</v>
      </c>
      <c r="J521" s="7" t="s">
        <v>34</v>
      </c>
      <c r="K521" s="7"/>
      <c r="L521" s="8">
        <v>1.770595874407E12</v>
      </c>
      <c r="M521" s="9"/>
      <c r="N521" s="10"/>
      <c r="O521" s="10"/>
      <c r="P521" s="10"/>
      <c r="Q521" s="10"/>
      <c r="R521" s="10"/>
      <c r="S521" s="10"/>
      <c r="T521" s="10"/>
      <c r="U521" s="10"/>
      <c r="V521" s="10"/>
    </row>
    <row r="522" ht="22.5" customHeight="1">
      <c r="A522" s="5">
        <v>2.00428648225E11</v>
      </c>
      <c r="B522" s="5" t="s">
        <v>609</v>
      </c>
      <c r="C522" s="5">
        <v>525534676774</v>
      </c>
      <c r="D522" s="5" t="s">
        <v>13</v>
      </c>
      <c r="E522" s="5">
        <v>8.7547393E7</v>
      </c>
      <c r="F522" s="5" t="s">
        <v>93</v>
      </c>
      <c r="G522" s="5" t="s">
        <v>15</v>
      </c>
      <c r="H522" s="5" t="s">
        <v>114</v>
      </c>
      <c r="I522" s="6" t="s">
        <v>17</v>
      </c>
      <c r="J522" s="7" t="s">
        <v>18</v>
      </c>
      <c r="K522" s="7" t="s">
        <v>61</v>
      </c>
      <c r="L522" s="8">
        <v>1.770596438558E12</v>
      </c>
      <c r="M522" s="9"/>
      <c r="N522" s="10"/>
      <c r="O522" s="10"/>
      <c r="P522" s="10"/>
      <c r="Q522" s="10"/>
      <c r="R522" s="10"/>
      <c r="S522" s="10"/>
      <c r="T522" s="10"/>
      <c r="U522" s="10"/>
      <c r="V522" s="10"/>
    </row>
    <row r="523" ht="22.5" customHeight="1">
      <c r="A523" s="5">
        <v>1.85386248751E11</v>
      </c>
      <c r="B523" s="5" t="s">
        <v>610</v>
      </c>
      <c r="C523" s="5">
        <v>51985361886</v>
      </c>
      <c r="D523" s="5" t="s">
        <v>22</v>
      </c>
      <c r="E523" s="5">
        <v>8.7547393E7</v>
      </c>
      <c r="F523" s="5" t="s">
        <v>28</v>
      </c>
      <c r="G523" s="5" t="s">
        <v>32</v>
      </c>
      <c r="H523" s="5" t="s">
        <v>114</v>
      </c>
      <c r="I523" s="6" t="s">
        <v>17</v>
      </c>
      <c r="J523" s="7" t="s">
        <v>58</v>
      </c>
      <c r="K523" s="11" t="s">
        <v>59</v>
      </c>
      <c r="L523" s="8">
        <v>1.770596540734E12</v>
      </c>
      <c r="M523" s="9"/>
      <c r="N523" s="10"/>
      <c r="O523" s="10"/>
      <c r="P523" s="10"/>
      <c r="Q523" s="10"/>
      <c r="R523" s="10"/>
      <c r="S523" s="10"/>
      <c r="T523" s="10"/>
      <c r="U523" s="10"/>
      <c r="V523" s="10"/>
    </row>
    <row r="524" ht="22.5" customHeight="1">
      <c r="A524" s="5">
        <v>2.00439290023E11</v>
      </c>
      <c r="B524" s="5" t="s">
        <v>611</v>
      </c>
      <c r="C524" s="5">
        <v>51949976766</v>
      </c>
      <c r="D524" s="5" t="s">
        <v>13</v>
      </c>
      <c r="E524" s="5">
        <v>8.0566583E7</v>
      </c>
      <c r="F524" s="5" t="s">
        <v>93</v>
      </c>
      <c r="G524" s="5" t="s">
        <v>15</v>
      </c>
      <c r="H524" s="5" t="s">
        <v>24</v>
      </c>
      <c r="I524" s="6" t="s">
        <v>17</v>
      </c>
      <c r="J524" s="7" t="s">
        <v>18</v>
      </c>
      <c r="K524" s="7" t="s">
        <v>19</v>
      </c>
      <c r="L524" s="8">
        <v>1.770597024367E12</v>
      </c>
      <c r="M524" s="9"/>
      <c r="N524" s="10"/>
      <c r="O524" s="10"/>
      <c r="P524" s="10"/>
      <c r="Q524" s="10"/>
      <c r="R524" s="10"/>
      <c r="S524" s="10"/>
      <c r="T524" s="10"/>
      <c r="U524" s="10"/>
      <c r="V524" s="10"/>
    </row>
    <row r="525" ht="22.5" customHeight="1">
      <c r="A525" s="5">
        <v>2.00432267394E11</v>
      </c>
      <c r="B525" s="5" t="s">
        <v>612</v>
      </c>
      <c r="C525" s="5">
        <v>5545991241459</v>
      </c>
      <c r="D525" s="5" t="s">
        <v>103</v>
      </c>
      <c r="E525" s="5">
        <v>7.9360573E7</v>
      </c>
      <c r="F525" s="5" t="s">
        <v>28</v>
      </c>
      <c r="G525" s="5" t="s">
        <v>104</v>
      </c>
      <c r="H525" s="5" t="s">
        <v>128</v>
      </c>
      <c r="I525" s="6" t="s">
        <v>148</v>
      </c>
      <c r="J525" s="7" t="s">
        <v>34</v>
      </c>
      <c r="K525" s="7"/>
      <c r="L525" s="8">
        <v>1.770598039444E12</v>
      </c>
      <c r="M525" s="9"/>
      <c r="N525" s="10"/>
      <c r="O525" s="10"/>
      <c r="P525" s="10"/>
      <c r="Q525" s="10"/>
      <c r="R525" s="10"/>
      <c r="S525" s="10"/>
      <c r="T525" s="10"/>
      <c r="U525" s="10"/>
      <c r="V525" s="10"/>
    </row>
    <row r="526" ht="22.5" customHeight="1">
      <c r="A526" s="5">
        <v>2.00437543297E11</v>
      </c>
      <c r="B526" s="5" t="s">
        <v>613</v>
      </c>
      <c r="C526" s="5">
        <v>528443834702</v>
      </c>
      <c r="D526" s="5" t="s">
        <v>13</v>
      </c>
      <c r="E526" s="5">
        <v>8.0566583E7</v>
      </c>
      <c r="F526" s="5" t="s">
        <v>28</v>
      </c>
      <c r="G526" s="5" t="s">
        <v>32</v>
      </c>
      <c r="H526" s="5" t="s">
        <v>51</v>
      </c>
      <c r="I526" s="6" t="s">
        <v>36</v>
      </c>
      <c r="J526" s="7" t="s">
        <v>18</v>
      </c>
      <c r="K526" s="7" t="s">
        <v>61</v>
      </c>
      <c r="L526" s="8">
        <v>1.770598536235E12</v>
      </c>
      <c r="M526" s="9"/>
      <c r="N526" s="10"/>
      <c r="O526" s="10"/>
      <c r="P526" s="10"/>
      <c r="Q526" s="10"/>
      <c r="R526" s="10"/>
      <c r="S526" s="10"/>
      <c r="T526" s="10"/>
      <c r="U526" s="10"/>
      <c r="V526" s="10"/>
    </row>
    <row r="527" ht="22.5" customHeight="1">
      <c r="A527" s="5">
        <v>2.00437882781E11</v>
      </c>
      <c r="B527" s="5" t="s">
        <v>614</v>
      </c>
      <c r="C527" s="5">
        <v>5521992539702</v>
      </c>
      <c r="D527" s="5" t="s">
        <v>13</v>
      </c>
      <c r="E527" s="5">
        <v>7.9360573E7</v>
      </c>
      <c r="F527" s="5" t="s">
        <v>42</v>
      </c>
      <c r="G527" s="5" t="s">
        <v>32</v>
      </c>
      <c r="H527" s="5" t="s">
        <v>69</v>
      </c>
      <c r="I527" s="6" t="s">
        <v>17</v>
      </c>
      <c r="J527" s="7" t="s">
        <v>34</v>
      </c>
      <c r="K527" s="7"/>
      <c r="L527" s="8">
        <v>1.770599104741E12</v>
      </c>
      <c r="M527" s="9"/>
      <c r="N527" s="10"/>
      <c r="O527" s="10"/>
      <c r="P527" s="10"/>
      <c r="Q527" s="10"/>
      <c r="R527" s="10"/>
      <c r="S527" s="10"/>
      <c r="T527" s="10"/>
      <c r="U527" s="10"/>
      <c r="V527" s="10"/>
    </row>
    <row r="528" ht="22.5" customHeight="1">
      <c r="A528" s="5">
        <v>2.0043806984E11</v>
      </c>
      <c r="B528" s="5" t="s">
        <v>615</v>
      </c>
      <c r="C528" s="5">
        <v>5584996820210</v>
      </c>
      <c r="D528" s="5" t="s">
        <v>13</v>
      </c>
      <c r="E528" s="5">
        <v>8.0566583E7</v>
      </c>
      <c r="F528" s="5" t="s">
        <v>31</v>
      </c>
      <c r="G528" s="5" t="s">
        <v>15</v>
      </c>
      <c r="H528" s="5" t="s">
        <v>51</v>
      </c>
      <c r="I528" s="6" t="s">
        <v>17</v>
      </c>
      <c r="J528" s="7" t="s">
        <v>124</v>
      </c>
      <c r="K528" s="7" t="s">
        <v>125</v>
      </c>
      <c r="L528" s="8">
        <v>1.770599980118E12</v>
      </c>
      <c r="M528" s="9"/>
      <c r="N528" s="10"/>
      <c r="O528" s="10"/>
      <c r="P528" s="10"/>
      <c r="Q528" s="10"/>
      <c r="R528" s="10"/>
      <c r="S528" s="10"/>
      <c r="T528" s="10"/>
      <c r="U528" s="10"/>
      <c r="V528" s="10"/>
    </row>
    <row r="529" ht="22.5" customHeight="1">
      <c r="A529" s="5">
        <v>2.00434099052E11</v>
      </c>
      <c r="B529" s="5" t="s">
        <v>616</v>
      </c>
      <c r="C529" s="5">
        <v>51942818554</v>
      </c>
      <c r="D529" s="5" t="s">
        <v>13</v>
      </c>
      <c r="E529" s="5">
        <v>8.0566583E7</v>
      </c>
      <c r="F529" s="5" t="s">
        <v>39</v>
      </c>
      <c r="G529" s="5" t="s">
        <v>15</v>
      </c>
      <c r="H529" s="5" t="s">
        <v>51</v>
      </c>
      <c r="I529" s="6" t="s">
        <v>17</v>
      </c>
      <c r="J529" s="7" t="s">
        <v>18</v>
      </c>
      <c r="K529" s="7" t="s">
        <v>19</v>
      </c>
      <c r="L529" s="8">
        <v>1.770600524489E12</v>
      </c>
      <c r="M529" s="9"/>
      <c r="N529" s="10"/>
      <c r="O529" s="10"/>
      <c r="P529" s="10"/>
      <c r="Q529" s="10"/>
      <c r="R529" s="10"/>
      <c r="S529" s="10"/>
      <c r="T529" s="10"/>
      <c r="U529" s="10"/>
      <c r="V529" s="10"/>
    </row>
    <row r="530" ht="22.5" customHeight="1">
      <c r="A530" s="5">
        <v>2.00435474316E11</v>
      </c>
      <c r="B530" s="5" t="s">
        <v>617</v>
      </c>
      <c r="C530" s="5">
        <v>5564981428653</v>
      </c>
      <c r="D530" s="5" t="s">
        <v>13</v>
      </c>
      <c r="E530" s="5">
        <v>7.9360573E7</v>
      </c>
      <c r="F530" s="5" t="s">
        <v>93</v>
      </c>
      <c r="G530" s="5" t="s">
        <v>15</v>
      </c>
      <c r="H530" s="5" t="s">
        <v>618</v>
      </c>
      <c r="I530" s="6" t="s">
        <v>17</v>
      </c>
      <c r="J530" s="7" t="s">
        <v>34</v>
      </c>
      <c r="K530" s="7"/>
      <c r="L530" s="8">
        <v>1.770602608451E12</v>
      </c>
      <c r="M530" s="9"/>
      <c r="N530" s="10"/>
      <c r="O530" s="10"/>
      <c r="P530" s="10"/>
      <c r="Q530" s="10"/>
      <c r="R530" s="10"/>
      <c r="S530" s="10"/>
      <c r="T530" s="10"/>
      <c r="U530" s="10"/>
      <c r="V530" s="10"/>
    </row>
    <row r="531" ht="22.5" customHeight="1">
      <c r="A531" s="5">
        <v>2.00413264247E11</v>
      </c>
      <c r="B531" s="5" t="s">
        <v>619</v>
      </c>
      <c r="C531" s="5">
        <v>526241578696</v>
      </c>
      <c r="D531" s="5" t="s">
        <v>13</v>
      </c>
      <c r="E531" s="5">
        <v>8.0566583E7</v>
      </c>
      <c r="F531" s="5" t="s">
        <v>31</v>
      </c>
      <c r="G531" s="5" t="s">
        <v>15</v>
      </c>
      <c r="H531" s="5" t="s">
        <v>29</v>
      </c>
      <c r="I531" s="6" t="s">
        <v>17</v>
      </c>
      <c r="J531" s="7" t="s">
        <v>34</v>
      </c>
      <c r="K531" s="7"/>
      <c r="L531" s="8">
        <v>1.770603826223E12</v>
      </c>
      <c r="M531" s="9"/>
      <c r="N531" s="10"/>
      <c r="O531" s="10"/>
      <c r="P531" s="10"/>
      <c r="Q531" s="10"/>
      <c r="R531" s="10"/>
      <c r="S531" s="10"/>
      <c r="T531" s="10"/>
      <c r="U531" s="10"/>
      <c r="V531" s="10"/>
    </row>
    <row r="532" ht="22.5" customHeight="1">
      <c r="A532" s="5">
        <v>2.0043608435E11</v>
      </c>
      <c r="B532" s="5" t="s">
        <v>620</v>
      </c>
      <c r="C532" s="5">
        <v>51949377031</v>
      </c>
      <c r="D532" s="5" t="s">
        <v>13</v>
      </c>
      <c r="E532" s="5">
        <v>8.0566583E7</v>
      </c>
      <c r="F532" s="5" t="s">
        <v>93</v>
      </c>
      <c r="G532" s="5" t="s">
        <v>15</v>
      </c>
      <c r="H532" s="5" t="s">
        <v>51</v>
      </c>
      <c r="I532" s="6" t="s">
        <v>17</v>
      </c>
      <c r="J532" s="7" t="s">
        <v>25</v>
      </c>
      <c r="K532" s="7" t="s">
        <v>501</v>
      </c>
      <c r="L532" s="8">
        <v>1.77060418313E12</v>
      </c>
      <c r="M532" s="9"/>
      <c r="N532" s="10"/>
      <c r="O532" s="10"/>
      <c r="P532" s="10"/>
      <c r="Q532" s="10"/>
      <c r="R532" s="10"/>
      <c r="S532" s="10"/>
      <c r="T532" s="10"/>
      <c r="U532" s="10"/>
      <c r="V532" s="10"/>
    </row>
    <row r="533" ht="22.5" customHeight="1">
      <c r="A533" s="5">
        <v>2.0044749089E11</v>
      </c>
      <c r="B533" s="5" t="s">
        <v>621</v>
      </c>
      <c r="C533" s="5">
        <v>524436166996</v>
      </c>
      <c r="D533" s="5" t="s">
        <v>13</v>
      </c>
      <c r="E533" s="5">
        <v>8.7547393E7</v>
      </c>
      <c r="F533" s="5" t="s">
        <v>39</v>
      </c>
      <c r="G533" s="5" t="s">
        <v>15</v>
      </c>
      <c r="H533" s="5" t="s">
        <v>16</v>
      </c>
      <c r="I533" s="6" t="s">
        <v>17</v>
      </c>
      <c r="J533" s="7" t="s">
        <v>34</v>
      </c>
      <c r="K533" s="7"/>
      <c r="L533" s="8">
        <v>1.770604555557E12</v>
      </c>
      <c r="M533" s="9"/>
      <c r="N533" s="10"/>
      <c r="O533" s="10"/>
      <c r="P533" s="10"/>
      <c r="Q533" s="10"/>
      <c r="R533" s="10"/>
      <c r="S533" s="10"/>
      <c r="T533" s="10"/>
      <c r="U533" s="10"/>
      <c r="V533" s="10"/>
    </row>
    <row r="534" ht="22.5" customHeight="1">
      <c r="A534" s="5">
        <v>2.00449973291E11</v>
      </c>
      <c r="B534" s="5" t="s">
        <v>622</v>
      </c>
      <c r="C534" s="5">
        <v>51946793424</v>
      </c>
      <c r="D534" s="5" t="s">
        <v>13</v>
      </c>
      <c r="E534" s="5">
        <v>8.0566583E7</v>
      </c>
      <c r="F534" s="5" t="s">
        <v>28</v>
      </c>
      <c r="G534" s="5" t="s">
        <v>15</v>
      </c>
      <c r="H534" s="5" t="s">
        <v>24</v>
      </c>
      <c r="I534" s="6"/>
      <c r="J534" s="7" t="s">
        <v>18</v>
      </c>
      <c r="K534" s="7" t="s">
        <v>19</v>
      </c>
      <c r="L534" s="8">
        <v>1.770604899884E12</v>
      </c>
      <c r="M534" s="9"/>
      <c r="N534" s="10"/>
      <c r="O534" s="10"/>
      <c r="P534" s="10"/>
      <c r="Q534" s="10"/>
      <c r="R534" s="10"/>
      <c r="S534" s="10"/>
      <c r="T534" s="10"/>
      <c r="U534" s="10"/>
      <c r="V534" s="10"/>
    </row>
    <row r="535" ht="22.5" customHeight="1">
      <c r="A535" s="5">
        <v>2.00461715249E11</v>
      </c>
      <c r="B535" s="5" t="s">
        <v>623</v>
      </c>
      <c r="C535" s="5">
        <v>51933755826</v>
      </c>
      <c r="D535" s="5" t="s">
        <v>13</v>
      </c>
      <c r="E535" s="5">
        <v>8.7547393E7</v>
      </c>
      <c r="F535" s="5" t="s">
        <v>14</v>
      </c>
      <c r="G535" s="5" t="s">
        <v>15</v>
      </c>
      <c r="H535" s="5" t="s">
        <v>51</v>
      </c>
      <c r="I535" s="6" t="s">
        <v>36</v>
      </c>
      <c r="J535" s="7" t="s">
        <v>18</v>
      </c>
      <c r="K535" s="7" t="s">
        <v>19</v>
      </c>
      <c r="L535" s="8">
        <v>1.770607704943E12</v>
      </c>
      <c r="M535" s="9"/>
      <c r="N535" s="10"/>
      <c r="O535" s="10"/>
      <c r="P535" s="10"/>
      <c r="Q535" s="10"/>
      <c r="R535" s="10"/>
      <c r="S535" s="10"/>
      <c r="T535" s="10"/>
      <c r="U535" s="10"/>
      <c r="V535" s="10"/>
    </row>
    <row r="536" ht="22.5" customHeight="1">
      <c r="A536" s="5">
        <v>1.99979908254E11</v>
      </c>
      <c r="B536" s="5" t="s">
        <v>624</v>
      </c>
      <c r="C536" s="5">
        <v>51952820007</v>
      </c>
      <c r="D536" s="5" t="s">
        <v>103</v>
      </c>
      <c r="E536" s="5">
        <v>8.7547393E7</v>
      </c>
      <c r="F536" s="5" t="s">
        <v>23</v>
      </c>
      <c r="G536" s="5" t="s">
        <v>79</v>
      </c>
      <c r="H536" s="5" t="s">
        <v>114</v>
      </c>
      <c r="I536" s="6" t="s">
        <v>148</v>
      </c>
      <c r="J536" s="7" t="s">
        <v>58</v>
      </c>
      <c r="K536" s="11" t="s">
        <v>59</v>
      </c>
      <c r="L536" s="8">
        <v>1.770607774482E12</v>
      </c>
      <c r="M536" s="9"/>
      <c r="N536" s="10"/>
      <c r="O536" s="10"/>
      <c r="P536" s="10"/>
      <c r="Q536" s="10"/>
      <c r="R536" s="10"/>
      <c r="S536" s="10"/>
      <c r="T536" s="10"/>
      <c r="U536" s="10"/>
      <c r="V536" s="10"/>
    </row>
    <row r="537" ht="22.5" customHeight="1">
      <c r="A537" s="5">
        <v>2.00453537956E11</v>
      </c>
      <c r="B537" s="5" t="s">
        <v>625</v>
      </c>
      <c r="C537" s="5">
        <v>51936329102</v>
      </c>
      <c r="D537" s="5" t="s">
        <v>22</v>
      </c>
      <c r="E537" s="5">
        <v>8.0566583E7</v>
      </c>
      <c r="F537" s="5" t="s">
        <v>31</v>
      </c>
      <c r="G537" s="5" t="s">
        <v>79</v>
      </c>
      <c r="H537" s="5" t="s">
        <v>16</v>
      </c>
      <c r="I537" s="6" t="s">
        <v>17</v>
      </c>
      <c r="J537" s="7" t="s">
        <v>18</v>
      </c>
      <c r="K537" s="7" t="s">
        <v>19</v>
      </c>
      <c r="L537" s="8">
        <v>1.770608361315E12</v>
      </c>
      <c r="M537" s="9"/>
      <c r="N537" s="10"/>
      <c r="O537" s="10"/>
      <c r="P537" s="10"/>
      <c r="Q537" s="10"/>
      <c r="R537" s="10"/>
      <c r="S537" s="10"/>
      <c r="T537" s="10"/>
      <c r="U537" s="10"/>
      <c r="V537" s="10"/>
    </row>
    <row r="538" ht="22.5" customHeight="1">
      <c r="A538" s="5">
        <v>2.00453262869E11</v>
      </c>
      <c r="B538" s="5" t="s">
        <v>626</v>
      </c>
      <c r="C538" s="5">
        <v>51957349915</v>
      </c>
      <c r="D538" s="5" t="s">
        <v>13</v>
      </c>
      <c r="E538" s="5">
        <v>8.7547393E7</v>
      </c>
      <c r="F538" s="5" t="s">
        <v>23</v>
      </c>
      <c r="G538" s="5" t="s">
        <v>32</v>
      </c>
      <c r="H538" s="5" t="s">
        <v>16</v>
      </c>
      <c r="I538" s="6" t="s">
        <v>17</v>
      </c>
      <c r="J538" s="7" t="s">
        <v>18</v>
      </c>
      <c r="K538" s="7" t="s">
        <v>19</v>
      </c>
      <c r="L538" s="8">
        <v>1.770609261564E12</v>
      </c>
      <c r="M538" s="9"/>
      <c r="N538" s="10"/>
      <c r="O538" s="10"/>
      <c r="P538" s="10"/>
      <c r="Q538" s="10"/>
      <c r="R538" s="10"/>
      <c r="S538" s="10"/>
      <c r="T538" s="10"/>
      <c r="U538" s="10"/>
      <c r="V538" s="10"/>
    </row>
    <row r="539" ht="22.5" customHeight="1">
      <c r="A539" s="5">
        <v>2.00461406751E11</v>
      </c>
      <c r="B539" s="5" t="s">
        <v>627</v>
      </c>
      <c r="C539" s="5">
        <v>529991751050</v>
      </c>
      <c r="D539" s="5" t="s">
        <v>22</v>
      </c>
      <c r="E539" s="5">
        <v>8.0566583E7</v>
      </c>
      <c r="F539" s="5" t="s">
        <v>14</v>
      </c>
      <c r="G539" s="5" t="s">
        <v>79</v>
      </c>
      <c r="H539" s="5" t="s">
        <v>24</v>
      </c>
      <c r="I539" s="6" t="s">
        <v>36</v>
      </c>
      <c r="J539" s="7" t="s">
        <v>18</v>
      </c>
      <c r="K539" s="7" t="s">
        <v>61</v>
      </c>
      <c r="L539" s="8">
        <v>1.770609854753E12</v>
      </c>
      <c r="M539" s="9"/>
      <c r="N539" s="10"/>
      <c r="O539" s="10"/>
      <c r="P539" s="10"/>
      <c r="Q539" s="10"/>
      <c r="R539" s="10"/>
      <c r="S539" s="10"/>
      <c r="T539" s="10"/>
      <c r="U539" s="10"/>
      <c r="V539" s="10"/>
    </row>
    <row r="540" ht="22.5" customHeight="1">
      <c r="A540" s="5">
        <v>2.00455522561E11</v>
      </c>
      <c r="B540" s="5" t="s">
        <v>628</v>
      </c>
      <c r="C540" s="5">
        <v>51925436268</v>
      </c>
      <c r="D540" s="5" t="s">
        <v>13</v>
      </c>
      <c r="E540" s="5">
        <v>8.7547393E7</v>
      </c>
      <c r="F540" s="5" t="s">
        <v>14</v>
      </c>
      <c r="G540" s="5" t="s">
        <v>15</v>
      </c>
      <c r="H540" s="5" t="s">
        <v>16</v>
      </c>
      <c r="I540" s="6" t="s">
        <v>17</v>
      </c>
      <c r="J540" s="7" t="s">
        <v>18</v>
      </c>
      <c r="K540" s="7" t="s">
        <v>19</v>
      </c>
      <c r="L540" s="8">
        <v>1.770610605878E12</v>
      </c>
      <c r="M540" s="9"/>
      <c r="N540" s="10"/>
      <c r="O540" s="10"/>
      <c r="P540" s="10"/>
      <c r="Q540" s="10"/>
      <c r="R540" s="10"/>
      <c r="S540" s="10"/>
      <c r="T540" s="10"/>
      <c r="U540" s="10"/>
      <c r="V540" s="10"/>
    </row>
    <row r="541" ht="22.5" customHeight="1">
      <c r="A541" s="5">
        <v>2.00465608376E11</v>
      </c>
      <c r="B541" s="5" t="s">
        <v>629</v>
      </c>
      <c r="C541" s="5">
        <v>51968168382</v>
      </c>
      <c r="D541" s="5" t="s">
        <v>13</v>
      </c>
      <c r="E541" s="5">
        <v>8.7547393E7</v>
      </c>
      <c r="F541" s="5" t="s">
        <v>28</v>
      </c>
      <c r="G541" s="5" t="s">
        <v>15</v>
      </c>
      <c r="H541" s="5" t="s">
        <v>51</v>
      </c>
      <c r="I541" s="6" t="s">
        <v>17</v>
      </c>
      <c r="J541" s="7" t="s">
        <v>18</v>
      </c>
      <c r="K541" s="7" t="s">
        <v>19</v>
      </c>
      <c r="L541" s="8">
        <v>1.770610934261E12</v>
      </c>
      <c r="M541" s="9"/>
      <c r="N541" s="10"/>
      <c r="O541" s="10"/>
      <c r="P541" s="10"/>
      <c r="Q541" s="10"/>
      <c r="R541" s="10"/>
      <c r="S541" s="10"/>
      <c r="T541" s="10"/>
      <c r="U541" s="10"/>
      <c r="V541" s="10"/>
    </row>
    <row r="542" ht="22.5" customHeight="1">
      <c r="A542" s="5">
        <v>2.00454721024E11</v>
      </c>
      <c r="B542" s="5" t="s">
        <v>630</v>
      </c>
      <c r="C542" s="5">
        <v>51980474501</v>
      </c>
      <c r="D542" s="5" t="s">
        <v>13</v>
      </c>
      <c r="E542" s="5">
        <v>8.0566583E7</v>
      </c>
      <c r="F542" s="5" t="s">
        <v>14</v>
      </c>
      <c r="G542" s="5" t="s">
        <v>15</v>
      </c>
      <c r="H542" s="5" t="s">
        <v>51</v>
      </c>
      <c r="I542" s="6" t="s">
        <v>17</v>
      </c>
      <c r="J542" s="7" t="s">
        <v>18</v>
      </c>
      <c r="K542" s="7" t="s">
        <v>19</v>
      </c>
      <c r="L542" s="8">
        <v>1.770611369816E12</v>
      </c>
      <c r="M542" s="9"/>
      <c r="N542" s="10"/>
      <c r="O542" s="10"/>
      <c r="P542" s="10"/>
      <c r="Q542" s="10"/>
      <c r="R542" s="10"/>
      <c r="S542" s="10"/>
      <c r="T542" s="10"/>
      <c r="U542" s="10"/>
      <c r="V542" s="10"/>
    </row>
    <row r="543" ht="22.5" customHeight="1">
      <c r="A543" s="5">
        <v>2.0045583345E11</v>
      </c>
      <c r="B543" s="5" t="s">
        <v>631</v>
      </c>
      <c r="C543" s="5">
        <v>51994132984</v>
      </c>
      <c r="D543" s="5" t="s">
        <v>22</v>
      </c>
      <c r="E543" s="5">
        <v>8.0566583E7</v>
      </c>
      <c r="F543" s="5" t="s">
        <v>28</v>
      </c>
      <c r="G543" s="5" t="s">
        <v>44</v>
      </c>
      <c r="H543" s="5" t="s">
        <v>24</v>
      </c>
      <c r="I543" s="6" t="s">
        <v>17</v>
      </c>
      <c r="J543" s="7" t="s">
        <v>18</v>
      </c>
      <c r="K543" s="7" t="s">
        <v>19</v>
      </c>
      <c r="L543" s="8">
        <v>1.770612101475E12</v>
      </c>
      <c r="M543" s="9"/>
      <c r="N543" s="10"/>
      <c r="O543" s="10"/>
      <c r="P543" s="10"/>
      <c r="Q543" s="10"/>
      <c r="R543" s="10"/>
      <c r="S543" s="10"/>
      <c r="T543" s="10"/>
      <c r="U543" s="10"/>
      <c r="V543" s="10"/>
    </row>
    <row r="544" ht="22.5" customHeight="1">
      <c r="A544" s="5">
        <v>2.00458211133E11</v>
      </c>
      <c r="B544" s="5" t="s">
        <v>632</v>
      </c>
      <c r="C544" s="5">
        <v>51905607076</v>
      </c>
      <c r="D544" s="5" t="s">
        <v>13</v>
      </c>
      <c r="E544" s="5">
        <v>8.7547393E7</v>
      </c>
      <c r="F544" s="5" t="s">
        <v>93</v>
      </c>
      <c r="G544" s="5" t="s">
        <v>15</v>
      </c>
      <c r="H544" s="5" t="s">
        <v>112</v>
      </c>
      <c r="I544" s="6" t="s">
        <v>89</v>
      </c>
      <c r="J544" s="7" t="s">
        <v>18</v>
      </c>
      <c r="K544" s="7" t="s">
        <v>19</v>
      </c>
      <c r="L544" s="8">
        <v>1.770612451416E12</v>
      </c>
      <c r="M544" s="9"/>
      <c r="N544" s="10"/>
      <c r="O544" s="10"/>
      <c r="P544" s="10"/>
      <c r="Q544" s="10"/>
      <c r="R544" s="10"/>
      <c r="S544" s="10"/>
      <c r="T544" s="10"/>
      <c r="U544" s="10"/>
      <c r="V544" s="10"/>
    </row>
    <row r="545" ht="22.5" customHeight="1">
      <c r="A545" s="5">
        <v>1.75291148852E11</v>
      </c>
      <c r="B545" s="5" t="s">
        <v>633</v>
      </c>
      <c r="C545" s="5">
        <v>51989975455</v>
      </c>
      <c r="D545" s="5" t="s">
        <v>103</v>
      </c>
      <c r="E545" s="5">
        <v>8.0566583E7</v>
      </c>
      <c r="F545" s="5" t="s">
        <v>39</v>
      </c>
      <c r="G545" s="5" t="s">
        <v>79</v>
      </c>
      <c r="H545" s="5" t="s">
        <v>24</v>
      </c>
      <c r="I545" s="6"/>
      <c r="J545" s="7" t="s">
        <v>34</v>
      </c>
      <c r="K545" s="7"/>
      <c r="L545" s="8">
        <v>1.770614736147E12</v>
      </c>
      <c r="M545" s="9"/>
      <c r="N545" s="10"/>
      <c r="O545" s="10"/>
      <c r="P545" s="10"/>
      <c r="Q545" s="10"/>
      <c r="R545" s="10"/>
      <c r="S545" s="10"/>
      <c r="T545" s="10"/>
      <c r="U545" s="10"/>
      <c r="V545" s="10"/>
    </row>
    <row r="546" ht="22.5" customHeight="1">
      <c r="A546" s="5">
        <v>2.00469266445E11</v>
      </c>
      <c r="B546" s="5" t="s">
        <v>634</v>
      </c>
      <c r="C546" s="5">
        <v>51960293060</v>
      </c>
      <c r="D546" s="5" t="s">
        <v>22</v>
      </c>
      <c r="E546" s="5">
        <v>8.0566583E7</v>
      </c>
      <c r="F546" s="5" t="s">
        <v>28</v>
      </c>
      <c r="G546" s="5" t="s">
        <v>44</v>
      </c>
      <c r="H546" s="5" t="s">
        <v>55</v>
      </c>
      <c r="I546" s="6" t="s">
        <v>17</v>
      </c>
      <c r="J546" s="7" t="s">
        <v>18</v>
      </c>
      <c r="K546" s="7" t="s">
        <v>19</v>
      </c>
      <c r="L546" s="8">
        <v>1.770615339987E12</v>
      </c>
      <c r="M546" s="9"/>
      <c r="N546" s="10"/>
      <c r="O546" s="10"/>
      <c r="P546" s="10"/>
      <c r="Q546" s="10"/>
      <c r="R546" s="10"/>
      <c r="S546" s="10"/>
      <c r="T546" s="10"/>
      <c r="U546" s="10"/>
      <c r="V546" s="10"/>
    </row>
    <row r="547" ht="22.5" customHeight="1">
      <c r="A547" s="5">
        <v>2.00471052808E11</v>
      </c>
      <c r="B547" s="5" t="s">
        <v>635</v>
      </c>
      <c r="C547" s="5">
        <v>51926879946</v>
      </c>
      <c r="D547" s="5" t="s">
        <v>13</v>
      </c>
      <c r="E547" s="5">
        <v>8.0566583E7</v>
      </c>
      <c r="F547" s="5" t="s">
        <v>39</v>
      </c>
      <c r="G547" s="5" t="s">
        <v>15</v>
      </c>
      <c r="H547" s="5" t="s">
        <v>16</v>
      </c>
      <c r="I547" s="6" t="s">
        <v>17</v>
      </c>
      <c r="J547" s="7" t="s">
        <v>18</v>
      </c>
      <c r="K547" s="7" t="s">
        <v>19</v>
      </c>
      <c r="L547" s="8">
        <v>1.770615620193E12</v>
      </c>
      <c r="M547" s="9"/>
      <c r="N547" s="10"/>
      <c r="O547" s="10"/>
      <c r="P547" s="10"/>
      <c r="Q547" s="10"/>
      <c r="R547" s="10"/>
      <c r="S547" s="10"/>
      <c r="T547" s="10"/>
      <c r="U547" s="10"/>
      <c r="V547" s="10"/>
    </row>
    <row r="548" ht="22.5" customHeight="1">
      <c r="A548" s="5">
        <v>1.53650065164E11</v>
      </c>
      <c r="B548" s="5" t="s">
        <v>636</v>
      </c>
      <c r="C548" s="5">
        <v>51941853279</v>
      </c>
      <c r="D548" s="5" t="s">
        <v>13</v>
      </c>
      <c r="E548" s="5"/>
      <c r="F548" s="5" t="s">
        <v>31</v>
      </c>
      <c r="G548" s="5" t="s">
        <v>15</v>
      </c>
      <c r="H548" s="5" t="s">
        <v>637</v>
      </c>
      <c r="I548" s="6" t="s">
        <v>17</v>
      </c>
      <c r="J548" s="7" t="s">
        <v>18</v>
      </c>
      <c r="K548" s="7" t="s">
        <v>116</v>
      </c>
      <c r="L548" s="8">
        <v>1.770615953673E12</v>
      </c>
      <c r="M548" s="9"/>
      <c r="N548" s="10"/>
      <c r="O548" s="10"/>
      <c r="P548" s="10"/>
      <c r="Q548" s="10"/>
      <c r="R548" s="10"/>
      <c r="S548" s="10"/>
      <c r="T548" s="10"/>
      <c r="U548" s="10"/>
      <c r="V548" s="10"/>
    </row>
    <row r="549" ht="22.5" customHeight="1">
      <c r="A549" s="5">
        <v>2.00476395857E11</v>
      </c>
      <c r="B549" s="5" t="s">
        <v>638</v>
      </c>
      <c r="C549" s="5">
        <v>19095253842</v>
      </c>
      <c r="D549" s="5" t="s">
        <v>22</v>
      </c>
      <c r="E549" s="5">
        <v>8.7547393E7</v>
      </c>
      <c r="F549" s="5" t="s">
        <v>42</v>
      </c>
      <c r="G549" s="5" t="s">
        <v>32</v>
      </c>
      <c r="H549" s="5" t="s">
        <v>16</v>
      </c>
      <c r="I549" s="6" t="s">
        <v>17</v>
      </c>
      <c r="J549" s="7" t="s">
        <v>18</v>
      </c>
      <c r="K549" s="7" t="s">
        <v>61</v>
      </c>
      <c r="L549" s="8">
        <v>1.770618358547E12</v>
      </c>
      <c r="M549" s="9"/>
      <c r="N549" s="10"/>
      <c r="O549" s="10"/>
      <c r="P549" s="10"/>
      <c r="Q549" s="10"/>
      <c r="R549" s="10"/>
      <c r="S549" s="10"/>
      <c r="T549" s="10"/>
      <c r="U549" s="10"/>
      <c r="V549" s="10"/>
    </row>
    <row r="550" ht="22.5" customHeight="1">
      <c r="A550" s="5">
        <v>2.00470960395E11</v>
      </c>
      <c r="B550" s="5" t="s">
        <v>639</v>
      </c>
      <c r="C550" s="5">
        <v>523314510135</v>
      </c>
      <c r="D550" s="5" t="s">
        <v>13</v>
      </c>
      <c r="E550" s="5">
        <v>8.7547393E7</v>
      </c>
      <c r="F550" s="5" t="s">
        <v>31</v>
      </c>
      <c r="G550" s="5" t="s">
        <v>32</v>
      </c>
      <c r="H550" s="5" t="s">
        <v>16</v>
      </c>
      <c r="I550" s="6" t="s">
        <v>17</v>
      </c>
      <c r="J550" s="7" t="s">
        <v>18</v>
      </c>
      <c r="K550" s="7" t="s">
        <v>61</v>
      </c>
      <c r="L550" s="8">
        <v>1.770618594788E12</v>
      </c>
      <c r="M550" s="9"/>
      <c r="N550" s="10"/>
      <c r="O550" s="10"/>
      <c r="P550" s="10"/>
      <c r="Q550" s="10"/>
      <c r="R550" s="10"/>
      <c r="S550" s="10"/>
      <c r="T550" s="10"/>
      <c r="U550" s="10"/>
      <c r="V550" s="10"/>
    </row>
    <row r="551" ht="22.5" customHeight="1">
      <c r="A551" s="5">
        <v>2.00469958692E11</v>
      </c>
      <c r="B551" s="5" t="s">
        <v>640</v>
      </c>
      <c r="C551" s="5">
        <v>529617142476</v>
      </c>
      <c r="D551" s="5" t="s">
        <v>13</v>
      </c>
      <c r="E551" s="5">
        <v>8.0566583E7</v>
      </c>
      <c r="F551" s="5" t="s">
        <v>23</v>
      </c>
      <c r="G551" s="5" t="s">
        <v>15</v>
      </c>
      <c r="H551" s="5" t="s">
        <v>16</v>
      </c>
      <c r="I551" s="6" t="s">
        <v>17</v>
      </c>
      <c r="J551" s="7" t="s">
        <v>18</v>
      </c>
      <c r="K551" s="7" t="s">
        <v>61</v>
      </c>
      <c r="L551" s="8">
        <v>1.770618938433E12</v>
      </c>
      <c r="M551" s="9"/>
      <c r="N551" s="10"/>
      <c r="O551" s="10"/>
      <c r="P551" s="10"/>
      <c r="Q551" s="10"/>
      <c r="R551" s="10"/>
      <c r="S551" s="10"/>
      <c r="T551" s="10"/>
      <c r="U551" s="10"/>
      <c r="V551" s="10"/>
    </row>
    <row r="552" ht="22.5" customHeight="1">
      <c r="A552" s="5">
        <v>2.00472466266E11</v>
      </c>
      <c r="B552" s="5" t="s">
        <v>641</v>
      </c>
      <c r="C552" s="5">
        <v>525578835089</v>
      </c>
      <c r="D552" s="5" t="s">
        <v>13</v>
      </c>
      <c r="E552" s="5">
        <v>8.7547393E7</v>
      </c>
      <c r="F552" s="5" t="s">
        <v>39</v>
      </c>
      <c r="G552" s="5" t="s">
        <v>15</v>
      </c>
      <c r="H552" s="5" t="s">
        <v>114</v>
      </c>
      <c r="I552" s="6" t="s">
        <v>49</v>
      </c>
      <c r="J552" s="7" t="s">
        <v>18</v>
      </c>
      <c r="K552" s="7" t="s">
        <v>61</v>
      </c>
      <c r="L552" s="8">
        <v>1.770620117987E12</v>
      </c>
      <c r="M552" s="9"/>
      <c r="N552" s="10"/>
      <c r="O552" s="10"/>
      <c r="P552" s="10"/>
      <c r="Q552" s="10"/>
      <c r="R552" s="10"/>
      <c r="S552" s="10"/>
      <c r="T552" s="10"/>
      <c r="U552" s="10"/>
      <c r="V552" s="10"/>
    </row>
    <row r="553" ht="22.5" customHeight="1">
      <c r="A553" s="5">
        <v>2.00488097926E11</v>
      </c>
      <c r="B553" s="5" t="s">
        <v>642</v>
      </c>
      <c r="C553" s="5">
        <v>5549984216316</v>
      </c>
      <c r="D553" s="5" t="s">
        <v>22</v>
      </c>
      <c r="E553" s="5">
        <v>8.7547393E7</v>
      </c>
      <c r="F553" s="5" t="s">
        <v>28</v>
      </c>
      <c r="G553" s="5">
        <v>50</v>
      </c>
      <c r="H553" s="5" t="s">
        <v>643</v>
      </c>
      <c r="I553" s="6" t="s">
        <v>63</v>
      </c>
      <c r="J553" s="7" t="s">
        <v>34</v>
      </c>
      <c r="K553" s="7"/>
      <c r="L553" s="8">
        <v>1.770621697673E12</v>
      </c>
      <c r="M553" s="9"/>
      <c r="N553" s="10"/>
      <c r="O553" s="10"/>
      <c r="P553" s="10"/>
      <c r="Q553" s="10"/>
      <c r="R553" s="10"/>
      <c r="S553" s="10"/>
      <c r="T553" s="10"/>
      <c r="U553" s="10"/>
      <c r="V553" s="10"/>
    </row>
    <row r="554" ht="22.5" customHeight="1">
      <c r="A554" s="5">
        <v>2.00541444132E11</v>
      </c>
      <c r="B554" s="5" t="s">
        <v>644</v>
      </c>
      <c r="C554" s="5">
        <v>584142528976</v>
      </c>
      <c r="D554" s="5" t="s">
        <v>22</v>
      </c>
      <c r="E554" s="5">
        <v>8.0566583E7</v>
      </c>
      <c r="F554" s="5" t="s">
        <v>39</v>
      </c>
      <c r="G554" s="5" t="s">
        <v>44</v>
      </c>
      <c r="H554" s="5" t="s">
        <v>645</v>
      </c>
      <c r="I554" s="6" t="s">
        <v>36</v>
      </c>
      <c r="J554" s="7" t="s">
        <v>34</v>
      </c>
      <c r="K554" s="7"/>
      <c r="L554" s="8">
        <v>1.77063632514E12</v>
      </c>
      <c r="M554" s="9"/>
      <c r="N554" s="10"/>
      <c r="O554" s="10"/>
      <c r="P554" s="10"/>
      <c r="Q554" s="10"/>
      <c r="R554" s="10"/>
      <c r="S554" s="10"/>
      <c r="T554" s="10"/>
      <c r="U554" s="10"/>
      <c r="V554" s="10"/>
    </row>
    <row r="555" ht="22.5" customHeight="1">
      <c r="A555" s="5">
        <v>2.00557566876E11</v>
      </c>
      <c r="B555" s="5" t="s">
        <v>646</v>
      </c>
      <c r="C555" s="5">
        <v>51987412310</v>
      </c>
      <c r="D555" s="5" t="s">
        <v>22</v>
      </c>
      <c r="E555" s="5">
        <v>8.7547393E7</v>
      </c>
      <c r="F555" s="5" t="s">
        <v>23</v>
      </c>
      <c r="G555" s="5" t="s">
        <v>44</v>
      </c>
      <c r="H555" s="5" t="s">
        <v>66</v>
      </c>
      <c r="I555" s="6" t="s">
        <v>17</v>
      </c>
      <c r="J555" s="7" t="s">
        <v>34</v>
      </c>
      <c r="K555" s="7"/>
      <c r="L555" s="8">
        <v>1.770636695613E12</v>
      </c>
      <c r="M555" s="9"/>
      <c r="N555" s="10"/>
      <c r="O555" s="10"/>
      <c r="P555" s="10"/>
      <c r="Q555" s="10"/>
      <c r="R555" s="10"/>
      <c r="S555" s="10"/>
      <c r="T555" s="10"/>
      <c r="U555" s="10"/>
      <c r="V555" s="10"/>
    </row>
    <row r="556" ht="22.5" customHeight="1">
      <c r="A556" s="5">
        <v>2.00561590905E11</v>
      </c>
      <c r="B556" s="5" t="s">
        <v>647</v>
      </c>
      <c r="C556" s="5">
        <v>51935851172</v>
      </c>
      <c r="D556" s="5" t="s">
        <v>13</v>
      </c>
      <c r="E556" s="5">
        <v>8.0566583E7</v>
      </c>
      <c r="F556" s="5" t="s">
        <v>31</v>
      </c>
      <c r="G556" s="5" t="s">
        <v>15</v>
      </c>
      <c r="H556" s="5" t="s">
        <v>16</v>
      </c>
      <c r="I556" s="6" t="s">
        <v>17</v>
      </c>
      <c r="J556" s="7" t="s">
        <v>18</v>
      </c>
      <c r="K556" s="7" t="s">
        <v>19</v>
      </c>
      <c r="L556" s="8">
        <v>1.770637543143E12</v>
      </c>
      <c r="M556" s="9"/>
      <c r="N556" s="10"/>
      <c r="O556" s="10"/>
      <c r="P556" s="10"/>
      <c r="Q556" s="10"/>
      <c r="R556" s="10"/>
      <c r="S556" s="10"/>
      <c r="T556" s="10"/>
      <c r="U556" s="10"/>
      <c r="V556" s="10"/>
    </row>
    <row r="557" ht="22.5" customHeight="1">
      <c r="A557" s="5">
        <v>2.00570445444E11</v>
      </c>
      <c r="B557" s="5" t="s">
        <v>648</v>
      </c>
      <c r="C557" s="5">
        <v>51962534775</v>
      </c>
      <c r="D557" s="5" t="s">
        <v>13</v>
      </c>
      <c r="E557" s="5">
        <v>8.0566583E7</v>
      </c>
      <c r="F557" s="5" t="s">
        <v>31</v>
      </c>
      <c r="G557" s="5" t="s">
        <v>15</v>
      </c>
      <c r="H557" s="5" t="s">
        <v>100</v>
      </c>
      <c r="I557" s="6" t="s">
        <v>17</v>
      </c>
      <c r="J557" s="7" t="s">
        <v>18</v>
      </c>
      <c r="K557" s="7" t="s">
        <v>19</v>
      </c>
      <c r="L557" s="8">
        <v>1.7706392154E12</v>
      </c>
      <c r="M557" s="9"/>
      <c r="N557" s="10"/>
      <c r="O557" s="10"/>
      <c r="P557" s="10"/>
      <c r="Q557" s="10"/>
      <c r="R557" s="10"/>
      <c r="S557" s="10"/>
      <c r="T557" s="10"/>
      <c r="U557" s="10"/>
      <c r="V557" s="10"/>
    </row>
    <row r="558" ht="22.5" customHeight="1">
      <c r="A558" s="5">
        <v>2.00570265233E11</v>
      </c>
      <c r="B558" s="5" t="s">
        <v>649</v>
      </c>
      <c r="C558" s="5">
        <v>5571993382767</v>
      </c>
      <c r="D558" s="5" t="s">
        <v>13</v>
      </c>
      <c r="E558" s="5">
        <v>8.7547393E7</v>
      </c>
      <c r="F558" s="5" t="s">
        <v>28</v>
      </c>
      <c r="G558" s="5" t="s">
        <v>32</v>
      </c>
      <c r="H558" s="5" t="s">
        <v>24</v>
      </c>
      <c r="I558" s="6" t="s">
        <v>17</v>
      </c>
      <c r="J558" s="7" t="s">
        <v>18</v>
      </c>
      <c r="K558" s="7" t="s">
        <v>45</v>
      </c>
      <c r="L558" s="8">
        <v>1.770640705466E12</v>
      </c>
      <c r="M558" s="9"/>
      <c r="N558" s="10"/>
      <c r="O558" s="10"/>
      <c r="P558" s="10"/>
      <c r="Q558" s="10"/>
      <c r="R558" s="10"/>
      <c r="S558" s="10"/>
      <c r="T558" s="10"/>
      <c r="U558" s="10"/>
      <c r="V558" s="10"/>
    </row>
    <row r="559" ht="22.5" customHeight="1">
      <c r="A559" s="5">
        <v>2.00571875498E11</v>
      </c>
      <c r="B559" s="5" t="s">
        <v>650</v>
      </c>
      <c r="C559" s="5">
        <v>51933539424</v>
      </c>
      <c r="D559" s="5" t="s">
        <v>13</v>
      </c>
      <c r="E559" s="5">
        <v>8.7547393E7</v>
      </c>
      <c r="F559" s="5" t="s">
        <v>42</v>
      </c>
      <c r="G559" s="5" t="s">
        <v>15</v>
      </c>
      <c r="H559" s="5" t="s">
        <v>66</v>
      </c>
      <c r="I559" s="6" t="s">
        <v>17</v>
      </c>
      <c r="J559" s="7" t="s">
        <v>18</v>
      </c>
      <c r="K559" s="7" t="s">
        <v>19</v>
      </c>
      <c r="L559" s="8">
        <v>1.770641381518E12</v>
      </c>
      <c r="M559" s="9"/>
      <c r="N559" s="10"/>
      <c r="O559" s="10"/>
      <c r="P559" s="10"/>
      <c r="Q559" s="10"/>
      <c r="R559" s="10"/>
      <c r="S559" s="10"/>
      <c r="T559" s="10"/>
      <c r="U559" s="10"/>
      <c r="V559" s="10"/>
    </row>
    <row r="560" ht="22.5" customHeight="1">
      <c r="A560" s="5">
        <v>2.00595018519E11</v>
      </c>
      <c r="B560" s="5" t="s">
        <v>651</v>
      </c>
      <c r="C560" s="5">
        <v>51971659130</v>
      </c>
      <c r="D560" s="5" t="s">
        <v>38</v>
      </c>
      <c r="E560" s="5">
        <v>8.0566583E7</v>
      </c>
      <c r="F560" s="5"/>
      <c r="G560" s="5"/>
      <c r="H560" s="5"/>
      <c r="I560" s="6"/>
      <c r="J560" s="7" t="s">
        <v>18</v>
      </c>
      <c r="K560" s="7" t="s">
        <v>19</v>
      </c>
      <c r="L560" s="8">
        <v>1.770641996289E12</v>
      </c>
      <c r="M560" s="9"/>
      <c r="N560" s="10"/>
      <c r="O560" s="10"/>
      <c r="P560" s="10"/>
      <c r="Q560" s="10"/>
      <c r="R560" s="10"/>
      <c r="S560" s="10"/>
      <c r="T560" s="10"/>
      <c r="U560" s="10"/>
      <c r="V560" s="10"/>
    </row>
    <row r="561" ht="22.5" customHeight="1">
      <c r="A561" s="5">
        <v>2.00596226579E11</v>
      </c>
      <c r="B561" s="5" t="s">
        <v>652</v>
      </c>
      <c r="C561" s="5">
        <v>51931151684</v>
      </c>
      <c r="D561" s="5" t="s">
        <v>13</v>
      </c>
      <c r="E561" s="5">
        <v>8.7547393E7</v>
      </c>
      <c r="F561" s="5" t="s">
        <v>28</v>
      </c>
      <c r="G561" s="5" t="s">
        <v>32</v>
      </c>
      <c r="H561" s="5" t="s">
        <v>16</v>
      </c>
      <c r="I561" s="6" t="s">
        <v>17</v>
      </c>
      <c r="J561" s="7" t="s">
        <v>34</v>
      </c>
      <c r="K561" s="7"/>
      <c r="L561" s="8">
        <v>1.770641999606E12</v>
      </c>
      <c r="M561" s="9"/>
      <c r="N561" s="10"/>
      <c r="O561" s="10"/>
      <c r="P561" s="10"/>
      <c r="Q561" s="10"/>
      <c r="R561" s="10"/>
      <c r="S561" s="10"/>
      <c r="T561" s="10"/>
      <c r="U561" s="10"/>
      <c r="V561" s="10"/>
    </row>
    <row r="562" ht="22.5" customHeight="1">
      <c r="A562" s="5">
        <v>2.00605138226E11</v>
      </c>
      <c r="B562" s="5" t="s">
        <v>653</v>
      </c>
      <c r="C562" s="5">
        <v>5535991628904</v>
      </c>
      <c r="D562" s="5" t="s">
        <v>103</v>
      </c>
      <c r="E562" s="5">
        <v>7.9360573E7</v>
      </c>
      <c r="F562" s="5" t="s">
        <v>23</v>
      </c>
      <c r="G562" s="5" t="s">
        <v>79</v>
      </c>
      <c r="H562" s="5" t="s">
        <v>100</v>
      </c>
      <c r="I562" s="6" t="s">
        <v>36</v>
      </c>
      <c r="J562" s="7" t="s">
        <v>177</v>
      </c>
      <c r="K562" s="7" t="s">
        <v>36</v>
      </c>
      <c r="L562" s="8">
        <v>1.770643932877E12</v>
      </c>
      <c r="M562" s="9"/>
      <c r="N562" s="10"/>
      <c r="O562" s="10"/>
      <c r="P562" s="10"/>
      <c r="Q562" s="10"/>
      <c r="R562" s="10"/>
      <c r="S562" s="10"/>
      <c r="T562" s="10"/>
      <c r="U562" s="10"/>
      <c r="V562" s="10"/>
    </row>
    <row r="563" ht="22.5" customHeight="1">
      <c r="A563" s="5">
        <v>2.00607450682E11</v>
      </c>
      <c r="B563" s="5" t="s">
        <v>654</v>
      </c>
      <c r="C563" s="5">
        <v>51934979973</v>
      </c>
      <c r="D563" s="5" t="s">
        <v>13</v>
      </c>
      <c r="E563" s="5">
        <v>8.7547393E7</v>
      </c>
      <c r="F563" s="5" t="s">
        <v>31</v>
      </c>
      <c r="G563" s="5" t="s">
        <v>15</v>
      </c>
      <c r="H563" s="5" t="s">
        <v>29</v>
      </c>
      <c r="I563" s="6" t="s">
        <v>17</v>
      </c>
      <c r="J563" s="7" t="s">
        <v>18</v>
      </c>
      <c r="K563" s="7" t="s">
        <v>19</v>
      </c>
      <c r="L563" s="8">
        <v>1.770644966223E12</v>
      </c>
      <c r="M563" s="9"/>
      <c r="N563" s="10"/>
      <c r="O563" s="10"/>
      <c r="P563" s="10"/>
      <c r="Q563" s="10"/>
      <c r="R563" s="10"/>
      <c r="S563" s="10"/>
      <c r="T563" s="10"/>
      <c r="U563" s="10"/>
      <c r="V563" s="10"/>
    </row>
    <row r="564" ht="22.5" customHeight="1">
      <c r="A564" s="5">
        <v>2.00589973059E11</v>
      </c>
      <c r="B564" s="5" t="s">
        <v>655</v>
      </c>
      <c r="C564" s="5">
        <v>5585988694067</v>
      </c>
      <c r="D564" s="5" t="s">
        <v>13</v>
      </c>
      <c r="E564" s="5">
        <v>7.9360573E7</v>
      </c>
      <c r="F564" s="5" t="s">
        <v>14</v>
      </c>
      <c r="G564" s="5" t="s">
        <v>15</v>
      </c>
      <c r="H564" s="5" t="s">
        <v>16</v>
      </c>
      <c r="I564" s="6" t="s">
        <v>17</v>
      </c>
      <c r="J564" s="7" t="s">
        <v>34</v>
      </c>
      <c r="K564" s="7"/>
      <c r="L564" s="8">
        <v>1.770647364126E12</v>
      </c>
      <c r="M564" s="9"/>
      <c r="N564" s="10"/>
      <c r="O564" s="10"/>
      <c r="P564" s="10"/>
      <c r="Q564" s="10"/>
      <c r="R564" s="10"/>
      <c r="S564" s="10"/>
      <c r="T564" s="10"/>
      <c r="U564" s="10"/>
      <c r="V564" s="10"/>
    </row>
    <row r="565" ht="22.5" customHeight="1">
      <c r="A565" s="5">
        <v>2.00593231418E11</v>
      </c>
      <c r="B565" s="5" t="s">
        <v>656</v>
      </c>
      <c r="C565" s="5">
        <v>529992352787</v>
      </c>
      <c r="D565" s="5" t="s">
        <v>13</v>
      </c>
      <c r="E565" s="5">
        <v>8.7547393E7</v>
      </c>
      <c r="F565" s="5" t="s">
        <v>42</v>
      </c>
      <c r="G565" s="5" t="s">
        <v>15</v>
      </c>
      <c r="H565" s="5" t="s">
        <v>51</v>
      </c>
      <c r="I565" s="6" t="s">
        <v>17</v>
      </c>
      <c r="J565" s="7" t="s">
        <v>18</v>
      </c>
      <c r="K565" s="7" t="s">
        <v>61</v>
      </c>
      <c r="L565" s="8">
        <v>1.77064793555E12</v>
      </c>
      <c r="M565" s="9"/>
      <c r="N565" s="10"/>
      <c r="O565" s="10"/>
      <c r="P565" s="10"/>
      <c r="Q565" s="10"/>
      <c r="R565" s="10"/>
      <c r="S565" s="10"/>
      <c r="T565" s="10"/>
      <c r="U565" s="10"/>
      <c r="V565" s="10"/>
    </row>
    <row r="566" ht="22.5" customHeight="1">
      <c r="A566" s="5">
        <v>2.00594089652E11</v>
      </c>
      <c r="B566" s="5" t="s">
        <v>657</v>
      </c>
      <c r="C566" s="5">
        <v>5531994487170</v>
      </c>
      <c r="D566" s="5" t="s">
        <v>103</v>
      </c>
      <c r="E566" s="5">
        <v>7.9360573E7</v>
      </c>
      <c r="F566" s="5" t="s">
        <v>93</v>
      </c>
      <c r="G566" s="5" t="s">
        <v>79</v>
      </c>
      <c r="H566" s="5" t="s">
        <v>188</v>
      </c>
      <c r="I566" s="6" t="s">
        <v>17</v>
      </c>
      <c r="J566" s="7" t="s">
        <v>34</v>
      </c>
      <c r="K566" s="7"/>
      <c r="L566" s="8">
        <v>1.770648506883E12</v>
      </c>
      <c r="M566" s="9"/>
      <c r="N566" s="10"/>
      <c r="O566" s="10"/>
      <c r="P566" s="10"/>
      <c r="Q566" s="10"/>
      <c r="R566" s="10"/>
      <c r="S566" s="10"/>
      <c r="T566" s="10"/>
      <c r="U566" s="10"/>
      <c r="V566" s="10"/>
    </row>
    <row r="567" ht="22.5" customHeight="1">
      <c r="A567" s="5">
        <v>2.00593745038E11</v>
      </c>
      <c r="B567" s="5" t="s">
        <v>658</v>
      </c>
      <c r="C567" s="5">
        <v>5521969166613</v>
      </c>
      <c r="D567" s="5" t="s">
        <v>13</v>
      </c>
      <c r="E567" s="5">
        <v>7.9360573E7</v>
      </c>
      <c r="F567" s="5" t="s">
        <v>28</v>
      </c>
      <c r="G567" s="5" t="s">
        <v>32</v>
      </c>
      <c r="H567" s="5" t="s">
        <v>24</v>
      </c>
      <c r="I567" s="6" t="s">
        <v>17</v>
      </c>
      <c r="J567" s="7" t="s">
        <v>34</v>
      </c>
      <c r="K567" s="7"/>
      <c r="L567" s="8">
        <v>1.770649011026E12</v>
      </c>
      <c r="M567" s="9"/>
      <c r="N567" s="10"/>
      <c r="O567" s="10"/>
      <c r="P567" s="10"/>
      <c r="Q567" s="10"/>
      <c r="R567" s="10"/>
      <c r="S567" s="10"/>
      <c r="T567" s="10"/>
      <c r="U567" s="10"/>
      <c r="V567" s="10"/>
    </row>
    <row r="568" ht="22.5" customHeight="1">
      <c r="A568" s="5">
        <v>2.00589973059E11</v>
      </c>
      <c r="B568" s="5" t="s">
        <v>655</v>
      </c>
      <c r="C568" s="5">
        <v>5585988694067</v>
      </c>
      <c r="D568" s="5" t="s">
        <v>13</v>
      </c>
      <c r="E568" s="5">
        <v>7.9360573E7</v>
      </c>
      <c r="F568" s="5" t="s">
        <v>14</v>
      </c>
      <c r="G568" s="5" t="s">
        <v>15</v>
      </c>
      <c r="H568" s="5" t="s">
        <v>16</v>
      </c>
      <c r="I568" s="6" t="s">
        <v>17</v>
      </c>
      <c r="J568" s="7" t="s">
        <v>34</v>
      </c>
      <c r="K568" s="7"/>
      <c r="L568" s="8">
        <v>1.770649456683E12</v>
      </c>
      <c r="M568" s="9"/>
      <c r="N568" s="10"/>
      <c r="O568" s="10"/>
      <c r="P568" s="10"/>
      <c r="Q568" s="10"/>
      <c r="R568" s="10"/>
      <c r="S568" s="10"/>
      <c r="T568" s="10"/>
      <c r="U568" s="10"/>
      <c r="V568" s="10"/>
    </row>
    <row r="569" ht="22.5" customHeight="1">
      <c r="A569" s="5">
        <v>2.00623526763E11</v>
      </c>
      <c r="B569" s="5" t="s">
        <v>659</v>
      </c>
      <c r="C569" s="5">
        <v>51997450149</v>
      </c>
      <c r="D569" s="5" t="s">
        <v>13</v>
      </c>
      <c r="E569" s="5">
        <v>8.0566583E7</v>
      </c>
      <c r="F569" s="5" t="s">
        <v>42</v>
      </c>
      <c r="G569" s="5" t="s">
        <v>15</v>
      </c>
      <c r="H569" s="5" t="s">
        <v>51</v>
      </c>
      <c r="I569" s="6" t="s">
        <v>17</v>
      </c>
      <c r="J569" s="7" t="s">
        <v>18</v>
      </c>
      <c r="K569" s="7" t="s">
        <v>19</v>
      </c>
      <c r="L569" s="8">
        <v>1.770653104279E12</v>
      </c>
      <c r="M569" s="9"/>
      <c r="N569" s="10"/>
      <c r="O569" s="10"/>
      <c r="P569" s="10"/>
      <c r="Q569" s="10"/>
      <c r="R569" s="10"/>
      <c r="S569" s="10"/>
      <c r="T569" s="10"/>
      <c r="U569" s="10"/>
      <c r="V569" s="10"/>
    </row>
    <row r="570" ht="22.5" customHeight="1">
      <c r="A570" s="5">
        <v>2.00625032759E11</v>
      </c>
      <c r="B570" s="5" t="s">
        <v>660</v>
      </c>
      <c r="C570" s="5">
        <v>5591993520194</v>
      </c>
      <c r="D570" s="5" t="s">
        <v>38</v>
      </c>
      <c r="E570" s="5">
        <v>7.9360573E7</v>
      </c>
      <c r="F570" s="5"/>
      <c r="G570" s="5"/>
      <c r="H570" s="5"/>
      <c r="I570" s="6"/>
      <c r="J570" s="7" t="s">
        <v>34</v>
      </c>
      <c r="K570" s="7"/>
      <c r="L570" s="8">
        <v>1.770653295695E12</v>
      </c>
      <c r="M570" s="9"/>
      <c r="N570" s="10"/>
      <c r="O570" s="10"/>
      <c r="P570" s="10"/>
      <c r="Q570" s="10"/>
      <c r="R570" s="10"/>
      <c r="S570" s="10"/>
      <c r="T570" s="10"/>
      <c r="U570" s="10"/>
      <c r="V570" s="10"/>
    </row>
    <row r="571" ht="22.5" customHeight="1">
      <c r="A571" s="5">
        <v>2.00626149502E11</v>
      </c>
      <c r="B571" s="5" t="s">
        <v>661</v>
      </c>
      <c r="C571" s="5">
        <v>51904148922</v>
      </c>
      <c r="D571" s="5" t="s">
        <v>13</v>
      </c>
      <c r="E571" s="5">
        <v>8.7547393E7</v>
      </c>
      <c r="F571" s="5" t="s">
        <v>39</v>
      </c>
      <c r="G571" s="5" t="s">
        <v>15</v>
      </c>
      <c r="H571" s="5" t="s">
        <v>114</v>
      </c>
      <c r="I571" s="6" t="s">
        <v>17</v>
      </c>
      <c r="J571" s="7" t="s">
        <v>34</v>
      </c>
      <c r="K571" s="7"/>
      <c r="L571" s="8">
        <v>1.770653608716E12</v>
      </c>
      <c r="M571" s="9"/>
      <c r="N571" s="10"/>
      <c r="O571" s="10"/>
      <c r="P571" s="10"/>
      <c r="Q571" s="10"/>
      <c r="R571" s="10"/>
      <c r="S571" s="10"/>
      <c r="T571" s="10"/>
      <c r="U571" s="10"/>
      <c r="V571" s="10"/>
    </row>
    <row r="572" ht="22.5" customHeight="1">
      <c r="A572" s="5">
        <v>2.00602874666E11</v>
      </c>
      <c r="B572" s="5" t="s">
        <v>662</v>
      </c>
      <c r="C572" s="5">
        <v>51982831060</v>
      </c>
      <c r="D572" s="5" t="s">
        <v>13</v>
      </c>
      <c r="E572" s="5">
        <v>8.0566583E7</v>
      </c>
      <c r="F572" s="5" t="s">
        <v>39</v>
      </c>
      <c r="G572" s="5" t="s">
        <v>32</v>
      </c>
      <c r="H572" s="5" t="s">
        <v>16</v>
      </c>
      <c r="I572" s="6" t="s">
        <v>63</v>
      </c>
      <c r="J572" s="7" t="s">
        <v>34</v>
      </c>
      <c r="K572" s="7"/>
      <c r="L572" s="8">
        <v>1.770655065846E12</v>
      </c>
      <c r="M572" s="9"/>
      <c r="N572" s="10"/>
      <c r="O572" s="10"/>
      <c r="P572" s="10"/>
      <c r="Q572" s="10"/>
      <c r="R572" s="10"/>
      <c r="S572" s="10"/>
      <c r="T572" s="10"/>
      <c r="U572" s="10"/>
      <c r="V572" s="10"/>
    </row>
    <row r="573" ht="22.5" customHeight="1">
      <c r="A573" s="5">
        <v>2.00635120274E11</v>
      </c>
      <c r="B573" s="5" t="s">
        <v>663</v>
      </c>
      <c r="C573" s="5">
        <v>51986258771</v>
      </c>
      <c r="D573" s="5" t="s">
        <v>13</v>
      </c>
      <c r="E573" s="5">
        <v>8.0566583E7</v>
      </c>
      <c r="F573" s="5" t="s">
        <v>39</v>
      </c>
      <c r="G573" s="5" t="s">
        <v>15</v>
      </c>
      <c r="H573" s="5" t="s">
        <v>51</v>
      </c>
      <c r="I573" s="6" t="s">
        <v>17</v>
      </c>
      <c r="J573" s="7" t="s">
        <v>18</v>
      </c>
      <c r="K573" s="7" t="s">
        <v>19</v>
      </c>
      <c r="L573" s="8">
        <v>1.770655107491E12</v>
      </c>
      <c r="M573" s="9"/>
      <c r="N573" s="10"/>
      <c r="O573" s="10"/>
      <c r="P573" s="10"/>
      <c r="Q573" s="10"/>
      <c r="R573" s="10"/>
      <c r="S573" s="10"/>
      <c r="T573" s="10"/>
      <c r="U573" s="10"/>
      <c r="V573" s="10"/>
    </row>
    <row r="574" ht="22.5" customHeight="1">
      <c r="A574" s="5">
        <v>2.00639429779E11</v>
      </c>
      <c r="B574" s="5" t="s">
        <v>664</v>
      </c>
      <c r="C574" s="5">
        <v>522299332139</v>
      </c>
      <c r="D574" s="5" t="s">
        <v>13</v>
      </c>
      <c r="E574" s="5">
        <v>8.7547393E7</v>
      </c>
      <c r="F574" s="5" t="s">
        <v>14</v>
      </c>
      <c r="G574" s="5" t="s">
        <v>15</v>
      </c>
      <c r="H574" s="5" t="s">
        <v>51</v>
      </c>
      <c r="I574" s="6" t="s">
        <v>17</v>
      </c>
      <c r="J574" s="7" t="s">
        <v>18</v>
      </c>
      <c r="K574" s="7" t="s">
        <v>61</v>
      </c>
      <c r="L574" s="8">
        <v>1.77065642917E12</v>
      </c>
      <c r="M574" s="9"/>
      <c r="N574" s="10"/>
      <c r="O574" s="10"/>
      <c r="P574" s="10"/>
      <c r="Q574" s="10"/>
      <c r="R574" s="10"/>
      <c r="S574" s="10"/>
      <c r="T574" s="10"/>
      <c r="U574" s="10"/>
      <c r="V574" s="10"/>
    </row>
    <row r="575" ht="22.5" customHeight="1">
      <c r="A575" s="5">
        <v>2.00637988135E11</v>
      </c>
      <c r="B575" s="5" t="s">
        <v>665</v>
      </c>
      <c r="C575" s="5">
        <v>51954780771</v>
      </c>
      <c r="D575" s="5" t="s">
        <v>103</v>
      </c>
      <c r="E575" s="5">
        <v>8.0566583E7</v>
      </c>
      <c r="F575" s="5" t="s">
        <v>23</v>
      </c>
      <c r="G575" s="5" t="s">
        <v>79</v>
      </c>
      <c r="H575" s="5" t="s">
        <v>24</v>
      </c>
      <c r="I575" s="6"/>
      <c r="J575" s="7" t="s">
        <v>58</v>
      </c>
      <c r="K575" s="11" t="s">
        <v>59</v>
      </c>
      <c r="L575" s="8">
        <v>1.770656941465E12</v>
      </c>
      <c r="M575" s="9"/>
      <c r="N575" s="10"/>
      <c r="O575" s="10"/>
      <c r="P575" s="10"/>
      <c r="Q575" s="10"/>
      <c r="R575" s="10"/>
      <c r="S575" s="10"/>
      <c r="T575" s="10"/>
      <c r="U575" s="10"/>
      <c r="V575" s="10"/>
    </row>
    <row r="576" ht="22.5" customHeight="1">
      <c r="A576" s="5">
        <v>2.00724658869E11</v>
      </c>
      <c r="B576" s="5" t="s">
        <v>666</v>
      </c>
      <c r="C576" s="5">
        <v>51992759830</v>
      </c>
      <c r="D576" s="5" t="s">
        <v>13</v>
      </c>
      <c r="E576" s="5">
        <v>8.7547393E7</v>
      </c>
      <c r="F576" s="5" t="s">
        <v>39</v>
      </c>
      <c r="G576" s="5" t="s">
        <v>15</v>
      </c>
      <c r="H576" s="5" t="s">
        <v>66</v>
      </c>
      <c r="I576" s="6" t="s">
        <v>17</v>
      </c>
      <c r="J576" s="7" t="s">
        <v>18</v>
      </c>
      <c r="K576" s="7" t="s">
        <v>19</v>
      </c>
      <c r="L576" s="8">
        <v>1.770662474914E12</v>
      </c>
      <c r="M576" s="9"/>
      <c r="N576" s="10"/>
      <c r="O576" s="10"/>
      <c r="P576" s="10"/>
      <c r="Q576" s="10"/>
      <c r="R576" s="10"/>
      <c r="S576" s="10"/>
      <c r="T576" s="10"/>
      <c r="U576" s="10"/>
      <c r="V576" s="10"/>
    </row>
    <row r="577" ht="22.5" customHeight="1">
      <c r="A577" s="5">
        <v>2.00724338793E11</v>
      </c>
      <c r="B577" s="5" t="s">
        <v>667</v>
      </c>
      <c r="C577" s="5">
        <v>525610900165</v>
      </c>
      <c r="D577" s="5" t="s">
        <v>38</v>
      </c>
      <c r="E577" s="5">
        <v>8.7547393E7</v>
      </c>
      <c r="F577" s="5"/>
      <c r="G577" s="5"/>
      <c r="H577" s="5"/>
      <c r="I577" s="6"/>
      <c r="J577" s="7" t="s">
        <v>18</v>
      </c>
      <c r="K577" s="7" t="s">
        <v>61</v>
      </c>
      <c r="L577" s="8">
        <v>1.770662789507E12</v>
      </c>
      <c r="M577" s="9"/>
      <c r="N577" s="10"/>
      <c r="O577" s="10"/>
      <c r="P577" s="10"/>
      <c r="Q577" s="10"/>
      <c r="R577" s="10"/>
      <c r="S577" s="10"/>
      <c r="T577" s="10"/>
      <c r="U577" s="10"/>
      <c r="V577" s="10"/>
    </row>
    <row r="578" ht="22.5" customHeight="1">
      <c r="A578" s="5">
        <v>1.38946009957E11</v>
      </c>
      <c r="B578" s="5" t="s">
        <v>668</v>
      </c>
      <c r="C578" s="5">
        <v>51950125477</v>
      </c>
      <c r="D578" s="5" t="s">
        <v>13</v>
      </c>
      <c r="E578" s="5">
        <v>8.7547393E7</v>
      </c>
      <c r="F578" s="5" t="s">
        <v>65</v>
      </c>
      <c r="G578" s="5" t="s">
        <v>44</v>
      </c>
      <c r="H578" s="5" t="s">
        <v>33</v>
      </c>
      <c r="I578" s="6" t="s">
        <v>17</v>
      </c>
      <c r="J578" s="7" t="s">
        <v>34</v>
      </c>
      <c r="K578" s="7"/>
      <c r="L578" s="8">
        <v>1.770664758429E12</v>
      </c>
      <c r="M578" s="9"/>
      <c r="N578" s="10"/>
      <c r="O578" s="10"/>
      <c r="P578" s="10"/>
      <c r="Q578" s="10"/>
      <c r="R578" s="10"/>
      <c r="S578" s="10"/>
      <c r="T578" s="10"/>
      <c r="U578" s="10"/>
      <c r="V578" s="10"/>
    </row>
    <row r="579" ht="22.5" customHeight="1">
      <c r="A579" s="5">
        <v>2.00774288135E11</v>
      </c>
      <c r="B579" s="5" t="s">
        <v>669</v>
      </c>
      <c r="C579" s="5">
        <v>529212236569</v>
      </c>
      <c r="D579" s="5" t="s">
        <v>13</v>
      </c>
      <c r="E579" s="5">
        <v>8.0566583E7</v>
      </c>
      <c r="F579" s="5" t="s">
        <v>28</v>
      </c>
      <c r="G579" s="5" t="s">
        <v>15</v>
      </c>
      <c r="H579" s="5" t="s">
        <v>66</v>
      </c>
      <c r="I579" s="6" t="s">
        <v>148</v>
      </c>
      <c r="J579" s="7" t="s">
        <v>18</v>
      </c>
      <c r="K579" s="7" t="s">
        <v>61</v>
      </c>
      <c r="L579" s="8">
        <v>1.770666113623E12</v>
      </c>
      <c r="M579" s="9"/>
      <c r="N579" s="10"/>
      <c r="O579" s="10"/>
      <c r="P579" s="10"/>
      <c r="Q579" s="10"/>
      <c r="R579" s="10"/>
      <c r="S579" s="10"/>
      <c r="T579" s="10"/>
      <c r="U579" s="10"/>
      <c r="V579" s="10"/>
    </row>
    <row r="580" ht="22.5" customHeight="1">
      <c r="A580" s="5">
        <v>2.00750296396E11</v>
      </c>
      <c r="B580" s="5" t="s">
        <v>670</v>
      </c>
      <c r="C580" s="5">
        <v>5511978980553</v>
      </c>
      <c r="D580" s="5" t="s">
        <v>13</v>
      </c>
      <c r="E580" s="5">
        <v>7.9360573E7</v>
      </c>
      <c r="F580" s="5" t="s">
        <v>28</v>
      </c>
      <c r="G580" s="5">
        <v>50</v>
      </c>
      <c r="H580" s="5" t="s">
        <v>66</v>
      </c>
      <c r="I580" s="6"/>
      <c r="J580" s="7" t="s">
        <v>34</v>
      </c>
      <c r="K580" s="7"/>
      <c r="L580" s="8">
        <v>1.770674508018E12</v>
      </c>
      <c r="M580" s="9"/>
      <c r="N580" s="10"/>
      <c r="O580" s="10"/>
      <c r="P580" s="10"/>
      <c r="Q580" s="10"/>
      <c r="R580" s="10"/>
      <c r="S580" s="10"/>
      <c r="T580" s="10"/>
      <c r="U580" s="10"/>
      <c r="V580" s="10"/>
    </row>
    <row r="581" ht="22.5" customHeight="1">
      <c r="A581" s="5">
        <v>2.00844076046E11</v>
      </c>
      <c r="B581" s="5" t="s">
        <v>671</v>
      </c>
      <c r="C581" s="5">
        <v>5511934935384</v>
      </c>
      <c r="D581" s="5" t="s">
        <v>38</v>
      </c>
      <c r="E581" s="5">
        <v>7.9360573E7</v>
      </c>
      <c r="F581" s="5"/>
      <c r="G581" s="5"/>
      <c r="H581" s="5"/>
      <c r="I581" s="6"/>
      <c r="J581" s="7" t="s">
        <v>34</v>
      </c>
      <c r="K581" s="7"/>
      <c r="L581" s="8">
        <v>1.770681173282E12</v>
      </c>
      <c r="M581" s="9"/>
      <c r="N581" s="10"/>
      <c r="O581" s="10"/>
      <c r="P581" s="10"/>
      <c r="Q581" s="10"/>
      <c r="R581" s="10"/>
      <c r="S581" s="10"/>
      <c r="T581" s="10"/>
      <c r="U581" s="10"/>
      <c r="V581" s="10"/>
    </row>
    <row r="582" ht="22.5" customHeight="1">
      <c r="A582" s="5">
        <v>2.0084637736E11</v>
      </c>
      <c r="B582" s="5" t="s">
        <v>672</v>
      </c>
      <c r="C582" s="5">
        <v>5591993342426</v>
      </c>
      <c r="D582" s="5" t="s">
        <v>13</v>
      </c>
      <c r="E582" s="5">
        <v>7.9360573E7</v>
      </c>
      <c r="F582" s="5" t="s">
        <v>673</v>
      </c>
      <c r="G582" s="5" t="s">
        <v>44</v>
      </c>
      <c r="H582" s="5" t="s">
        <v>66</v>
      </c>
      <c r="I582" s="6" t="s">
        <v>17</v>
      </c>
      <c r="J582" s="7" t="s">
        <v>18</v>
      </c>
      <c r="K582" s="7" t="s">
        <v>45</v>
      </c>
      <c r="L582" s="8">
        <v>1.7706836898E12</v>
      </c>
      <c r="M582" s="9"/>
      <c r="N582" s="10"/>
      <c r="O582" s="10"/>
      <c r="P582" s="10"/>
      <c r="Q582" s="10"/>
      <c r="R582" s="10"/>
      <c r="S582" s="10"/>
      <c r="T582" s="10"/>
      <c r="U582" s="10"/>
      <c r="V582" s="10"/>
    </row>
    <row r="583" ht="22.5" customHeight="1">
      <c r="A583" s="5">
        <v>2.00877497993E11</v>
      </c>
      <c r="B583" s="5" t="s">
        <v>674</v>
      </c>
      <c r="C583" s="5">
        <v>51969556341</v>
      </c>
      <c r="D583" s="5" t="s">
        <v>22</v>
      </c>
      <c r="E583" s="5">
        <v>8.0566583E7</v>
      </c>
      <c r="F583" s="5" t="s">
        <v>28</v>
      </c>
      <c r="G583" s="5" t="s">
        <v>44</v>
      </c>
      <c r="H583" s="5" t="s">
        <v>66</v>
      </c>
      <c r="I583" s="6" t="s">
        <v>17</v>
      </c>
      <c r="J583" s="7" t="s">
        <v>18</v>
      </c>
      <c r="K583" s="7" t="s">
        <v>19</v>
      </c>
      <c r="L583" s="8">
        <v>1.770685591457E12</v>
      </c>
      <c r="M583" s="9"/>
      <c r="N583" s="10"/>
      <c r="O583" s="10"/>
      <c r="P583" s="10"/>
      <c r="Q583" s="10"/>
      <c r="R583" s="10"/>
      <c r="S583" s="10"/>
      <c r="T583" s="10"/>
      <c r="U583" s="10"/>
      <c r="V583" s="10"/>
    </row>
    <row r="584" ht="22.5" customHeight="1">
      <c r="A584" s="5">
        <v>2.00886014353E11</v>
      </c>
      <c r="B584" s="5" t="s">
        <v>675</v>
      </c>
      <c r="C584" s="5">
        <v>51906292709</v>
      </c>
      <c r="D584" s="5" t="s">
        <v>38</v>
      </c>
      <c r="E584" s="5">
        <v>8.0566583E7</v>
      </c>
      <c r="F584" s="5"/>
      <c r="G584" s="5"/>
      <c r="H584" s="5"/>
      <c r="I584" s="6"/>
      <c r="J584" s="7" t="s">
        <v>18</v>
      </c>
      <c r="K584" s="7" t="s">
        <v>19</v>
      </c>
      <c r="L584" s="8">
        <v>1.770694081541E12</v>
      </c>
      <c r="M584" s="9"/>
      <c r="N584" s="10"/>
      <c r="O584" s="10"/>
      <c r="P584" s="10"/>
      <c r="Q584" s="10"/>
      <c r="R584" s="10"/>
      <c r="S584" s="10"/>
      <c r="T584" s="10"/>
      <c r="U584" s="10"/>
      <c r="V584" s="10"/>
    </row>
    <row r="585" ht="22.5" customHeight="1">
      <c r="A585" s="5">
        <v>2.00857209252E11</v>
      </c>
      <c r="B585" s="5" t="s">
        <v>676</v>
      </c>
      <c r="C585" s="5">
        <v>51900798216</v>
      </c>
      <c r="D585" s="5" t="s">
        <v>13</v>
      </c>
      <c r="E585" s="5">
        <v>8.0566583E7</v>
      </c>
      <c r="F585" s="5" t="s">
        <v>28</v>
      </c>
      <c r="G585" s="5" t="s">
        <v>32</v>
      </c>
      <c r="H585" s="5" t="s">
        <v>16</v>
      </c>
      <c r="I585" s="6" t="s">
        <v>17</v>
      </c>
      <c r="J585" s="7" t="s">
        <v>18</v>
      </c>
      <c r="K585" s="7" t="s">
        <v>61</v>
      </c>
      <c r="L585" s="8">
        <v>1.770695433283E12</v>
      </c>
      <c r="M585" s="9"/>
      <c r="N585" s="10"/>
      <c r="O585" s="10"/>
      <c r="P585" s="10"/>
      <c r="Q585" s="10"/>
      <c r="R585" s="10"/>
      <c r="S585" s="10"/>
      <c r="T585" s="10"/>
      <c r="U585" s="10"/>
      <c r="V585" s="10"/>
    </row>
    <row r="586" ht="22.5" customHeight="1">
      <c r="A586" s="5">
        <v>1.65149844003E11</v>
      </c>
      <c r="B586" s="5" t="s">
        <v>677</v>
      </c>
      <c r="C586" s="5">
        <v>51999007200</v>
      </c>
      <c r="D586" s="5" t="s">
        <v>22</v>
      </c>
      <c r="E586" s="5"/>
      <c r="F586" s="5" t="s">
        <v>28</v>
      </c>
      <c r="G586" s="5" t="s">
        <v>79</v>
      </c>
      <c r="H586" s="5" t="s">
        <v>51</v>
      </c>
      <c r="I586" s="6" t="s">
        <v>17</v>
      </c>
      <c r="J586" s="7" t="s">
        <v>34</v>
      </c>
      <c r="K586" s="7"/>
      <c r="L586" s="8">
        <v>1.770699900271E12</v>
      </c>
      <c r="M586" s="9"/>
      <c r="N586" s="10"/>
      <c r="O586" s="10"/>
      <c r="P586" s="10"/>
      <c r="Q586" s="10"/>
      <c r="R586" s="10"/>
      <c r="S586" s="10"/>
      <c r="T586" s="10"/>
      <c r="U586" s="10"/>
      <c r="V586" s="10"/>
    </row>
    <row r="587" ht="22.5" customHeight="1">
      <c r="A587" s="5">
        <v>2.0092204405E11</v>
      </c>
      <c r="B587" s="5" t="s">
        <v>678</v>
      </c>
      <c r="C587" s="5">
        <v>51993560041</v>
      </c>
      <c r="D587" s="5" t="s">
        <v>13</v>
      </c>
      <c r="E587" s="5">
        <v>8.0566583E7</v>
      </c>
      <c r="F587" s="5" t="s">
        <v>28</v>
      </c>
      <c r="G587" s="5" t="s">
        <v>15</v>
      </c>
      <c r="H587" s="5" t="s">
        <v>51</v>
      </c>
      <c r="I587" s="6" t="s">
        <v>63</v>
      </c>
      <c r="J587" s="7" t="s">
        <v>18</v>
      </c>
      <c r="K587" s="7" t="s">
        <v>19</v>
      </c>
      <c r="L587" s="8">
        <v>1.770715010854E12</v>
      </c>
      <c r="M587" s="9"/>
      <c r="N587" s="10"/>
      <c r="O587" s="10"/>
      <c r="P587" s="10"/>
      <c r="Q587" s="10"/>
      <c r="R587" s="10"/>
      <c r="S587" s="10"/>
      <c r="T587" s="10"/>
      <c r="U587" s="10"/>
      <c r="V587" s="10"/>
    </row>
    <row r="588" ht="22.5" customHeight="1">
      <c r="A588" s="5">
        <v>2.00922491456E11</v>
      </c>
      <c r="B588" s="5" t="s">
        <v>679</v>
      </c>
      <c r="C588" s="5">
        <v>5518996380975</v>
      </c>
      <c r="D588" s="5" t="s">
        <v>13</v>
      </c>
      <c r="E588" s="5">
        <v>7.9360573E7</v>
      </c>
      <c r="F588" s="5" t="s">
        <v>28</v>
      </c>
      <c r="G588" s="5" t="s">
        <v>15</v>
      </c>
      <c r="H588" s="5" t="s">
        <v>16</v>
      </c>
      <c r="I588" s="6" t="s">
        <v>17</v>
      </c>
      <c r="J588" s="7" t="s">
        <v>34</v>
      </c>
      <c r="K588" s="7"/>
      <c r="L588" s="8">
        <v>1.770715548701E12</v>
      </c>
      <c r="M588" s="9"/>
      <c r="N588" s="10"/>
      <c r="O588" s="10"/>
      <c r="P588" s="10"/>
      <c r="Q588" s="10"/>
      <c r="R588" s="10"/>
      <c r="S588" s="10"/>
      <c r="T588" s="10"/>
      <c r="U588" s="10"/>
      <c r="V588" s="10"/>
    </row>
    <row r="589" ht="22.5" customHeight="1">
      <c r="A589" s="5">
        <v>2.0092622883E11</v>
      </c>
      <c r="B589" s="5" t="s">
        <v>680</v>
      </c>
      <c r="C589" s="5">
        <v>51904852896</v>
      </c>
      <c r="D589" s="5" t="s">
        <v>38</v>
      </c>
      <c r="E589" s="5">
        <v>8.7547393E7</v>
      </c>
      <c r="F589" s="5"/>
      <c r="G589" s="5"/>
      <c r="H589" s="5"/>
      <c r="I589" s="6"/>
      <c r="J589" s="7" t="s">
        <v>25</v>
      </c>
      <c r="K589" s="7" t="s">
        <v>501</v>
      </c>
      <c r="L589" s="8">
        <v>1.770716772306E12</v>
      </c>
      <c r="M589" s="9"/>
      <c r="N589" s="10"/>
      <c r="O589" s="10"/>
      <c r="P589" s="10"/>
      <c r="Q589" s="10"/>
      <c r="R589" s="10"/>
      <c r="S589" s="10"/>
      <c r="T589" s="10"/>
      <c r="U589" s="10"/>
      <c r="V589" s="10"/>
    </row>
    <row r="590" ht="22.5" customHeight="1">
      <c r="A590" s="5">
        <v>2.00929460753E11</v>
      </c>
      <c r="B590" s="5" t="s">
        <v>681</v>
      </c>
      <c r="C590" s="5">
        <v>51996799418</v>
      </c>
      <c r="D590" s="5" t="s">
        <v>13</v>
      </c>
      <c r="E590" s="5">
        <v>8.7547393E7</v>
      </c>
      <c r="F590" s="5" t="s">
        <v>28</v>
      </c>
      <c r="G590" s="5" t="s">
        <v>15</v>
      </c>
      <c r="H590" s="5" t="s">
        <v>69</v>
      </c>
      <c r="I590" s="6" t="s">
        <v>17</v>
      </c>
      <c r="J590" s="7" t="s">
        <v>18</v>
      </c>
      <c r="K590" s="7" t="s">
        <v>61</v>
      </c>
      <c r="L590" s="8">
        <v>1.770719885665E12</v>
      </c>
      <c r="M590" s="9"/>
      <c r="N590" s="10"/>
      <c r="O590" s="10"/>
      <c r="P590" s="10"/>
      <c r="Q590" s="10"/>
      <c r="R590" s="10"/>
      <c r="S590" s="10"/>
      <c r="T590" s="10"/>
      <c r="U590" s="10"/>
      <c r="V590" s="10"/>
    </row>
    <row r="591" ht="22.5" customHeight="1">
      <c r="A591" s="5">
        <v>2.00904938822E11</v>
      </c>
      <c r="B591" s="5" t="s">
        <v>682</v>
      </c>
      <c r="C591" s="5">
        <v>51984834106</v>
      </c>
      <c r="D591" s="5" t="s">
        <v>13</v>
      </c>
      <c r="E591" s="5">
        <v>8.7547393E7</v>
      </c>
      <c r="F591" s="5" t="s">
        <v>28</v>
      </c>
      <c r="G591" s="5" t="s">
        <v>15</v>
      </c>
      <c r="H591" s="5" t="s">
        <v>51</v>
      </c>
      <c r="I591" s="6" t="s">
        <v>17</v>
      </c>
      <c r="J591" s="7" t="s">
        <v>18</v>
      </c>
      <c r="K591" s="7" t="s">
        <v>61</v>
      </c>
      <c r="L591" s="8">
        <v>1.770719960686E12</v>
      </c>
      <c r="M591" s="9"/>
      <c r="N591" s="10"/>
      <c r="O591" s="10"/>
      <c r="P591" s="10"/>
      <c r="Q591" s="10"/>
      <c r="R591" s="10"/>
      <c r="S591" s="10"/>
      <c r="T591" s="10"/>
      <c r="U591" s="10"/>
      <c r="V591" s="10"/>
    </row>
    <row r="592" ht="22.5" customHeight="1">
      <c r="A592" s="5">
        <v>2.00928078908E11</v>
      </c>
      <c r="B592" s="5" t="s">
        <v>683</v>
      </c>
      <c r="C592" s="5">
        <v>34640091359</v>
      </c>
      <c r="D592" s="5" t="s">
        <v>38</v>
      </c>
      <c r="E592" s="5">
        <v>8.0566583E7</v>
      </c>
      <c r="F592" s="5"/>
      <c r="G592" s="5"/>
      <c r="H592" s="5"/>
      <c r="I592" s="6"/>
      <c r="J592" s="7" t="s">
        <v>34</v>
      </c>
      <c r="K592" s="7"/>
      <c r="L592" s="8">
        <v>1.770722253441E12</v>
      </c>
      <c r="M592" s="9"/>
      <c r="N592" s="10"/>
      <c r="O592" s="10"/>
      <c r="P592" s="10"/>
      <c r="Q592" s="10"/>
      <c r="R592" s="10"/>
      <c r="S592" s="10"/>
      <c r="T592" s="10"/>
      <c r="U592" s="10"/>
      <c r="V592" s="10"/>
    </row>
    <row r="593" ht="22.5" customHeight="1">
      <c r="A593" s="5">
        <v>2.00963336203E11</v>
      </c>
      <c r="B593" s="5" t="s">
        <v>684</v>
      </c>
      <c r="C593" s="5">
        <v>51943449116</v>
      </c>
      <c r="D593" s="5" t="s">
        <v>13</v>
      </c>
      <c r="E593" s="5">
        <v>8.0566583E7</v>
      </c>
      <c r="F593" s="5" t="s">
        <v>28</v>
      </c>
      <c r="G593" s="5" t="s">
        <v>15</v>
      </c>
      <c r="H593" s="5" t="s">
        <v>51</v>
      </c>
      <c r="I593" s="6" t="s">
        <v>17</v>
      </c>
      <c r="J593" s="7" t="s">
        <v>58</v>
      </c>
      <c r="K593" s="11" t="s">
        <v>59</v>
      </c>
      <c r="L593" s="8">
        <v>1.770723617653E12</v>
      </c>
      <c r="M593" s="9"/>
      <c r="N593" s="10"/>
      <c r="O593" s="10"/>
      <c r="P593" s="10"/>
      <c r="Q593" s="10"/>
      <c r="R593" s="10"/>
      <c r="S593" s="10"/>
      <c r="T593" s="10"/>
      <c r="U593" s="10"/>
      <c r="V593" s="10"/>
    </row>
    <row r="594" ht="22.5" customHeight="1">
      <c r="A594" s="5">
        <v>2.00928078908E11</v>
      </c>
      <c r="B594" s="5" t="s">
        <v>683</v>
      </c>
      <c r="C594" s="5">
        <v>34640091359</v>
      </c>
      <c r="D594" s="5" t="s">
        <v>13</v>
      </c>
      <c r="E594" s="5">
        <v>8.0566583E7</v>
      </c>
      <c r="F594" s="5" t="s">
        <v>28</v>
      </c>
      <c r="G594" s="5" t="s">
        <v>15</v>
      </c>
      <c r="H594" s="5" t="s">
        <v>51</v>
      </c>
      <c r="I594" s="6" t="s">
        <v>36</v>
      </c>
      <c r="J594" s="7" t="s">
        <v>34</v>
      </c>
      <c r="K594" s="7"/>
      <c r="L594" s="8">
        <v>1.770724355803E12</v>
      </c>
      <c r="M594" s="9"/>
      <c r="N594" s="10"/>
      <c r="O594" s="10"/>
      <c r="P594" s="10"/>
      <c r="Q594" s="10"/>
      <c r="R594" s="10"/>
      <c r="S594" s="10"/>
      <c r="T594" s="10"/>
      <c r="U594" s="10"/>
      <c r="V594" s="10"/>
    </row>
    <row r="595" ht="22.5" customHeight="1">
      <c r="A595" s="5">
        <v>2.00983243871E11</v>
      </c>
      <c r="B595" s="5" t="s">
        <v>685</v>
      </c>
      <c r="C595" s="5">
        <v>51995250309</v>
      </c>
      <c r="D595" s="5" t="s">
        <v>38</v>
      </c>
      <c r="E595" s="5">
        <v>8.0566583E7</v>
      </c>
      <c r="F595" s="5"/>
      <c r="G595" s="5"/>
      <c r="H595" s="5"/>
      <c r="I595" s="6"/>
      <c r="J595" s="7" t="s">
        <v>18</v>
      </c>
      <c r="K595" s="7" t="s">
        <v>61</v>
      </c>
      <c r="L595" s="8">
        <v>1.770726677564E12</v>
      </c>
      <c r="M595" s="9"/>
      <c r="N595" s="10"/>
      <c r="O595" s="10"/>
      <c r="P595" s="10"/>
      <c r="Q595" s="10"/>
      <c r="R595" s="10"/>
      <c r="S595" s="10"/>
      <c r="T595" s="10"/>
      <c r="U595" s="10"/>
      <c r="V595" s="10"/>
    </row>
    <row r="596" ht="22.5" customHeight="1">
      <c r="A596" s="5">
        <v>1.6683141002E11</v>
      </c>
      <c r="B596" s="5" t="s">
        <v>686</v>
      </c>
      <c r="C596" s="5">
        <v>51922381963</v>
      </c>
      <c r="D596" s="5" t="s">
        <v>13</v>
      </c>
      <c r="E596" s="5">
        <v>8.7547393E7</v>
      </c>
      <c r="F596" s="5" t="s">
        <v>687</v>
      </c>
      <c r="G596" s="5" t="s">
        <v>15</v>
      </c>
      <c r="H596" s="5" t="s">
        <v>29</v>
      </c>
      <c r="I596" s="6" t="s">
        <v>17</v>
      </c>
      <c r="J596" s="7" t="s">
        <v>18</v>
      </c>
      <c r="K596" s="7" t="s">
        <v>61</v>
      </c>
      <c r="L596" s="8">
        <v>1.770727347484E12</v>
      </c>
      <c r="M596" s="9"/>
      <c r="N596" s="10"/>
      <c r="O596" s="10"/>
      <c r="P596" s="10"/>
      <c r="Q596" s="10"/>
      <c r="R596" s="10"/>
      <c r="S596" s="10"/>
      <c r="T596" s="10"/>
      <c r="U596" s="10"/>
      <c r="V596" s="10"/>
    </row>
    <row r="597" ht="22.5" customHeight="1">
      <c r="A597" s="5">
        <v>2.01003659324E11</v>
      </c>
      <c r="B597" s="5" t="s">
        <v>688</v>
      </c>
      <c r="C597" s="5">
        <v>525514273871</v>
      </c>
      <c r="D597" s="5" t="s">
        <v>22</v>
      </c>
      <c r="E597" s="5">
        <v>8.0566583E7</v>
      </c>
      <c r="F597" s="5" t="s">
        <v>28</v>
      </c>
      <c r="G597" s="5" t="s">
        <v>44</v>
      </c>
      <c r="H597" s="5" t="s">
        <v>29</v>
      </c>
      <c r="I597" s="6" t="s">
        <v>17</v>
      </c>
      <c r="J597" s="7" t="s">
        <v>18</v>
      </c>
      <c r="K597" s="7" t="s">
        <v>61</v>
      </c>
      <c r="L597" s="8">
        <v>1.770728257177E12</v>
      </c>
      <c r="M597" s="9"/>
      <c r="N597" s="10"/>
      <c r="O597" s="10"/>
      <c r="P597" s="10"/>
      <c r="Q597" s="10"/>
      <c r="R597" s="10"/>
      <c r="S597" s="10"/>
      <c r="T597" s="10"/>
      <c r="U597" s="10"/>
      <c r="V597" s="10"/>
    </row>
    <row r="598" ht="22.5" customHeight="1">
      <c r="A598" s="5">
        <v>2.00992931457E11</v>
      </c>
      <c r="B598" s="5" t="s">
        <v>689</v>
      </c>
      <c r="C598" s="5">
        <v>51993280506</v>
      </c>
      <c r="D598" s="5" t="s">
        <v>13</v>
      </c>
      <c r="E598" s="5">
        <v>8.7547393E7</v>
      </c>
      <c r="F598" s="5" t="s">
        <v>28</v>
      </c>
      <c r="G598" s="5" t="s">
        <v>15</v>
      </c>
      <c r="H598" s="5" t="s">
        <v>51</v>
      </c>
      <c r="I598" s="6" t="s">
        <v>36</v>
      </c>
      <c r="J598" s="7" t="s">
        <v>18</v>
      </c>
      <c r="K598" s="7" t="s">
        <v>61</v>
      </c>
      <c r="L598" s="8">
        <v>1.77072912182E12</v>
      </c>
      <c r="M598" s="9"/>
      <c r="N598" s="10"/>
      <c r="O598" s="10"/>
      <c r="P598" s="10"/>
      <c r="Q598" s="10"/>
      <c r="R598" s="10"/>
      <c r="S598" s="10"/>
      <c r="T598" s="10"/>
      <c r="U598" s="10"/>
      <c r="V598" s="10"/>
    </row>
    <row r="599" ht="22.5" customHeight="1">
      <c r="A599" s="5">
        <v>2.00990753435E11</v>
      </c>
      <c r="B599" s="5" t="s">
        <v>690</v>
      </c>
      <c r="C599" s="5">
        <v>51988116093</v>
      </c>
      <c r="D599" s="5" t="s">
        <v>38</v>
      </c>
      <c r="E599" s="5">
        <v>8.7547393E7</v>
      </c>
      <c r="F599" s="5" t="s">
        <v>691</v>
      </c>
      <c r="G599" s="5" t="s">
        <v>32</v>
      </c>
      <c r="H599" s="5" t="s">
        <v>51</v>
      </c>
      <c r="I599" s="6" t="s">
        <v>63</v>
      </c>
      <c r="J599" s="7" t="s">
        <v>25</v>
      </c>
      <c r="K599" s="7"/>
      <c r="L599" s="8">
        <v>1.770730291677E12</v>
      </c>
      <c r="M599" s="9"/>
      <c r="N599" s="10"/>
      <c r="O599" s="10"/>
      <c r="P599" s="10"/>
      <c r="Q599" s="10"/>
      <c r="R599" s="10"/>
      <c r="S599" s="10"/>
      <c r="T599" s="10"/>
      <c r="U599" s="10"/>
      <c r="V599" s="10"/>
    </row>
    <row r="600" ht="22.5" customHeight="1">
      <c r="A600" s="5">
        <v>2.01009234869E11</v>
      </c>
      <c r="B600" s="5" t="s">
        <v>692</v>
      </c>
      <c r="C600" s="5">
        <v>51916689084</v>
      </c>
      <c r="D600" s="5" t="s">
        <v>22</v>
      </c>
      <c r="E600" s="5">
        <v>8.7547393E7</v>
      </c>
      <c r="F600" s="5" t="s">
        <v>28</v>
      </c>
      <c r="G600" s="5">
        <v>50</v>
      </c>
      <c r="H600" s="5" t="s">
        <v>80</v>
      </c>
      <c r="I600" s="6" t="s">
        <v>17</v>
      </c>
      <c r="J600" s="7" t="s">
        <v>18</v>
      </c>
      <c r="K600" s="7" t="s">
        <v>61</v>
      </c>
      <c r="L600" s="8">
        <v>1.770730812866E12</v>
      </c>
      <c r="M600" s="9"/>
      <c r="N600" s="10"/>
      <c r="O600" s="10"/>
      <c r="P600" s="10"/>
      <c r="Q600" s="10"/>
      <c r="R600" s="10"/>
      <c r="S600" s="10"/>
      <c r="T600" s="10"/>
      <c r="U600" s="10"/>
      <c r="V600" s="10"/>
    </row>
    <row r="601" ht="22.5" customHeight="1">
      <c r="A601" s="5">
        <v>2.01002631953E11</v>
      </c>
      <c r="B601" s="5" t="s">
        <v>693</v>
      </c>
      <c r="C601" s="5">
        <v>51958954982</v>
      </c>
      <c r="D601" s="5" t="s">
        <v>13</v>
      </c>
      <c r="E601" s="5">
        <v>8.7547393E7</v>
      </c>
      <c r="F601" s="5" t="s">
        <v>28</v>
      </c>
      <c r="G601" s="5" t="s">
        <v>32</v>
      </c>
      <c r="H601" s="5" t="s">
        <v>16</v>
      </c>
      <c r="I601" s="6" t="s">
        <v>17</v>
      </c>
      <c r="J601" s="7" t="s">
        <v>18</v>
      </c>
      <c r="K601" s="7" t="s">
        <v>61</v>
      </c>
      <c r="L601" s="8">
        <v>1.770730815427E12</v>
      </c>
      <c r="M601" s="9"/>
      <c r="N601" s="10"/>
      <c r="O601" s="10"/>
      <c r="P601" s="10"/>
      <c r="Q601" s="10"/>
      <c r="R601" s="10"/>
      <c r="S601" s="10"/>
      <c r="T601" s="10"/>
      <c r="U601" s="10"/>
      <c r="V601" s="10"/>
    </row>
    <row r="602" ht="22.5" customHeight="1">
      <c r="A602" s="5">
        <v>1.98228661262E11</v>
      </c>
      <c r="B602" s="5" t="s">
        <v>694</v>
      </c>
      <c r="C602" s="5">
        <v>573189975933</v>
      </c>
      <c r="D602" s="5" t="s">
        <v>22</v>
      </c>
      <c r="E602" s="5">
        <v>8.0566583E7</v>
      </c>
      <c r="F602" s="5" t="s">
        <v>28</v>
      </c>
      <c r="G602" s="5" t="s">
        <v>44</v>
      </c>
      <c r="H602" s="5" t="s">
        <v>16</v>
      </c>
      <c r="I602" s="6" t="s">
        <v>49</v>
      </c>
      <c r="J602" s="7" t="s">
        <v>34</v>
      </c>
      <c r="K602" s="7"/>
      <c r="L602" s="8">
        <v>1.770732291053E12</v>
      </c>
      <c r="M602" s="9"/>
      <c r="N602" s="10"/>
      <c r="O602" s="10"/>
      <c r="P602" s="10"/>
      <c r="Q602" s="10"/>
      <c r="R602" s="10"/>
      <c r="S602" s="10"/>
      <c r="T602" s="10"/>
      <c r="U602" s="10"/>
      <c r="V602" s="10"/>
    </row>
    <row r="603" ht="22.5" customHeight="1">
      <c r="A603" s="5">
        <v>2.01020896437E11</v>
      </c>
      <c r="B603" s="5" t="s">
        <v>695</v>
      </c>
      <c r="C603" s="5">
        <v>51917988050</v>
      </c>
      <c r="D603" s="5" t="s">
        <v>38</v>
      </c>
      <c r="E603" s="5">
        <v>8.7547393E7</v>
      </c>
      <c r="F603" s="5"/>
      <c r="G603" s="5"/>
      <c r="H603" s="5"/>
      <c r="I603" s="6"/>
      <c r="J603" s="7" t="s">
        <v>18</v>
      </c>
      <c r="K603" s="7" t="s">
        <v>61</v>
      </c>
      <c r="L603" s="8">
        <v>1.770734297412E12</v>
      </c>
      <c r="M603" s="9"/>
      <c r="N603" s="10"/>
      <c r="O603" s="10"/>
      <c r="P603" s="10"/>
      <c r="Q603" s="10"/>
      <c r="R603" s="10"/>
      <c r="S603" s="10"/>
      <c r="T603" s="10"/>
      <c r="U603" s="10"/>
      <c r="V603" s="10"/>
    </row>
    <row r="604" ht="22.5" customHeight="1">
      <c r="A604" s="5">
        <v>1.80249826919E11</v>
      </c>
      <c r="B604" s="5" t="s">
        <v>696</v>
      </c>
      <c r="C604" s="5">
        <v>51979150876</v>
      </c>
      <c r="D604" s="5" t="s">
        <v>13</v>
      </c>
      <c r="E604" s="5">
        <v>8.0566583E7</v>
      </c>
      <c r="F604" s="5" t="s">
        <v>28</v>
      </c>
      <c r="G604" s="5" t="s">
        <v>32</v>
      </c>
      <c r="H604" s="5" t="s">
        <v>69</v>
      </c>
      <c r="I604" s="6" t="s">
        <v>17</v>
      </c>
      <c r="J604" s="7" t="s">
        <v>18</v>
      </c>
      <c r="K604" s="7" t="s">
        <v>61</v>
      </c>
      <c r="L604" s="8">
        <v>1.77073452022E12</v>
      </c>
      <c r="M604" s="9"/>
      <c r="N604" s="10"/>
      <c r="O604" s="10"/>
      <c r="P604" s="10"/>
      <c r="Q604" s="10"/>
      <c r="R604" s="10"/>
      <c r="S604" s="10"/>
      <c r="T604" s="10"/>
      <c r="U604" s="10"/>
      <c r="V604" s="10"/>
    </row>
    <row r="605" ht="22.5" customHeight="1">
      <c r="A605" s="5">
        <v>2.01022869429E11</v>
      </c>
      <c r="B605" s="5" t="s">
        <v>697</v>
      </c>
      <c r="C605" s="5">
        <v>51945377729</v>
      </c>
      <c r="D605" s="5" t="s">
        <v>38</v>
      </c>
      <c r="E605" s="5">
        <v>8.7547393E7</v>
      </c>
      <c r="F605" s="5"/>
      <c r="G605" s="5"/>
      <c r="H605" s="5"/>
      <c r="I605" s="6"/>
      <c r="J605" s="7" t="s">
        <v>18</v>
      </c>
      <c r="K605" s="7" t="s">
        <v>61</v>
      </c>
      <c r="L605" s="8">
        <v>1.77073537482E12</v>
      </c>
      <c r="M605" s="9"/>
      <c r="N605" s="10"/>
      <c r="O605" s="10"/>
      <c r="P605" s="10"/>
      <c r="Q605" s="10"/>
      <c r="R605" s="10"/>
      <c r="S605" s="10"/>
      <c r="T605" s="10"/>
      <c r="U605" s="10"/>
      <c r="V605" s="10"/>
    </row>
    <row r="606" ht="22.5" customHeight="1">
      <c r="A606" s="5">
        <v>2.0102157005E11</v>
      </c>
      <c r="B606" s="5" t="s">
        <v>698</v>
      </c>
      <c r="C606" s="5">
        <v>51963402275</v>
      </c>
      <c r="D606" s="5" t="s">
        <v>22</v>
      </c>
      <c r="E606" s="5">
        <v>8.0566583E7</v>
      </c>
      <c r="F606" s="5" t="s">
        <v>28</v>
      </c>
      <c r="G606" s="5" t="s">
        <v>44</v>
      </c>
      <c r="H606" s="5" t="s">
        <v>24</v>
      </c>
      <c r="I606" s="6" t="s">
        <v>17</v>
      </c>
      <c r="J606" s="7" t="s">
        <v>34</v>
      </c>
      <c r="K606" s="7"/>
      <c r="L606" s="8">
        <v>1.770736053814E12</v>
      </c>
      <c r="M606" s="9"/>
      <c r="N606" s="10"/>
      <c r="O606" s="10"/>
      <c r="P606" s="10"/>
      <c r="Q606" s="10"/>
      <c r="R606" s="10"/>
      <c r="S606" s="10"/>
      <c r="T606" s="10"/>
      <c r="U606" s="10"/>
      <c r="V606" s="10"/>
    </row>
    <row r="607" ht="22.5" customHeight="1">
      <c r="A607" s="5">
        <v>2.01026995802E11</v>
      </c>
      <c r="B607" s="5" t="s">
        <v>699</v>
      </c>
      <c r="C607" s="5">
        <v>5599981264369</v>
      </c>
      <c r="D607" s="5" t="s">
        <v>13</v>
      </c>
      <c r="E607" s="5">
        <v>8.7547393E7</v>
      </c>
      <c r="F607" s="5" t="s">
        <v>28</v>
      </c>
      <c r="G607" s="5" t="s">
        <v>15</v>
      </c>
      <c r="H607" s="5" t="s">
        <v>16</v>
      </c>
      <c r="I607" s="6" t="s">
        <v>17</v>
      </c>
      <c r="J607" s="7" t="s">
        <v>34</v>
      </c>
      <c r="K607" s="7"/>
      <c r="L607" s="8">
        <v>1.770737965326E12</v>
      </c>
      <c r="M607" s="9"/>
      <c r="N607" s="10"/>
      <c r="O607" s="10"/>
      <c r="P607" s="10"/>
      <c r="Q607" s="10"/>
      <c r="R607" s="10"/>
      <c r="S607" s="10"/>
      <c r="T607" s="10"/>
      <c r="U607" s="10"/>
      <c r="V607" s="10"/>
    </row>
    <row r="608" ht="22.5" customHeight="1">
      <c r="A608" s="5">
        <v>2.01075441922E11</v>
      </c>
      <c r="B608" s="5" t="s">
        <v>700</v>
      </c>
      <c r="C608" s="5">
        <v>5585981941343</v>
      </c>
      <c r="D608" s="5" t="s">
        <v>13</v>
      </c>
      <c r="E608" s="5">
        <v>7.9360573E7</v>
      </c>
      <c r="F608" s="5" t="s">
        <v>28</v>
      </c>
      <c r="G608" s="5" t="s">
        <v>15</v>
      </c>
      <c r="H608" s="5" t="s">
        <v>16</v>
      </c>
      <c r="I608" s="6" t="s">
        <v>17</v>
      </c>
      <c r="J608" s="7" t="s">
        <v>34</v>
      </c>
      <c r="K608" s="7"/>
      <c r="L608" s="8">
        <v>1.770738768052E12</v>
      </c>
      <c r="M608" s="9"/>
      <c r="N608" s="10"/>
      <c r="O608" s="10"/>
      <c r="P608" s="10"/>
      <c r="Q608" s="10"/>
      <c r="R608" s="10"/>
      <c r="S608" s="10"/>
      <c r="T608" s="10"/>
      <c r="U608" s="10"/>
      <c r="V608" s="10"/>
    </row>
    <row r="609" ht="22.5" customHeight="1">
      <c r="A609" s="5">
        <v>2.01074871368E11</v>
      </c>
      <c r="B609" s="5" t="s">
        <v>701</v>
      </c>
      <c r="C609" s="5">
        <v>5591989343885</v>
      </c>
      <c r="D609" s="5" t="s">
        <v>22</v>
      </c>
      <c r="E609" s="5">
        <v>7.9360573E7</v>
      </c>
      <c r="F609" s="5" t="s">
        <v>28</v>
      </c>
      <c r="G609" s="5" t="s">
        <v>32</v>
      </c>
      <c r="H609" s="5" t="s">
        <v>53</v>
      </c>
      <c r="I609" s="6" t="s">
        <v>17</v>
      </c>
      <c r="J609" s="7" t="s">
        <v>34</v>
      </c>
      <c r="K609" s="7"/>
      <c r="L609" s="8">
        <v>1.770738906439E12</v>
      </c>
      <c r="M609" s="9"/>
      <c r="N609" s="10"/>
      <c r="O609" s="10"/>
      <c r="P609" s="10"/>
      <c r="Q609" s="10"/>
      <c r="R609" s="10"/>
      <c r="S609" s="10"/>
      <c r="T609" s="10"/>
      <c r="U609" s="10"/>
      <c r="V609" s="10"/>
    </row>
    <row r="610" ht="22.5" customHeight="1">
      <c r="A610" s="5">
        <v>2.00963175781E11</v>
      </c>
      <c r="B610" s="5" t="s">
        <v>702</v>
      </c>
      <c r="C610" s="5">
        <v>526141512018</v>
      </c>
      <c r="D610" s="5" t="s">
        <v>13</v>
      </c>
      <c r="E610" s="5">
        <v>8.0566583E7</v>
      </c>
      <c r="F610" s="5" t="s">
        <v>28</v>
      </c>
      <c r="G610" s="5" t="s">
        <v>15</v>
      </c>
      <c r="H610" s="5" t="s">
        <v>51</v>
      </c>
      <c r="I610" s="6" t="s">
        <v>17</v>
      </c>
      <c r="J610" s="7" t="s">
        <v>124</v>
      </c>
      <c r="K610" s="7" t="s">
        <v>125</v>
      </c>
      <c r="L610" s="8">
        <v>1.770739099144E12</v>
      </c>
      <c r="M610" s="9"/>
      <c r="N610" s="10"/>
      <c r="O610" s="10"/>
      <c r="P610" s="10"/>
      <c r="Q610" s="10"/>
      <c r="R610" s="10"/>
      <c r="S610" s="10"/>
      <c r="T610" s="10"/>
      <c r="U610" s="10"/>
      <c r="V610" s="10"/>
    </row>
    <row r="611" ht="22.5" customHeight="1">
      <c r="A611" s="5">
        <v>2.01074870126E11</v>
      </c>
      <c r="B611" s="5" t="s">
        <v>703</v>
      </c>
      <c r="C611" s="5">
        <v>525619090298</v>
      </c>
      <c r="D611" s="5" t="s">
        <v>103</v>
      </c>
      <c r="E611" s="5">
        <v>8.0566583E7</v>
      </c>
      <c r="F611" s="5" t="s">
        <v>28</v>
      </c>
      <c r="G611" s="5" t="s">
        <v>79</v>
      </c>
      <c r="H611" s="5" t="s">
        <v>24</v>
      </c>
      <c r="I611" s="6" t="s">
        <v>17</v>
      </c>
      <c r="J611" s="7" t="s">
        <v>18</v>
      </c>
      <c r="K611" s="7" t="s">
        <v>61</v>
      </c>
      <c r="L611" s="8">
        <v>1.770739184902E12</v>
      </c>
      <c r="M611" s="9"/>
      <c r="N611" s="10"/>
      <c r="O611" s="10"/>
      <c r="P611" s="10"/>
      <c r="Q611" s="10"/>
      <c r="R611" s="10"/>
      <c r="S611" s="10"/>
      <c r="T611" s="10"/>
      <c r="U611" s="10"/>
      <c r="V611" s="10"/>
    </row>
    <row r="612" ht="22.5" customHeight="1">
      <c r="A612" s="5">
        <v>2.01149271131E11</v>
      </c>
      <c r="B612" s="5" t="s">
        <v>704</v>
      </c>
      <c r="C612" s="5">
        <v>525644163366</v>
      </c>
      <c r="D612" s="5" t="s">
        <v>13</v>
      </c>
      <c r="E612" s="5">
        <v>8.7547393E7</v>
      </c>
      <c r="F612" s="5" t="s">
        <v>28</v>
      </c>
      <c r="G612" s="5" t="s">
        <v>15</v>
      </c>
      <c r="H612" s="5" t="s">
        <v>16</v>
      </c>
      <c r="I612" s="6" t="s">
        <v>17</v>
      </c>
      <c r="J612" s="7" t="s">
        <v>34</v>
      </c>
      <c r="K612" s="7"/>
      <c r="L612" s="8">
        <v>1.770749166595E12</v>
      </c>
      <c r="M612" s="9"/>
      <c r="N612" s="10"/>
      <c r="O612" s="10"/>
      <c r="P612" s="10"/>
      <c r="Q612" s="10"/>
      <c r="R612" s="10"/>
      <c r="S612" s="10"/>
      <c r="T612" s="10"/>
      <c r="U612" s="10"/>
      <c r="V612" s="10"/>
    </row>
    <row r="613" ht="22.5" customHeight="1">
      <c r="A613" s="5">
        <v>1.98189112965E11</v>
      </c>
      <c r="B613" s="5" t="s">
        <v>705</v>
      </c>
      <c r="C613" s="5">
        <v>5511942177673</v>
      </c>
      <c r="D613" s="5" t="s">
        <v>13</v>
      </c>
      <c r="E613" s="5">
        <v>7.9360573E7</v>
      </c>
      <c r="F613" s="5" t="s">
        <v>28</v>
      </c>
      <c r="G613" s="5" t="s">
        <v>15</v>
      </c>
      <c r="H613" s="5" t="s">
        <v>128</v>
      </c>
      <c r="I613" s="6" t="s">
        <v>17</v>
      </c>
      <c r="J613" s="7" t="s">
        <v>34</v>
      </c>
      <c r="K613" s="7"/>
      <c r="L613" s="8">
        <v>1.770753157504E12</v>
      </c>
      <c r="M613" s="9"/>
      <c r="N613" s="10"/>
      <c r="O613" s="10"/>
      <c r="P613" s="10"/>
      <c r="Q613" s="10"/>
      <c r="R613" s="10"/>
      <c r="S613" s="10"/>
      <c r="T613" s="10"/>
      <c r="U613" s="10"/>
      <c r="V613" s="10"/>
    </row>
    <row r="614" ht="22.5" customHeight="1">
      <c r="A614" s="5">
        <v>1.65618221917E11</v>
      </c>
      <c r="B614" s="5" t="s">
        <v>706</v>
      </c>
      <c r="C614" s="5">
        <v>573053348385</v>
      </c>
      <c r="D614" s="5" t="s">
        <v>13</v>
      </c>
      <c r="E614" s="5"/>
      <c r="F614" s="5" t="s">
        <v>82</v>
      </c>
      <c r="G614" s="5" t="s">
        <v>15</v>
      </c>
      <c r="H614" s="5" t="s">
        <v>66</v>
      </c>
      <c r="I614" s="6" t="s">
        <v>49</v>
      </c>
      <c r="J614" s="7" t="s">
        <v>34</v>
      </c>
      <c r="K614" s="7"/>
      <c r="L614" s="8">
        <v>1.770754447872E12</v>
      </c>
      <c r="M614" s="9"/>
      <c r="N614" s="10"/>
      <c r="O614" s="10"/>
      <c r="P614" s="10"/>
      <c r="Q614" s="10"/>
      <c r="R614" s="10"/>
      <c r="S614" s="10"/>
      <c r="T614" s="10"/>
      <c r="U614" s="10"/>
      <c r="V614" s="10"/>
    </row>
    <row r="615" ht="22.5" customHeight="1">
      <c r="A615" s="5">
        <v>1.95260389742E11</v>
      </c>
      <c r="B615" s="5" t="s">
        <v>707</v>
      </c>
      <c r="C615" s="5">
        <v>51973256287</v>
      </c>
      <c r="D615" s="5" t="s">
        <v>13</v>
      </c>
      <c r="E615" s="5">
        <v>8.0566583E7</v>
      </c>
      <c r="F615" s="5" t="s">
        <v>82</v>
      </c>
      <c r="G615" s="5" t="s">
        <v>44</v>
      </c>
      <c r="H615" s="5" t="s">
        <v>55</v>
      </c>
      <c r="I615" s="6" t="s">
        <v>17</v>
      </c>
      <c r="J615" s="7" t="s">
        <v>34</v>
      </c>
      <c r="K615" s="7"/>
      <c r="L615" s="8">
        <v>1.770756902022E12</v>
      </c>
      <c r="M615" s="9"/>
      <c r="N615" s="10"/>
      <c r="O615" s="10"/>
      <c r="P615" s="10"/>
      <c r="Q615" s="10"/>
      <c r="R615" s="10"/>
      <c r="S615" s="10"/>
      <c r="T615" s="10"/>
      <c r="U615" s="10"/>
      <c r="V615" s="10"/>
    </row>
    <row r="616" ht="22.5" customHeight="1">
      <c r="A616" s="5">
        <v>1.77422611825E11</v>
      </c>
      <c r="B616" s="5" t="s">
        <v>708</v>
      </c>
      <c r="C616" s="5">
        <v>5562996495714</v>
      </c>
      <c r="D616" s="5" t="s">
        <v>13</v>
      </c>
      <c r="E616" s="5">
        <v>7.9360573E7</v>
      </c>
      <c r="F616" s="5" t="s">
        <v>259</v>
      </c>
      <c r="G616" s="5" t="s">
        <v>32</v>
      </c>
      <c r="H616" s="5" t="s">
        <v>48</v>
      </c>
      <c r="I616" s="6" t="s">
        <v>148</v>
      </c>
      <c r="J616" s="7" t="s">
        <v>709</v>
      </c>
      <c r="K616" s="7" t="s">
        <v>710</v>
      </c>
      <c r="L616" s="8">
        <v>1.770764499098E12</v>
      </c>
      <c r="M616" s="9"/>
      <c r="N616" s="10"/>
      <c r="O616" s="10"/>
      <c r="P616" s="10"/>
      <c r="Q616" s="10"/>
      <c r="R616" s="10"/>
      <c r="S616" s="10"/>
      <c r="T616" s="10"/>
      <c r="U616" s="10"/>
      <c r="V616" s="10"/>
    </row>
    <row r="617" ht="22.5" customHeight="1">
      <c r="A617" s="5">
        <v>2.01302212955E11</v>
      </c>
      <c r="B617" s="5" t="s">
        <v>711</v>
      </c>
      <c r="C617" s="5">
        <v>5527997220648</v>
      </c>
      <c r="D617" s="5" t="s">
        <v>22</v>
      </c>
      <c r="E617" s="5">
        <v>7.9360573E7</v>
      </c>
      <c r="F617" s="5" t="s">
        <v>39</v>
      </c>
      <c r="G617" s="5" t="s">
        <v>32</v>
      </c>
      <c r="H617" s="5" t="s">
        <v>180</v>
      </c>
      <c r="I617" s="6" t="s">
        <v>89</v>
      </c>
      <c r="J617" s="7" t="s">
        <v>124</v>
      </c>
      <c r="K617" s="7" t="s">
        <v>712</v>
      </c>
      <c r="L617" s="8">
        <v>1.770765245325E12</v>
      </c>
      <c r="M617" s="9"/>
      <c r="N617" s="10"/>
      <c r="O617" s="10"/>
      <c r="P617" s="10"/>
      <c r="Q617" s="10"/>
      <c r="R617" s="10"/>
      <c r="S617" s="10"/>
      <c r="T617" s="10"/>
      <c r="U617" s="10"/>
      <c r="V617" s="10"/>
    </row>
    <row r="618" ht="22.5" customHeight="1">
      <c r="A618" s="5">
        <v>2.01318138461E11</v>
      </c>
      <c r="B618" s="5" t="s">
        <v>713</v>
      </c>
      <c r="C618" s="5">
        <v>5583999713163</v>
      </c>
      <c r="D618" s="5" t="s">
        <v>13</v>
      </c>
      <c r="E618" s="5">
        <v>7.9360573E7</v>
      </c>
      <c r="F618" s="5" t="s">
        <v>714</v>
      </c>
      <c r="G618" s="5" t="s">
        <v>15</v>
      </c>
      <c r="H618" s="5" t="s">
        <v>69</v>
      </c>
      <c r="I618" s="6" t="s">
        <v>17</v>
      </c>
      <c r="J618" s="7" t="s">
        <v>34</v>
      </c>
      <c r="K618" s="7"/>
      <c r="L618" s="8">
        <v>1.770765605711E12</v>
      </c>
      <c r="M618" s="9"/>
      <c r="N618" s="10"/>
      <c r="O618" s="10"/>
      <c r="P618" s="10"/>
      <c r="Q618" s="10"/>
      <c r="R618" s="10"/>
      <c r="S618" s="10"/>
      <c r="T618" s="10"/>
      <c r="U618" s="10"/>
      <c r="V618" s="10"/>
    </row>
    <row r="619" ht="22.5" customHeight="1">
      <c r="A619" s="5">
        <v>2.01344057609E11</v>
      </c>
      <c r="B619" s="5" t="s">
        <v>715</v>
      </c>
      <c r="C619" s="5">
        <v>5535999634765</v>
      </c>
      <c r="D619" s="5" t="s">
        <v>22</v>
      </c>
      <c r="E619" s="5">
        <v>7.9360573E7</v>
      </c>
      <c r="F619" s="5" t="s">
        <v>93</v>
      </c>
      <c r="G619" s="5" t="s">
        <v>44</v>
      </c>
      <c r="H619" s="5" t="s">
        <v>66</v>
      </c>
      <c r="I619" s="6" t="s">
        <v>17</v>
      </c>
      <c r="J619" s="7" t="s">
        <v>34</v>
      </c>
      <c r="K619" s="7"/>
      <c r="L619" s="8">
        <v>1.77076643438E12</v>
      </c>
      <c r="M619" s="9"/>
      <c r="N619" s="10"/>
      <c r="O619" s="10"/>
      <c r="P619" s="10"/>
      <c r="Q619" s="10"/>
      <c r="R619" s="10"/>
      <c r="S619" s="10"/>
      <c r="T619" s="10"/>
      <c r="U619" s="10"/>
      <c r="V619" s="10"/>
    </row>
    <row r="620" ht="22.5" customHeight="1">
      <c r="A620" s="5">
        <v>2.01300894823E11</v>
      </c>
      <c r="B620" s="5" t="s">
        <v>716</v>
      </c>
      <c r="C620" s="5">
        <v>5531986725280</v>
      </c>
      <c r="D620" s="5" t="s">
        <v>38</v>
      </c>
      <c r="E620" s="5">
        <v>7.9360573E7</v>
      </c>
      <c r="F620" s="5"/>
      <c r="G620" s="5"/>
      <c r="H620" s="5"/>
      <c r="I620" s="6"/>
      <c r="J620" s="7" t="s">
        <v>34</v>
      </c>
      <c r="K620" s="7"/>
      <c r="L620" s="8">
        <v>1.770767374126E12</v>
      </c>
      <c r="M620" s="9"/>
      <c r="N620" s="10"/>
      <c r="O620" s="10"/>
      <c r="P620" s="10"/>
      <c r="Q620" s="10"/>
      <c r="R620" s="10"/>
      <c r="S620" s="10"/>
      <c r="T620" s="10"/>
      <c r="U620" s="10"/>
      <c r="V620" s="10"/>
    </row>
    <row r="621" ht="22.5" customHeight="1">
      <c r="A621" s="5">
        <v>2.01318029981E11</v>
      </c>
      <c r="B621" s="5" t="s">
        <v>717</v>
      </c>
      <c r="C621" s="5">
        <v>5527998726927</v>
      </c>
      <c r="D621" s="5" t="s">
        <v>22</v>
      </c>
      <c r="E621" s="5">
        <v>7.9360573E7</v>
      </c>
      <c r="F621" s="5" t="s">
        <v>93</v>
      </c>
      <c r="G621" s="5" t="s">
        <v>44</v>
      </c>
      <c r="H621" s="5" t="s">
        <v>24</v>
      </c>
      <c r="I621" s="6" t="s">
        <v>148</v>
      </c>
      <c r="J621" s="7" t="s">
        <v>124</v>
      </c>
      <c r="K621" s="7" t="s">
        <v>712</v>
      </c>
      <c r="L621" s="8">
        <v>1.770768533279E12</v>
      </c>
      <c r="M621" s="9"/>
      <c r="N621" s="10"/>
      <c r="O621" s="10"/>
      <c r="P621" s="10"/>
      <c r="Q621" s="10"/>
      <c r="R621" s="10"/>
      <c r="S621" s="10"/>
      <c r="T621" s="10"/>
      <c r="U621" s="10"/>
      <c r="V621" s="10"/>
    </row>
    <row r="622" ht="22.5" customHeight="1">
      <c r="A622" s="5">
        <v>1.79841110956E11</v>
      </c>
      <c r="B622" s="5" t="s">
        <v>718</v>
      </c>
      <c r="C622" s="5">
        <v>51907858575</v>
      </c>
      <c r="D622" s="5" t="s">
        <v>22</v>
      </c>
      <c r="E622" s="5">
        <v>8.0566583E7</v>
      </c>
      <c r="F622" s="5" t="s">
        <v>93</v>
      </c>
      <c r="G622" s="5" t="s">
        <v>44</v>
      </c>
      <c r="H622" s="5" t="s">
        <v>24</v>
      </c>
      <c r="I622" s="6" t="s">
        <v>17</v>
      </c>
      <c r="J622" s="7" t="s">
        <v>58</v>
      </c>
      <c r="K622" s="11" t="s">
        <v>59</v>
      </c>
      <c r="L622" s="8">
        <v>1.770768548808E12</v>
      </c>
      <c r="M622" s="9"/>
      <c r="N622" s="10"/>
      <c r="O622" s="10"/>
      <c r="P622" s="10"/>
      <c r="Q622" s="10"/>
      <c r="R622" s="10"/>
      <c r="S622" s="10"/>
      <c r="T622" s="10"/>
      <c r="U622" s="10"/>
      <c r="V622" s="10"/>
    </row>
    <row r="623" ht="22.5" customHeight="1">
      <c r="A623" s="5">
        <v>2.01326742389E11</v>
      </c>
      <c r="B623" s="5" t="s">
        <v>719</v>
      </c>
      <c r="C623" s="5">
        <v>51993499943</v>
      </c>
      <c r="D623" s="5" t="s">
        <v>38</v>
      </c>
      <c r="E623" s="5">
        <v>8.0566583E7</v>
      </c>
      <c r="F623" s="5" t="s">
        <v>28</v>
      </c>
      <c r="G623" s="5" t="s">
        <v>15</v>
      </c>
      <c r="H623" s="5" t="s">
        <v>16</v>
      </c>
      <c r="I623" s="6" t="s">
        <v>63</v>
      </c>
      <c r="J623" s="7" t="s">
        <v>18</v>
      </c>
      <c r="K623" s="7" t="s">
        <v>19</v>
      </c>
      <c r="L623" s="8">
        <v>1.770770107182E12</v>
      </c>
      <c r="M623" s="9"/>
      <c r="N623" s="10"/>
      <c r="O623" s="10"/>
      <c r="P623" s="10"/>
      <c r="Q623" s="10"/>
      <c r="R623" s="10"/>
      <c r="S623" s="10"/>
      <c r="T623" s="10"/>
      <c r="U623" s="10"/>
      <c r="V623" s="10"/>
    </row>
    <row r="624" ht="22.5" customHeight="1">
      <c r="A624" s="5">
        <v>2.01345659004E11</v>
      </c>
      <c r="B624" s="5" t="s">
        <v>720</v>
      </c>
      <c r="C624" s="5">
        <v>51967332833</v>
      </c>
      <c r="D624" s="5" t="s">
        <v>13</v>
      </c>
      <c r="E624" s="5">
        <v>8.7547393E7</v>
      </c>
      <c r="F624" s="5" t="s">
        <v>39</v>
      </c>
      <c r="G624" s="5" t="s">
        <v>15</v>
      </c>
      <c r="H624" s="5" t="s">
        <v>16</v>
      </c>
      <c r="I624" s="6" t="s">
        <v>17</v>
      </c>
      <c r="J624" s="7" t="s">
        <v>18</v>
      </c>
      <c r="K624" s="7" t="s">
        <v>61</v>
      </c>
      <c r="L624" s="8">
        <v>1.770770173223E12</v>
      </c>
      <c r="M624" s="9"/>
      <c r="N624" s="10"/>
      <c r="O624" s="10"/>
      <c r="P624" s="10"/>
      <c r="Q624" s="10"/>
      <c r="R624" s="10"/>
      <c r="S624" s="10"/>
      <c r="T624" s="10"/>
      <c r="U624" s="10"/>
      <c r="V624" s="10"/>
    </row>
    <row r="625" ht="22.5" customHeight="1">
      <c r="A625" s="5">
        <v>2.01347298131E11</v>
      </c>
      <c r="B625" s="5" t="s">
        <v>721</v>
      </c>
      <c r="C625" s="5">
        <v>51906113988</v>
      </c>
      <c r="D625" s="5" t="s">
        <v>13</v>
      </c>
      <c r="E625" s="5">
        <v>8.0566583E7</v>
      </c>
      <c r="F625" s="5" t="s">
        <v>28</v>
      </c>
      <c r="G625" s="5" t="s">
        <v>32</v>
      </c>
      <c r="H625" s="5" t="s">
        <v>66</v>
      </c>
      <c r="I625" s="6" t="s">
        <v>17</v>
      </c>
      <c r="J625" s="7" t="s">
        <v>18</v>
      </c>
      <c r="K625" s="7" t="s">
        <v>61</v>
      </c>
      <c r="L625" s="8">
        <v>1.770771991963E12</v>
      </c>
      <c r="M625" s="9"/>
      <c r="N625" s="10"/>
      <c r="O625" s="10"/>
      <c r="P625" s="10"/>
      <c r="Q625" s="10"/>
      <c r="R625" s="10"/>
      <c r="S625" s="10"/>
      <c r="T625" s="10"/>
      <c r="U625" s="10"/>
      <c r="V625" s="10"/>
    </row>
    <row r="626" ht="22.5" customHeight="1">
      <c r="A626" s="5">
        <v>2.01359308809E11</v>
      </c>
      <c r="B626" s="5" t="s">
        <v>722</v>
      </c>
      <c r="C626" s="5">
        <v>51910954746</v>
      </c>
      <c r="D626" s="5" t="s">
        <v>22</v>
      </c>
      <c r="E626" s="5">
        <v>8.7547393E7</v>
      </c>
      <c r="F626" s="5" t="s">
        <v>39</v>
      </c>
      <c r="G626" s="5" t="s">
        <v>44</v>
      </c>
      <c r="H626" s="5" t="s">
        <v>24</v>
      </c>
      <c r="I626" s="6" t="s">
        <v>49</v>
      </c>
      <c r="J626" s="7" t="s">
        <v>34</v>
      </c>
      <c r="K626" s="7"/>
      <c r="L626" s="8">
        <v>1.770774734786E12</v>
      </c>
      <c r="M626" s="9"/>
      <c r="N626" s="10"/>
      <c r="O626" s="10"/>
      <c r="P626" s="10"/>
      <c r="Q626" s="10"/>
      <c r="R626" s="10"/>
      <c r="S626" s="10"/>
      <c r="T626" s="10"/>
      <c r="U626" s="10"/>
      <c r="V626" s="10"/>
    </row>
    <row r="627" ht="22.5" customHeight="1">
      <c r="A627" s="5">
        <v>2.01359591277E11</v>
      </c>
      <c r="B627" s="5" t="s">
        <v>723</v>
      </c>
      <c r="C627" s="5">
        <v>526622006867</v>
      </c>
      <c r="D627" s="5" t="s">
        <v>38</v>
      </c>
      <c r="E627" s="5">
        <v>8.7547393E7</v>
      </c>
      <c r="F627" s="5"/>
      <c r="G627" s="5"/>
      <c r="H627" s="5"/>
      <c r="I627" s="6"/>
      <c r="J627" s="7" t="s">
        <v>18</v>
      </c>
      <c r="K627" s="7" t="s">
        <v>61</v>
      </c>
      <c r="L627" s="8">
        <v>1.770776128456E12</v>
      </c>
      <c r="M627" s="9"/>
      <c r="N627" s="10"/>
      <c r="O627" s="10"/>
      <c r="P627" s="10"/>
      <c r="Q627" s="10"/>
      <c r="R627" s="10"/>
      <c r="S627" s="10"/>
      <c r="T627" s="10"/>
      <c r="U627" s="10"/>
      <c r="V627" s="10"/>
    </row>
    <row r="628" ht="22.5" customHeight="1">
      <c r="A628" s="5">
        <v>2.01328935704E11</v>
      </c>
      <c r="B628" s="5" t="s">
        <v>724</v>
      </c>
      <c r="C628" s="5">
        <v>51946658707</v>
      </c>
      <c r="D628" s="5" t="s">
        <v>13</v>
      </c>
      <c r="E628" s="5">
        <v>8.0566583E7</v>
      </c>
      <c r="F628" s="5" t="s">
        <v>28</v>
      </c>
      <c r="G628" s="5" t="s">
        <v>32</v>
      </c>
      <c r="H628" s="5" t="s">
        <v>69</v>
      </c>
      <c r="I628" s="6" t="s">
        <v>17</v>
      </c>
      <c r="J628" s="7" t="s">
        <v>18</v>
      </c>
      <c r="K628" s="7" t="s">
        <v>61</v>
      </c>
      <c r="L628" s="8">
        <v>1.770776927046E12</v>
      </c>
      <c r="M628" s="9"/>
      <c r="N628" s="10"/>
      <c r="O628" s="10"/>
      <c r="P628" s="10"/>
      <c r="Q628" s="10"/>
      <c r="R628" s="10"/>
      <c r="S628" s="10"/>
      <c r="T628" s="10"/>
      <c r="U628" s="10"/>
      <c r="V628" s="10"/>
    </row>
    <row r="629" ht="22.5" customHeight="1">
      <c r="A629" s="5">
        <v>2.01371947664E11</v>
      </c>
      <c r="B629" s="5" t="s">
        <v>725</v>
      </c>
      <c r="C629" s="5">
        <v>526866063511</v>
      </c>
      <c r="D629" s="5" t="s">
        <v>38</v>
      </c>
      <c r="E629" s="5">
        <v>8.0566583E7</v>
      </c>
      <c r="F629" s="5"/>
      <c r="G629" s="5"/>
      <c r="H629" s="5"/>
      <c r="I629" s="6"/>
      <c r="J629" s="7" t="s">
        <v>18</v>
      </c>
      <c r="K629" s="7" t="s">
        <v>61</v>
      </c>
      <c r="L629" s="8">
        <v>1.770779834764E12</v>
      </c>
      <c r="M629" s="9"/>
      <c r="N629" s="10"/>
      <c r="O629" s="10"/>
      <c r="P629" s="10"/>
      <c r="Q629" s="10"/>
      <c r="R629" s="10"/>
      <c r="S629" s="10"/>
      <c r="T629" s="10"/>
      <c r="U629" s="10"/>
      <c r="V629" s="10"/>
    </row>
    <row r="630" ht="22.5" customHeight="1">
      <c r="A630" s="5">
        <v>2.01374289584E11</v>
      </c>
      <c r="B630" s="5" t="s">
        <v>726</v>
      </c>
      <c r="C630" s="5">
        <v>51981440343</v>
      </c>
      <c r="D630" s="5" t="s">
        <v>38</v>
      </c>
      <c r="E630" s="5">
        <v>8.0566583E7</v>
      </c>
      <c r="F630" s="5"/>
      <c r="G630" s="5"/>
      <c r="H630" s="5"/>
      <c r="I630" s="6"/>
      <c r="J630" s="7" t="s">
        <v>25</v>
      </c>
      <c r="K630" s="7" t="s">
        <v>26</v>
      </c>
      <c r="L630" s="8">
        <v>1.770780058963E12</v>
      </c>
      <c r="M630" s="9"/>
      <c r="N630" s="10"/>
      <c r="O630" s="10"/>
      <c r="P630" s="10"/>
      <c r="Q630" s="10"/>
      <c r="R630" s="10"/>
      <c r="S630" s="10"/>
      <c r="T630" s="10"/>
      <c r="U630" s="10"/>
      <c r="V630" s="10"/>
    </row>
    <row r="631" ht="22.5" customHeight="1">
      <c r="A631" s="5">
        <v>2.01385157892E11</v>
      </c>
      <c r="B631" s="5" t="s">
        <v>727</v>
      </c>
      <c r="C631" s="5">
        <v>51959781385</v>
      </c>
      <c r="D631" s="5" t="s">
        <v>22</v>
      </c>
      <c r="E631" s="5">
        <v>8.0566583E7</v>
      </c>
      <c r="F631" s="5" t="s">
        <v>28</v>
      </c>
      <c r="G631" s="5" t="s">
        <v>44</v>
      </c>
      <c r="H631" s="5" t="s">
        <v>80</v>
      </c>
      <c r="I631" s="6" t="s">
        <v>17</v>
      </c>
      <c r="J631" s="7" t="s">
        <v>18</v>
      </c>
      <c r="K631" s="7" t="s">
        <v>116</v>
      </c>
      <c r="L631" s="8">
        <v>1.770783119873E12</v>
      </c>
      <c r="M631" s="9"/>
      <c r="N631" s="10"/>
      <c r="O631" s="10"/>
      <c r="P631" s="10"/>
      <c r="Q631" s="10"/>
      <c r="R631" s="10"/>
      <c r="S631" s="10"/>
      <c r="T631" s="10"/>
      <c r="U631" s="10"/>
      <c r="V631" s="10"/>
    </row>
    <row r="632" ht="22.5" customHeight="1">
      <c r="A632" s="5">
        <v>2.01381546345E11</v>
      </c>
      <c r="B632" s="5" t="s">
        <v>728</v>
      </c>
      <c r="C632" s="5">
        <v>523310680476</v>
      </c>
      <c r="D632" s="5" t="s">
        <v>13</v>
      </c>
      <c r="E632" s="5">
        <v>8.0566583E7</v>
      </c>
      <c r="F632" s="5" t="s">
        <v>259</v>
      </c>
      <c r="G632" s="5" t="s">
        <v>15</v>
      </c>
      <c r="H632" s="5" t="s">
        <v>66</v>
      </c>
      <c r="I632" s="6" t="s">
        <v>17</v>
      </c>
      <c r="J632" s="7" t="s">
        <v>18</v>
      </c>
      <c r="K632" s="7" t="s">
        <v>61</v>
      </c>
      <c r="L632" s="8">
        <v>1.770785236185E12</v>
      </c>
      <c r="M632" s="9"/>
      <c r="N632" s="10"/>
      <c r="O632" s="10"/>
      <c r="P632" s="10"/>
      <c r="Q632" s="10"/>
      <c r="R632" s="10"/>
      <c r="S632" s="10"/>
      <c r="T632" s="10"/>
      <c r="U632" s="10"/>
      <c r="V632" s="10"/>
    </row>
    <row r="633" ht="22.5" customHeight="1">
      <c r="A633" s="5">
        <v>2.01385463697E11</v>
      </c>
      <c r="B633" s="5" t="s">
        <v>729</v>
      </c>
      <c r="C633" s="5">
        <v>51923395615</v>
      </c>
      <c r="D633" s="5" t="s">
        <v>13</v>
      </c>
      <c r="E633" s="5">
        <v>8.7547393E7</v>
      </c>
      <c r="F633" s="5" t="s">
        <v>39</v>
      </c>
      <c r="G633" s="5" t="s">
        <v>15</v>
      </c>
      <c r="H633" s="5" t="s">
        <v>51</v>
      </c>
      <c r="I633" s="6" t="s">
        <v>17</v>
      </c>
      <c r="J633" s="7" t="s">
        <v>18</v>
      </c>
      <c r="K633" s="7" t="s">
        <v>116</v>
      </c>
      <c r="L633" s="8">
        <v>1.770785685209E12</v>
      </c>
      <c r="M633" s="9"/>
      <c r="N633" s="10"/>
      <c r="O633" s="10"/>
      <c r="P633" s="10"/>
      <c r="Q633" s="10"/>
      <c r="R633" s="10"/>
      <c r="S633" s="10"/>
      <c r="T633" s="10"/>
      <c r="U633" s="10"/>
      <c r="V633" s="10"/>
    </row>
    <row r="634" ht="22.5" customHeight="1">
      <c r="A634" s="5">
        <v>2.01383034035E11</v>
      </c>
      <c r="B634" s="5" t="s">
        <v>730</v>
      </c>
      <c r="C634" s="5">
        <v>51994617198</v>
      </c>
      <c r="D634" s="5" t="s">
        <v>13</v>
      </c>
      <c r="E634" s="5">
        <v>8.0566583E7</v>
      </c>
      <c r="F634" s="5" t="s">
        <v>39</v>
      </c>
      <c r="G634" s="5" t="s">
        <v>15</v>
      </c>
      <c r="H634" s="5" t="s">
        <v>51</v>
      </c>
      <c r="I634" s="6" t="s">
        <v>17</v>
      </c>
      <c r="J634" s="7" t="s">
        <v>18</v>
      </c>
      <c r="K634" s="7" t="s">
        <v>61</v>
      </c>
      <c r="L634" s="8">
        <v>1.770786598216E12</v>
      </c>
      <c r="M634" s="9"/>
      <c r="N634" s="10"/>
      <c r="O634" s="10"/>
      <c r="P634" s="10"/>
      <c r="Q634" s="10"/>
      <c r="R634" s="10"/>
      <c r="S634" s="10"/>
      <c r="T634" s="10"/>
      <c r="U634" s="10"/>
      <c r="V634" s="10"/>
    </row>
    <row r="635" ht="22.5" customHeight="1">
      <c r="A635" s="5">
        <v>2.01368213398E11</v>
      </c>
      <c r="B635" s="5" t="s">
        <v>731</v>
      </c>
      <c r="C635" s="5">
        <v>526441970846</v>
      </c>
      <c r="D635" s="5" t="s">
        <v>13</v>
      </c>
      <c r="E635" s="5">
        <v>8.7547393E7</v>
      </c>
      <c r="F635" s="5" t="s">
        <v>28</v>
      </c>
      <c r="G635" s="5" t="s">
        <v>15</v>
      </c>
      <c r="H635" s="5" t="s">
        <v>51</v>
      </c>
      <c r="I635" s="6" t="s">
        <v>63</v>
      </c>
      <c r="J635" s="7" t="s">
        <v>18</v>
      </c>
      <c r="K635" s="7" t="s">
        <v>61</v>
      </c>
      <c r="L635" s="8">
        <v>1.770786606401E12</v>
      </c>
      <c r="M635" s="9"/>
      <c r="N635" s="10"/>
      <c r="O635" s="10"/>
      <c r="P635" s="10"/>
      <c r="Q635" s="10"/>
      <c r="R635" s="10"/>
      <c r="S635" s="10"/>
      <c r="T635" s="10"/>
      <c r="U635" s="10"/>
      <c r="V635" s="10"/>
    </row>
    <row r="636" ht="22.5" customHeight="1">
      <c r="A636" s="5">
        <v>2.01365701748E11</v>
      </c>
      <c r="B636" s="5" t="s">
        <v>732</v>
      </c>
      <c r="C636" s="5">
        <v>51968796677</v>
      </c>
      <c r="D636" s="5" t="s">
        <v>13</v>
      </c>
      <c r="E636" s="5">
        <v>8.7547393E7</v>
      </c>
      <c r="F636" s="5" t="s">
        <v>14</v>
      </c>
      <c r="G636" s="5" t="s">
        <v>15</v>
      </c>
      <c r="H636" s="5" t="s">
        <v>239</v>
      </c>
      <c r="I636" s="6" t="s">
        <v>17</v>
      </c>
      <c r="J636" s="7" t="s">
        <v>18</v>
      </c>
      <c r="K636" s="7" t="s">
        <v>61</v>
      </c>
      <c r="L636" s="8">
        <v>1.770787779098E12</v>
      </c>
      <c r="M636" s="9"/>
      <c r="N636" s="10"/>
      <c r="O636" s="10"/>
      <c r="P636" s="10"/>
      <c r="Q636" s="10"/>
      <c r="R636" s="10"/>
      <c r="S636" s="10"/>
      <c r="T636" s="10"/>
      <c r="U636" s="10"/>
      <c r="V636" s="10"/>
    </row>
    <row r="637" ht="22.5" customHeight="1">
      <c r="A637" s="5">
        <v>2.01384925959E11</v>
      </c>
      <c r="B637" s="5" t="s">
        <v>733</v>
      </c>
      <c r="C637" s="5">
        <v>522271537766</v>
      </c>
      <c r="D637" s="5" t="s">
        <v>13</v>
      </c>
      <c r="E637" s="5">
        <v>8.7547393E7</v>
      </c>
      <c r="F637" s="5" t="s">
        <v>510</v>
      </c>
      <c r="G637" s="5" t="s">
        <v>15</v>
      </c>
      <c r="H637" s="5" t="s">
        <v>29</v>
      </c>
      <c r="I637" s="6" t="s">
        <v>17</v>
      </c>
      <c r="J637" s="7" t="s">
        <v>18</v>
      </c>
      <c r="K637" s="7" t="s">
        <v>61</v>
      </c>
      <c r="L637" s="8">
        <v>1.77078817697E12</v>
      </c>
      <c r="M637" s="9"/>
      <c r="N637" s="10"/>
      <c r="O637" s="10"/>
      <c r="P637" s="10"/>
      <c r="Q637" s="10"/>
      <c r="R637" s="10"/>
      <c r="S637" s="10"/>
      <c r="T637" s="10"/>
      <c r="U637" s="10"/>
      <c r="V637" s="10"/>
    </row>
    <row r="638" ht="22.5" customHeight="1">
      <c r="A638" s="5">
        <v>2.01388533079E11</v>
      </c>
      <c r="B638" s="5" t="s">
        <v>734</v>
      </c>
      <c r="C638" s="5">
        <v>527298269196</v>
      </c>
      <c r="D638" s="5" t="s">
        <v>13</v>
      </c>
      <c r="E638" s="5">
        <v>8.0566583E7</v>
      </c>
      <c r="F638" s="5" t="s">
        <v>65</v>
      </c>
      <c r="G638" s="5" t="s">
        <v>32</v>
      </c>
      <c r="H638" s="5" t="s">
        <v>24</v>
      </c>
      <c r="I638" s="6"/>
      <c r="J638" s="7" t="s">
        <v>18</v>
      </c>
      <c r="K638" s="7" t="s">
        <v>61</v>
      </c>
      <c r="L638" s="8">
        <v>1.770788694934E12</v>
      </c>
      <c r="M638" s="9"/>
      <c r="N638" s="10"/>
      <c r="O638" s="10"/>
      <c r="P638" s="10"/>
      <c r="Q638" s="10"/>
      <c r="R638" s="10"/>
      <c r="S638" s="10"/>
      <c r="T638" s="10"/>
      <c r="U638" s="10"/>
      <c r="V638" s="10"/>
    </row>
    <row r="639" ht="22.5" customHeight="1">
      <c r="A639" s="5">
        <v>2.0136830324E11</v>
      </c>
      <c r="B639" s="5" t="s">
        <v>735</v>
      </c>
      <c r="C639" s="5">
        <v>51994025829</v>
      </c>
      <c r="D639" s="5" t="s">
        <v>13</v>
      </c>
      <c r="E639" s="5">
        <v>8.7547393E7</v>
      </c>
      <c r="F639" s="5" t="s">
        <v>259</v>
      </c>
      <c r="G639" s="5" t="s">
        <v>15</v>
      </c>
      <c r="H639" s="5" t="s">
        <v>51</v>
      </c>
      <c r="I639" s="6" t="s">
        <v>17</v>
      </c>
      <c r="J639" s="7" t="s">
        <v>18</v>
      </c>
      <c r="K639" s="7" t="s">
        <v>61</v>
      </c>
      <c r="L639" s="8">
        <v>1.770789190696E12</v>
      </c>
      <c r="M639" s="9"/>
      <c r="N639" s="10"/>
      <c r="O639" s="10"/>
      <c r="P639" s="10"/>
      <c r="Q639" s="10"/>
      <c r="R639" s="10"/>
      <c r="S639" s="10"/>
      <c r="T639" s="10"/>
      <c r="U639" s="10"/>
      <c r="V639" s="10"/>
    </row>
    <row r="640" ht="22.5" customHeight="1">
      <c r="A640" s="5">
        <v>2.01387107611E11</v>
      </c>
      <c r="B640" s="5" t="s">
        <v>736</v>
      </c>
      <c r="C640" s="5">
        <v>522284049387</v>
      </c>
      <c r="D640" s="5" t="s">
        <v>13</v>
      </c>
      <c r="E640" s="5">
        <v>8.0566583E7</v>
      </c>
      <c r="F640" s="5" t="s">
        <v>65</v>
      </c>
      <c r="G640" s="5" t="s">
        <v>32</v>
      </c>
      <c r="H640" s="5" t="s">
        <v>24</v>
      </c>
      <c r="I640" s="6" t="s">
        <v>17</v>
      </c>
      <c r="J640" s="7" t="s">
        <v>18</v>
      </c>
      <c r="K640" s="7" t="s">
        <v>61</v>
      </c>
      <c r="L640" s="8">
        <v>1.770789883743E12</v>
      </c>
      <c r="M640" s="9"/>
      <c r="N640" s="10"/>
      <c r="O640" s="10"/>
      <c r="P640" s="10"/>
      <c r="Q640" s="10"/>
      <c r="R640" s="10"/>
      <c r="S640" s="10"/>
      <c r="T640" s="10"/>
      <c r="U640" s="10"/>
      <c r="V640" s="10"/>
    </row>
    <row r="641" ht="22.5" customHeight="1">
      <c r="A641" s="5">
        <v>2.01389448498E11</v>
      </c>
      <c r="B641" s="5" t="s">
        <v>737</v>
      </c>
      <c r="C641" s="5">
        <v>51948717275</v>
      </c>
      <c r="D641" s="5" t="s">
        <v>13</v>
      </c>
      <c r="E641" s="5">
        <v>8.7547393E7</v>
      </c>
      <c r="F641" s="5" t="s">
        <v>259</v>
      </c>
      <c r="G641" s="5" t="s">
        <v>15</v>
      </c>
      <c r="H641" s="5" t="s">
        <v>51</v>
      </c>
      <c r="I641" s="6" t="s">
        <v>17</v>
      </c>
      <c r="J641" s="7" t="s">
        <v>18</v>
      </c>
      <c r="K641" s="7" t="s">
        <v>61</v>
      </c>
      <c r="L641" s="8">
        <v>1.770790241746E12</v>
      </c>
      <c r="M641" s="9"/>
      <c r="N641" s="10"/>
      <c r="O641" s="10"/>
      <c r="P641" s="10"/>
      <c r="Q641" s="10"/>
      <c r="R641" s="10"/>
      <c r="S641" s="10"/>
      <c r="T641" s="10"/>
      <c r="U641" s="10"/>
      <c r="V641" s="10"/>
    </row>
    <row r="642" ht="22.5" customHeight="1">
      <c r="A642" s="5">
        <v>2.01398316684E11</v>
      </c>
      <c r="B642" s="5" t="s">
        <v>738</v>
      </c>
      <c r="C642" s="5">
        <v>523334170704</v>
      </c>
      <c r="D642" s="5" t="s">
        <v>22</v>
      </c>
      <c r="E642" s="5">
        <v>8.0566583E7</v>
      </c>
      <c r="F642" s="5" t="s">
        <v>714</v>
      </c>
      <c r="G642" s="5" t="s">
        <v>44</v>
      </c>
      <c r="H642" s="5" t="s">
        <v>16</v>
      </c>
      <c r="I642" s="6" t="s">
        <v>17</v>
      </c>
      <c r="J642" s="7" t="s">
        <v>34</v>
      </c>
      <c r="K642" s="7"/>
      <c r="L642" s="8">
        <v>1.770790334239E12</v>
      </c>
      <c r="M642" s="9"/>
      <c r="N642" s="10"/>
      <c r="O642" s="10"/>
      <c r="P642" s="10"/>
      <c r="Q642" s="10"/>
      <c r="R642" s="10"/>
      <c r="S642" s="10"/>
      <c r="T642" s="10"/>
      <c r="U642" s="10"/>
      <c r="V642" s="10"/>
    </row>
    <row r="643" ht="22.5" customHeight="1">
      <c r="A643" s="5">
        <v>2.01387107611E11</v>
      </c>
      <c r="B643" s="5" t="s">
        <v>736</v>
      </c>
      <c r="C643" s="5">
        <v>522284049387</v>
      </c>
      <c r="D643" s="5" t="s">
        <v>13</v>
      </c>
      <c r="E643" s="5">
        <v>8.0566583E7</v>
      </c>
      <c r="F643" s="5" t="s">
        <v>65</v>
      </c>
      <c r="G643" s="5" t="s">
        <v>32</v>
      </c>
      <c r="H643" s="5" t="s">
        <v>24</v>
      </c>
      <c r="I643" s="6" t="s">
        <v>17</v>
      </c>
      <c r="J643" s="7" t="s">
        <v>34</v>
      </c>
      <c r="K643" s="7"/>
      <c r="L643" s="8">
        <v>1.770791926983E12</v>
      </c>
      <c r="M643" s="9"/>
      <c r="N643" s="10"/>
      <c r="O643" s="10"/>
      <c r="P643" s="10"/>
      <c r="Q643" s="10"/>
      <c r="R643" s="10"/>
      <c r="S643" s="10"/>
      <c r="T643" s="10"/>
      <c r="U643" s="10"/>
      <c r="V643" s="10"/>
    </row>
    <row r="644" ht="22.5" customHeight="1">
      <c r="A644" s="5">
        <v>2.01388320142E11</v>
      </c>
      <c r="B644" s="5" t="s">
        <v>739</v>
      </c>
      <c r="C644" s="5">
        <v>51980179348</v>
      </c>
      <c r="D644" s="5" t="s">
        <v>13</v>
      </c>
      <c r="E644" s="5">
        <v>8.7547393E7</v>
      </c>
      <c r="F644" s="5" t="s">
        <v>259</v>
      </c>
      <c r="G644" s="5" t="s">
        <v>15</v>
      </c>
      <c r="H644" s="5" t="s">
        <v>66</v>
      </c>
      <c r="I644" s="6" t="s">
        <v>17</v>
      </c>
      <c r="J644" s="7" t="s">
        <v>124</v>
      </c>
      <c r="K644" s="7" t="s">
        <v>125</v>
      </c>
      <c r="L644" s="8">
        <v>1.770793004075E12</v>
      </c>
      <c r="M644" s="9"/>
      <c r="N644" s="10"/>
      <c r="O644" s="10"/>
      <c r="P644" s="10"/>
      <c r="Q644" s="10"/>
      <c r="R644" s="10"/>
      <c r="S644" s="10"/>
      <c r="T644" s="10"/>
      <c r="U644" s="10"/>
      <c r="V644" s="10"/>
    </row>
    <row r="645" ht="22.5" customHeight="1">
      <c r="A645" s="5">
        <v>2.01401807277E11</v>
      </c>
      <c r="B645" s="5" t="s">
        <v>740</v>
      </c>
      <c r="C645" s="5">
        <v>526563131331</v>
      </c>
      <c r="D645" s="5" t="s">
        <v>13</v>
      </c>
      <c r="E645" s="5">
        <v>8.7547393E7</v>
      </c>
      <c r="F645" s="5" t="s">
        <v>714</v>
      </c>
      <c r="G645" s="5" t="s">
        <v>15</v>
      </c>
      <c r="H645" s="5" t="s">
        <v>66</v>
      </c>
      <c r="I645" s="6" t="s">
        <v>36</v>
      </c>
      <c r="J645" s="7" t="s">
        <v>34</v>
      </c>
      <c r="K645" s="7"/>
      <c r="L645" s="8">
        <v>1.770793297484E12</v>
      </c>
      <c r="M645" s="9"/>
      <c r="N645" s="10"/>
      <c r="O645" s="10"/>
      <c r="P645" s="10"/>
      <c r="Q645" s="10"/>
      <c r="R645" s="10"/>
      <c r="S645" s="10"/>
      <c r="T645" s="10"/>
      <c r="U645" s="10"/>
      <c r="V645" s="10"/>
    </row>
    <row r="646" ht="22.5" customHeight="1">
      <c r="A646" s="5">
        <v>1.68387417256E11</v>
      </c>
      <c r="B646" s="5" t="s">
        <v>741</v>
      </c>
      <c r="C646" s="5">
        <v>51966630358</v>
      </c>
      <c r="D646" s="5" t="s">
        <v>13</v>
      </c>
      <c r="E646" s="5">
        <v>8.0566583E7</v>
      </c>
      <c r="F646" s="5" t="s">
        <v>28</v>
      </c>
      <c r="G646" s="5" t="s">
        <v>15</v>
      </c>
      <c r="H646" s="5" t="s">
        <v>40</v>
      </c>
      <c r="I646" s="6" t="s">
        <v>17</v>
      </c>
      <c r="J646" s="7" t="s">
        <v>18</v>
      </c>
      <c r="K646" s="7" t="s">
        <v>61</v>
      </c>
      <c r="L646" s="8">
        <v>1.770793969281E12</v>
      </c>
      <c r="M646" s="9"/>
      <c r="N646" s="10"/>
      <c r="O646" s="10"/>
      <c r="P646" s="10"/>
      <c r="Q646" s="10"/>
      <c r="R646" s="10"/>
      <c r="S646" s="10"/>
      <c r="T646" s="10"/>
      <c r="U646" s="10"/>
      <c r="V646" s="10"/>
    </row>
    <row r="647" ht="22.5" customHeight="1">
      <c r="A647" s="5">
        <v>2.01392628631E11</v>
      </c>
      <c r="B647" s="5" t="s">
        <v>742</v>
      </c>
      <c r="C647" s="5">
        <v>529621357552</v>
      </c>
      <c r="D647" s="5" t="s">
        <v>38</v>
      </c>
      <c r="E647" s="5">
        <v>8.0566583E7</v>
      </c>
      <c r="F647" s="5"/>
      <c r="G647" s="5"/>
      <c r="H647" s="5"/>
      <c r="I647" s="6"/>
      <c r="J647" s="7" t="s">
        <v>18</v>
      </c>
      <c r="K647" s="7" t="s">
        <v>61</v>
      </c>
      <c r="L647" s="8">
        <v>1.770796891329E12</v>
      </c>
      <c r="M647" s="9"/>
      <c r="N647" s="10"/>
      <c r="O647" s="10"/>
      <c r="P647" s="10"/>
      <c r="Q647" s="10"/>
      <c r="R647" s="10"/>
      <c r="S647" s="10"/>
      <c r="T647" s="10"/>
      <c r="U647" s="10"/>
      <c r="V647" s="10"/>
    </row>
    <row r="648" ht="22.5" customHeight="1">
      <c r="A648" s="5">
        <v>1.63996437283E11</v>
      </c>
      <c r="B648" s="5" t="s">
        <v>743</v>
      </c>
      <c r="C648" s="5">
        <v>51998709110</v>
      </c>
      <c r="D648" s="5" t="s">
        <v>13</v>
      </c>
      <c r="E648" s="5"/>
      <c r="F648" s="5" t="s">
        <v>259</v>
      </c>
      <c r="G648" s="5" t="s">
        <v>32</v>
      </c>
      <c r="H648" s="5" t="s">
        <v>24</v>
      </c>
      <c r="I648" s="6" t="s">
        <v>17</v>
      </c>
      <c r="J648" s="7" t="s">
        <v>58</v>
      </c>
      <c r="K648" s="11" t="s">
        <v>59</v>
      </c>
      <c r="L648" s="8">
        <v>1.770796966087E12</v>
      </c>
      <c r="M648" s="9"/>
      <c r="N648" s="10"/>
      <c r="O648" s="10"/>
      <c r="P648" s="10"/>
      <c r="Q648" s="10"/>
      <c r="R648" s="10"/>
      <c r="S648" s="10"/>
      <c r="T648" s="10"/>
      <c r="U648" s="10"/>
      <c r="V648" s="10"/>
    </row>
    <row r="649" ht="22.5" customHeight="1">
      <c r="A649" s="5">
        <v>2.01395870507E11</v>
      </c>
      <c r="B649" s="5" t="s">
        <v>744</v>
      </c>
      <c r="C649" s="5">
        <v>51938392779</v>
      </c>
      <c r="D649" s="5" t="s">
        <v>13</v>
      </c>
      <c r="E649" s="5">
        <v>8.0566583E7</v>
      </c>
      <c r="F649" s="5" t="s">
        <v>39</v>
      </c>
      <c r="G649" s="5" t="s">
        <v>15</v>
      </c>
      <c r="H649" s="5" t="s">
        <v>51</v>
      </c>
      <c r="I649" s="6" t="s">
        <v>17</v>
      </c>
      <c r="J649" s="7" t="s">
        <v>18</v>
      </c>
      <c r="K649" s="7" t="s">
        <v>61</v>
      </c>
      <c r="L649" s="8">
        <v>1.770799277474E12</v>
      </c>
      <c r="M649" s="9"/>
      <c r="N649" s="10"/>
      <c r="O649" s="10"/>
      <c r="P649" s="10"/>
      <c r="Q649" s="10"/>
      <c r="R649" s="10"/>
      <c r="S649" s="10"/>
      <c r="T649" s="10"/>
      <c r="U649" s="10"/>
      <c r="V649" s="10"/>
    </row>
    <row r="650" ht="22.5" customHeight="1">
      <c r="A650" s="5">
        <v>1.86913472171E11</v>
      </c>
      <c r="B650" s="5" t="s">
        <v>745</v>
      </c>
      <c r="C650" s="5">
        <v>51985651160</v>
      </c>
      <c r="D650" s="5" t="s">
        <v>13</v>
      </c>
      <c r="E650" s="5">
        <v>8.7547393E7</v>
      </c>
      <c r="F650" s="5" t="s">
        <v>259</v>
      </c>
      <c r="G650" s="5" t="s">
        <v>32</v>
      </c>
      <c r="H650" s="5" t="s">
        <v>24</v>
      </c>
      <c r="I650" s="6" t="s">
        <v>17</v>
      </c>
      <c r="J650" s="7" t="s">
        <v>18</v>
      </c>
      <c r="K650" s="7" t="s">
        <v>746</v>
      </c>
      <c r="L650" s="8">
        <v>1.770799769299E12</v>
      </c>
      <c r="M650" s="9"/>
      <c r="N650" s="10"/>
      <c r="O650" s="10"/>
      <c r="P650" s="10"/>
      <c r="Q650" s="10"/>
      <c r="R650" s="10"/>
      <c r="S650" s="10"/>
      <c r="T650" s="10"/>
      <c r="U650" s="10"/>
      <c r="V650" s="10"/>
    </row>
    <row r="651" ht="22.5" customHeight="1">
      <c r="A651" s="5">
        <v>2.01397025805E11</v>
      </c>
      <c r="B651" s="5" t="s">
        <v>747</v>
      </c>
      <c r="C651" s="5">
        <v>524464044521</v>
      </c>
      <c r="D651" s="5" t="s">
        <v>13</v>
      </c>
      <c r="E651" s="5">
        <v>8.7547393E7</v>
      </c>
      <c r="F651" s="5" t="s">
        <v>28</v>
      </c>
      <c r="G651" s="5" t="s">
        <v>32</v>
      </c>
      <c r="H651" s="5" t="s">
        <v>16</v>
      </c>
      <c r="I651" s="6" t="s">
        <v>17</v>
      </c>
      <c r="J651" s="7" t="s">
        <v>18</v>
      </c>
      <c r="K651" s="7" t="s">
        <v>61</v>
      </c>
      <c r="L651" s="8">
        <v>1.770804333945E12</v>
      </c>
      <c r="M651" s="9"/>
      <c r="N651" s="10"/>
      <c r="O651" s="10"/>
      <c r="P651" s="10"/>
      <c r="Q651" s="10"/>
      <c r="R651" s="10"/>
      <c r="S651" s="10"/>
      <c r="T651" s="10"/>
      <c r="U651" s="10"/>
      <c r="V651" s="10"/>
    </row>
    <row r="652" ht="22.5" customHeight="1">
      <c r="A652" s="5">
        <v>2.01404744249E11</v>
      </c>
      <c r="B652" s="5" t="s">
        <v>748</v>
      </c>
      <c r="C652" s="5">
        <v>51931531131</v>
      </c>
      <c r="D652" s="5" t="s">
        <v>13</v>
      </c>
      <c r="E652" s="5">
        <v>8.0566583E7</v>
      </c>
      <c r="F652" s="5" t="s">
        <v>714</v>
      </c>
      <c r="G652" s="5" t="s">
        <v>15</v>
      </c>
      <c r="H652" s="5" t="s">
        <v>51</v>
      </c>
      <c r="I652" s="6" t="s">
        <v>17</v>
      </c>
      <c r="J652" s="7" t="s">
        <v>18</v>
      </c>
      <c r="K652" s="7" t="s">
        <v>61</v>
      </c>
      <c r="L652" s="8">
        <v>1.770804986194E12</v>
      </c>
      <c r="M652" s="9"/>
      <c r="N652" s="10"/>
      <c r="O652" s="10"/>
      <c r="P652" s="10"/>
      <c r="Q652" s="10"/>
      <c r="R652" s="10"/>
      <c r="S652" s="10"/>
      <c r="T652" s="10"/>
      <c r="U652" s="10"/>
      <c r="V652" s="10"/>
    </row>
    <row r="653" ht="22.5" customHeight="1">
      <c r="A653" s="5">
        <v>2.01404744249E11</v>
      </c>
      <c r="B653" s="5" t="s">
        <v>748</v>
      </c>
      <c r="C653" s="5">
        <v>51931531131</v>
      </c>
      <c r="D653" s="5" t="s">
        <v>13</v>
      </c>
      <c r="E653" s="5">
        <v>8.0566583E7</v>
      </c>
      <c r="F653" s="5" t="s">
        <v>714</v>
      </c>
      <c r="G653" s="5" t="s">
        <v>15</v>
      </c>
      <c r="H653" s="5" t="s">
        <v>51</v>
      </c>
      <c r="I653" s="6" t="s">
        <v>17</v>
      </c>
      <c r="J653" s="7" t="s">
        <v>18</v>
      </c>
      <c r="K653" s="7" t="s">
        <v>61</v>
      </c>
      <c r="L653" s="8">
        <v>1.770805030676E12</v>
      </c>
      <c r="M653" s="9"/>
      <c r="N653" s="10"/>
      <c r="O653" s="10"/>
      <c r="P653" s="10"/>
      <c r="Q653" s="10"/>
      <c r="R653" s="10"/>
      <c r="S653" s="10"/>
      <c r="T653" s="10"/>
      <c r="U653" s="10"/>
      <c r="V653" s="10"/>
    </row>
    <row r="654" ht="22.5" customHeight="1">
      <c r="A654" s="5">
        <v>2.01418491265E11</v>
      </c>
      <c r="B654" s="5" t="s">
        <v>749</v>
      </c>
      <c r="C654" s="5">
        <v>529585877144</v>
      </c>
      <c r="D654" s="5" t="s">
        <v>13</v>
      </c>
      <c r="E654" s="5">
        <v>8.7547393E7</v>
      </c>
      <c r="F654" s="5" t="s">
        <v>39</v>
      </c>
      <c r="G654" s="5" t="s">
        <v>15</v>
      </c>
      <c r="H654" s="5" t="s">
        <v>24</v>
      </c>
      <c r="I654" s="6" t="s">
        <v>17</v>
      </c>
      <c r="J654" s="7" t="s">
        <v>18</v>
      </c>
      <c r="K654" s="7" t="s">
        <v>61</v>
      </c>
      <c r="L654" s="8">
        <v>1.770806610526E12</v>
      </c>
      <c r="M654" s="9"/>
      <c r="N654" s="10"/>
      <c r="O654" s="10"/>
      <c r="P654" s="10"/>
      <c r="Q654" s="10"/>
      <c r="R654" s="10"/>
      <c r="S654" s="10"/>
      <c r="T654" s="10"/>
      <c r="U654" s="10"/>
      <c r="V654" s="10"/>
    </row>
    <row r="655" ht="22.5" customHeight="1">
      <c r="A655" s="5">
        <v>5.6772600475E10</v>
      </c>
      <c r="B655" s="5" t="s">
        <v>750</v>
      </c>
      <c r="C655" s="5">
        <v>525623221685</v>
      </c>
      <c r="D655" s="5" t="s">
        <v>13</v>
      </c>
      <c r="E655" s="5">
        <v>8.0566583E7</v>
      </c>
      <c r="F655" s="5" t="s">
        <v>14</v>
      </c>
      <c r="G655" s="5" t="s">
        <v>15</v>
      </c>
      <c r="H655" s="5" t="s">
        <v>751</v>
      </c>
      <c r="I655" s="6" t="s">
        <v>17</v>
      </c>
      <c r="J655" s="7" t="s">
        <v>18</v>
      </c>
      <c r="K655" s="7" t="s">
        <v>61</v>
      </c>
      <c r="L655" s="8">
        <v>1.770808430175E12</v>
      </c>
      <c r="M655" s="9"/>
      <c r="N655" s="10"/>
      <c r="O655" s="10"/>
      <c r="P655" s="10"/>
      <c r="Q655" s="10"/>
      <c r="R655" s="10"/>
      <c r="S655" s="10"/>
      <c r="T655" s="10"/>
      <c r="U655" s="10"/>
      <c r="V655" s="10"/>
    </row>
    <row r="656" ht="22.5" customHeight="1">
      <c r="A656" s="5">
        <v>1.55077460621E11</v>
      </c>
      <c r="B656" s="5" t="s">
        <v>752</v>
      </c>
      <c r="C656" s="5">
        <v>51981360649</v>
      </c>
      <c r="D656" s="5" t="s">
        <v>13</v>
      </c>
      <c r="E656" s="5">
        <v>8.0566583E7</v>
      </c>
      <c r="F656" s="5" t="s">
        <v>93</v>
      </c>
      <c r="G656" s="5" t="s">
        <v>15</v>
      </c>
      <c r="H656" s="5" t="s">
        <v>51</v>
      </c>
      <c r="I656" s="6" t="s">
        <v>17</v>
      </c>
      <c r="J656" s="7" t="s">
        <v>34</v>
      </c>
      <c r="K656" s="7"/>
      <c r="L656" s="8">
        <v>1.770808566683E12</v>
      </c>
      <c r="M656" s="9"/>
      <c r="N656" s="10"/>
      <c r="O656" s="10"/>
      <c r="P656" s="10"/>
      <c r="Q656" s="10"/>
      <c r="R656" s="10"/>
      <c r="S656" s="10"/>
      <c r="T656" s="10"/>
      <c r="U656" s="10"/>
      <c r="V656" s="10"/>
    </row>
    <row r="657" ht="22.5" customHeight="1">
      <c r="A657" s="5">
        <v>2.01432382548E11</v>
      </c>
      <c r="B657" s="5" t="s">
        <v>753</v>
      </c>
      <c r="C657" s="5">
        <v>51952258128</v>
      </c>
      <c r="D657" s="5" t="s">
        <v>13</v>
      </c>
      <c r="E657" s="5">
        <v>8.7547393E7</v>
      </c>
      <c r="F657" s="5" t="s">
        <v>28</v>
      </c>
      <c r="G657" s="5" t="s">
        <v>32</v>
      </c>
      <c r="H657" s="5" t="s">
        <v>16</v>
      </c>
      <c r="I657" s="6" t="s">
        <v>17</v>
      </c>
      <c r="J657" s="7" t="s">
        <v>18</v>
      </c>
      <c r="K657" s="7" t="s">
        <v>61</v>
      </c>
      <c r="L657" s="8">
        <v>1.770809619995E12</v>
      </c>
      <c r="M657" s="9"/>
      <c r="N657" s="10"/>
      <c r="O657" s="10"/>
      <c r="P657" s="10"/>
      <c r="Q657" s="10"/>
      <c r="R657" s="10"/>
      <c r="S657" s="10"/>
      <c r="T657" s="10"/>
      <c r="U657" s="10"/>
      <c r="V657" s="10"/>
    </row>
    <row r="658" ht="22.5" customHeight="1">
      <c r="A658" s="5">
        <v>2.01207953062E11</v>
      </c>
      <c r="B658" s="5" t="s">
        <v>754</v>
      </c>
      <c r="C658" s="5">
        <v>51984265271</v>
      </c>
      <c r="D658" s="5" t="s">
        <v>13</v>
      </c>
      <c r="E658" s="5">
        <v>8.7547393E7</v>
      </c>
      <c r="F658" s="5" t="s">
        <v>39</v>
      </c>
      <c r="G658" s="5" t="s">
        <v>15</v>
      </c>
      <c r="H658" s="5" t="s">
        <v>51</v>
      </c>
      <c r="I658" s="6" t="s">
        <v>89</v>
      </c>
      <c r="J658" s="7" t="s">
        <v>18</v>
      </c>
      <c r="K658" s="7" t="s">
        <v>61</v>
      </c>
      <c r="L658" s="8">
        <v>1.770810215274E12</v>
      </c>
      <c r="M658" s="9"/>
      <c r="N658" s="10"/>
      <c r="O658" s="10"/>
      <c r="P658" s="10"/>
      <c r="Q658" s="10"/>
      <c r="R658" s="10"/>
      <c r="S658" s="10"/>
      <c r="T658" s="10"/>
      <c r="U658" s="10"/>
      <c r="V658" s="10"/>
    </row>
    <row r="659" ht="22.5" customHeight="1">
      <c r="A659" s="5">
        <v>2.01445605263E11</v>
      </c>
      <c r="B659" s="5" t="s">
        <v>755</v>
      </c>
      <c r="C659" s="5">
        <v>524776381606</v>
      </c>
      <c r="D659" s="5" t="s">
        <v>13</v>
      </c>
      <c r="E659" s="5">
        <v>8.0566583E7</v>
      </c>
      <c r="F659" s="5" t="s">
        <v>93</v>
      </c>
      <c r="G659" s="5" t="s">
        <v>15</v>
      </c>
      <c r="H659" s="5" t="s">
        <v>51</v>
      </c>
      <c r="I659" s="6" t="s">
        <v>17</v>
      </c>
      <c r="J659" s="7" t="s">
        <v>34</v>
      </c>
      <c r="K659" s="7"/>
      <c r="L659" s="8">
        <v>1.770810493441E12</v>
      </c>
      <c r="M659" s="9"/>
      <c r="N659" s="10"/>
      <c r="O659" s="10"/>
      <c r="P659" s="10"/>
      <c r="Q659" s="10"/>
      <c r="R659" s="10"/>
      <c r="S659" s="10"/>
      <c r="T659" s="10"/>
      <c r="U659" s="10"/>
      <c r="V659" s="10"/>
    </row>
    <row r="660" ht="22.5" customHeight="1">
      <c r="A660" s="5">
        <v>2.01428615009E11</v>
      </c>
      <c r="B660" s="5" t="s">
        <v>756</v>
      </c>
      <c r="C660" s="5">
        <v>51933281525</v>
      </c>
      <c r="D660" s="5" t="s">
        <v>13</v>
      </c>
      <c r="E660" s="5">
        <v>8.0566583E7</v>
      </c>
      <c r="F660" s="5" t="s">
        <v>14</v>
      </c>
      <c r="G660" s="5" t="s">
        <v>15</v>
      </c>
      <c r="H660" s="5" t="s">
        <v>51</v>
      </c>
      <c r="I660" s="6" t="s">
        <v>17</v>
      </c>
      <c r="J660" s="7" t="s">
        <v>18</v>
      </c>
      <c r="K660" s="7" t="s">
        <v>61</v>
      </c>
      <c r="L660" s="8">
        <v>1.770810643927E12</v>
      </c>
      <c r="M660" s="9"/>
      <c r="N660" s="10"/>
      <c r="O660" s="10"/>
      <c r="P660" s="10"/>
      <c r="Q660" s="10"/>
      <c r="R660" s="10"/>
      <c r="S660" s="10"/>
      <c r="T660" s="10"/>
      <c r="U660" s="10"/>
      <c r="V660" s="10"/>
    </row>
    <row r="661" ht="22.5" customHeight="1">
      <c r="A661" s="5">
        <v>2.01429367669E11</v>
      </c>
      <c r="B661" s="5" t="s">
        <v>757</v>
      </c>
      <c r="C661" s="5">
        <v>525618605949</v>
      </c>
      <c r="D661" s="5" t="s">
        <v>13</v>
      </c>
      <c r="E661" s="5">
        <v>8.7547393E7</v>
      </c>
      <c r="F661" s="5" t="s">
        <v>39</v>
      </c>
      <c r="G661" s="5" t="s">
        <v>15</v>
      </c>
      <c r="H661" s="5" t="s">
        <v>24</v>
      </c>
      <c r="I661" s="6" t="s">
        <v>17</v>
      </c>
      <c r="J661" s="7" t="s">
        <v>18</v>
      </c>
      <c r="K661" s="7" t="s">
        <v>61</v>
      </c>
      <c r="L661" s="8">
        <v>1.770810661353E12</v>
      </c>
      <c r="M661" s="9"/>
      <c r="N661" s="10"/>
      <c r="O661" s="10"/>
      <c r="P661" s="10"/>
      <c r="Q661" s="10"/>
      <c r="R661" s="10"/>
      <c r="S661" s="10"/>
      <c r="T661" s="10"/>
      <c r="U661" s="10"/>
      <c r="V661" s="10"/>
    </row>
    <row r="662" ht="22.5" customHeight="1">
      <c r="A662" s="5">
        <v>1.85659868043E11</v>
      </c>
      <c r="B662" s="5" t="s">
        <v>758</v>
      </c>
      <c r="C662" s="5">
        <v>51987053403</v>
      </c>
      <c r="D662" s="5" t="s">
        <v>13</v>
      </c>
      <c r="E662" s="5">
        <v>8.0566583E7</v>
      </c>
      <c r="F662" s="5" t="s">
        <v>259</v>
      </c>
      <c r="G662" s="5" t="s">
        <v>15</v>
      </c>
      <c r="H662" s="5" t="s">
        <v>51</v>
      </c>
      <c r="I662" s="6" t="s">
        <v>36</v>
      </c>
      <c r="J662" s="7" t="s">
        <v>18</v>
      </c>
      <c r="K662" s="7" t="s">
        <v>61</v>
      </c>
      <c r="L662" s="8">
        <v>1.770810708115E12</v>
      </c>
      <c r="M662" s="9"/>
      <c r="N662" s="10"/>
      <c r="O662" s="10"/>
      <c r="P662" s="10"/>
      <c r="Q662" s="10"/>
      <c r="R662" s="10"/>
      <c r="S662" s="10"/>
      <c r="T662" s="10"/>
      <c r="U662" s="10"/>
      <c r="V662" s="10"/>
    </row>
    <row r="663" ht="22.5" customHeight="1">
      <c r="A663" s="5">
        <v>2.0144767196E11</v>
      </c>
      <c r="B663" s="5" t="s">
        <v>759</v>
      </c>
      <c r="C663" s="5">
        <v>528683719217</v>
      </c>
      <c r="D663" s="5" t="s">
        <v>13</v>
      </c>
      <c r="E663" s="5">
        <v>8.7547393E7</v>
      </c>
      <c r="F663" s="5" t="s">
        <v>65</v>
      </c>
      <c r="G663" s="5" t="s">
        <v>15</v>
      </c>
      <c r="H663" s="5" t="s">
        <v>66</v>
      </c>
      <c r="I663" s="6" t="s">
        <v>17</v>
      </c>
      <c r="J663" s="7" t="s">
        <v>18</v>
      </c>
      <c r="K663" s="7" t="s">
        <v>61</v>
      </c>
      <c r="L663" s="8">
        <v>1.770811804809E12</v>
      </c>
      <c r="M663" s="9"/>
      <c r="N663" s="10"/>
      <c r="O663" s="10"/>
      <c r="P663" s="10"/>
      <c r="Q663" s="10"/>
      <c r="R663" s="10"/>
      <c r="S663" s="10"/>
      <c r="T663" s="10"/>
      <c r="U663" s="10"/>
      <c r="V663" s="10"/>
    </row>
    <row r="664" ht="22.5" customHeight="1">
      <c r="A664" s="5">
        <v>2.01460036958E11</v>
      </c>
      <c r="B664" s="5" t="s">
        <v>760</v>
      </c>
      <c r="C664" s="5">
        <v>51910549617</v>
      </c>
      <c r="D664" s="5" t="s">
        <v>13</v>
      </c>
      <c r="E664" s="5">
        <v>8.7547393E7</v>
      </c>
      <c r="F664" s="5" t="s">
        <v>28</v>
      </c>
      <c r="G664" s="5" t="s">
        <v>15</v>
      </c>
      <c r="H664" s="5" t="s">
        <v>16</v>
      </c>
      <c r="I664" s="6" t="s">
        <v>17</v>
      </c>
      <c r="J664" s="7" t="s">
        <v>18</v>
      </c>
      <c r="K664" s="7" t="s">
        <v>61</v>
      </c>
      <c r="L664" s="8">
        <v>1.770812226791E12</v>
      </c>
      <c r="M664" s="9"/>
      <c r="N664" s="10"/>
      <c r="O664" s="10"/>
      <c r="P664" s="10"/>
      <c r="Q664" s="10"/>
      <c r="R664" s="10"/>
      <c r="S664" s="10"/>
      <c r="T664" s="10"/>
      <c r="U664" s="10"/>
      <c r="V664" s="10"/>
    </row>
    <row r="665" ht="22.5" customHeight="1">
      <c r="A665" s="5">
        <v>2.01463294881E11</v>
      </c>
      <c r="B665" s="5" t="s">
        <v>761</v>
      </c>
      <c r="C665" s="5">
        <v>5581996769615</v>
      </c>
      <c r="D665" s="5" t="s">
        <v>13</v>
      </c>
      <c r="E665" s="5">
        <v>7.9360573E7</v>
      </c>
      <c r="F665" s="5" t="s">
        <v>28</v>
      </c>
      <c r="G665" s="5" t="s">
        <v>32</v>
      </c>
      <c r="H665" s="5" t="s">
        <v>16</v>
      </c>
      <c r="I665" s="6" t="s">
        <v>17</v>
      </c>
      <c r="J665" s="7" t="s">
        <v>34</v>
      </c>
      <c r="K665" s="7"/>
      <c r="L665" s="8">
        <v>1.770812913419E12</v>
      </c>
      <c r="M665" s="9"/>
      <c r="N665" s="10"/>
      <c r="O665" s="10"/>
      <c r="P665" s="10"/>
      <c r="Q665" s="10"/>
      <c r="R665" s="10"/>
      <c r="S665" s="10"/>
      <c r="T665" s="10"/>
      <c r="U665" s="10"/>
      <c r="V665" s="10"/>
    </row>
    <row r="666" ht="22.5" customHeight="1">
      <c r="A666" s="5">
        <v>2.00430243378E11</v>
      </c>
      <c r="B666" s="5" t="s">
        <v>762</v>
      </c>
      <c r="C666" s="5">
        <v>51903052807</v>
      </c>
      <c r="D666" s="5" t="s">
        <v>22</v>
      </c>
      <c r="E666" s="5">
        <v>8.0566583E7</v>
      </c>
      <c r="F666" s="5" t="s">
        <v>714</v>
      </c>
      <c r="G666" s="5" t="s">
        <v>79</v>
      </c>
      <c r="H666" s="5" t="s">
        <v>24</v>
      </c>
      <c r="I666" s="6" t="s">
        <v>17</v>
      </c>
      <c r="J666" s="7" t="s">
        <v>18</v>
      </c>
      <c r="K666" s="7" t="s">
        <v>61</v>
      </c>
      <c r="L666" s="8">
        <v>1.770812944597E12</v>
      </c>
      <c r="M666" s="9"/>
      <c r="N666" s="10"/>
      <c r="O666" s="10"/>
      <c r="P666" s="10"/>
      <c r="Q666" s="10"/>
      <c r="R666" s="10"/>
      <c r="S666" s="10"/>
      <c r="T666" s="10"/>
      <c r="U666" s="10"/>
      <c r="V666" s="10"/>
    </row>
    <row r="667" ht="22.5" customHeight="1">
      <c r="A667" s="5">
        <v>2.01460618385E11</v>
      </c>
      <c r="B667" s="5" t="s">
        <v>763</v>
      </c>
      <c r="C667" s="5">
        <v>51970140954</v>
      </c>
      <c r="D667" s="5" t="s">
        <v>13</v>
      </c>
      <c r="E667" s="5">
        <v>8.7547393E7</v>
      </c>
      <c r="F667" s="5" t="s">
        <v>28</v>
      </c>
      <c r="G667" s="5" t="s">
        <v>15</v>
      </c>
      <c r="H667" s="5" t="s">
        <v>66</v>
      </c>
      <c r="I667" s="6" t="s">
        <v>17</v>
      </c>
      <c r="J667" s="7" t="s">
        <v>18</v>
      </c>
      <c r="K667" s="7" t="s">
        <v>19</v>
      </c>
      <c r="L667" s="8">
        <v>1.770813608613E12</v>
      </c>
      <c r="M667" s="9"/>
      <c r="N667" s="10"/>
      <c r="O667" s="10"/>
      <c r="P667" s="10"/>
      <c r="Q667" s="10"/>
      <c r="R667" s="10"/>
      <c r="S667" s="10"/>
      <c r="T667" s="10"/>
      <c r="U667" s="10"/>
      <c r="V667" s="10"/>
    </row>
    <row r="668" ht="22.5" customHeight="1">
      <c r="A668" s="5">
        <v>2.01460517159E11</v>
      </c>
      <c r="B668" s="5" t="s">
        <v>764</v>
      </c>
      <c r="C668" s="5">
        <v>51986701105</v>
      </c>
      <c r="D668" s="5" t="s">
        <v>13</v>
      </c>
      <c r="E668" s="5">
        <v>8.7547393E7</v>
      </c>
      <c r="F668" s="5"/>
      <c r="G668" s="5" t="s">
        <v>15</v>
      </c>
      <c r="H668" s="5" t="s">
        <v>51</v>
      </c>
      <c r="I668" s="6" t="s">
        <v>17</v>
      </c>
      <c r="J668" s="7" t="s">
        <v>18</v>
      </c>
      <c r="K668" s="7" t="s">
        <v>61</v>
      </c>
      <c r="L668" s="8">
        <v>1.770813650151E12</v>
      </c>
      <c r="M668" s="9"/>
      <c r="N668" s="10"/>
      <c r="O668" s="10"/>
      <c r="P668" s="10"/>
      <c r="Q668" s="10"/>
      <c r="R668" s="10"/>
      <c r="S668" s="10"/>
      <c r="T668" s="10"/>
      <c r="U668" s="10"/>
      <c r="V668" s="10"/>
    </row>
    <row r="669" ht="22.5" customHeight="1">
      <c r="A669" s="5">
        <v>2.01479852358E11</v>
      </c>
      <c r="B669" s="5" t="s">
        <v>765</v>
      </c>
      <c r="C669" s="5">
        <v>51922787621</v>
      </c>
      <c r="D669" s="5" t="s">
        <v>13</v>
      </c>
      <c r="E669" s="5">
        <v>8.7547393E7</v>
      </c>
      <c r="F669" s="5" t="s">
        <v>714</v>
      </c>
      <c r="G669" s="5" t="s">
        <v>15</v>
      </c>
      <c r="H669" s="5" t="s">
        <v>66</v>
      </c>
      <c r="I669" s="6" t="s">
        <v>17</v>
      </c>
      <c r="J669" s="7" t="s">
        <v>18</v>
      </c>
      <c r="K669" s="7" t="s">
        <v>61</v>
      </c>
      <c r="L669" s="8">
        <v>1.770815127211E12</v>
      </c>
      <c r="M669" s="9"/>
      <c r="N669" s="10"/>
      <c r="O669" s="10"/>
      <c r="P669" s="10"/>
      <c r="Q669" s="10"/>
      <c r="R669" s="10"/>
      <c r="S669" s="10"/>
      <c r="T669" s="10"/>
      <c r="U669" s="10"/>
      <c r="V669" s="10"/>
    </row>
    <row r="670" ht="22.5" customHeight="1">
      <c r="A670" s="5">
        <v>2.01471684615E11</v>
      </c>
      <c r="B670" s="5" t="s">
        <v>766</v>
      </c>
      <c r="C670" s="5">
        <v>51920132937</v>
      </c>
      <c r="D670" s="5" t="s">
        <v>13</v>
      </c>
      <c r="E670" s="5">
        <v>8.0566583E7</v>
      </c>
      <c r="F670" s="5" t="s">
        <v>39</v>
      </c>
      <c r="G670" s="5" t="s">
        <v>15</v>
      </c>
      <c r="H670" s="5" t="s">
        <v>74</v>
      </c>
      <c r="I670" s="6" t="s">
        <v>17</v>
      </c>
      <c r="J670" s="7" t="s">
        <v>18</v>
      </c>
      <c r="K670" s="7" t="s">
        <v>61</v>
      </c>
      <c r="L670" s="8">
        <v>1.770815580604E12</v>
      </c>
      <c r="M670" s="9"/>
      <c r="N670" s="10"/>
      <c r="O670" s="10"/>
      <c r="P670" s="10"/>
      <c r="Q670" s="10"/>
      <c r="R670" s="10"/>
      <c r="S670" s="10"/>
      <c r="T670" s="10"/>
      <c r="U670" s="10"/>
      <c r="V670" s="10"/>
    </row>
    <row r="671" ht="22.5" customHeight="1">
      <c r="A671" s="5">
        <v>2.01471684615E11</v>
      </c>
      <c r="B671" s="5" t="s">
        <v>766</v>
      </c>
      <c r="C671" s="5">
        <v>51920132937</v>
      </c>
      <c r="D671" s="5" t="s">
        <v>13</v>
      </c>
      <c r="E671" s="5">
        <v>8.0566583E7</v>
      </c>
      <c r="F671" s="5" t="s">
        <v>39</v>
      </c>
      <c r="G671" s="5" t="s">
        <v>15</v>
      </c>
      <c r="H671" s="5" t="s">
        <v>74</v>
      </c>
      <c r="I671" s="6" t="s">
        <v>17</v>
      </c>
      <c r="J671" s="7" t="s">
        <v>18</v>
      </c>
      <c r="K671" s="7" t="s">
        <v>61</v>
      </c>
      <c r="L671" s="8">
        <v>1.77081560557E12</v>
      </c>
      <c r="M671" s="9"/>
      <c r="N671" s="10"/>
      <c r="O671" s="10"/>
      <c r="P671" s="10"/>
      <c r="Q671" s="10"/>
      <c r="R671" s="10"/>
      <c r="S671" s="10"/>
      <c r="T671" s="10"/>
      <c r="U671" s="10"/>
      <c r="V671" s="10"/>
    </row>
    <row r="672" ht="22.5" customHeight="1">
      <c r="A672" s="5">
        <v>2.01472501076E11</v>
      </c>
      <c r="B672" s="5" t="s">
        <v>767</v>
      </c>
      <c r="C672" s="5">
        <v>51935995948</v>
      </c>
      <c r="D672" s="5" t="s">
        <v>13</v>
      </c>
      <c r="E672" s="5">
        <v>8.0566583E7</v>
      </c>
      <c r="F672" s="5" t="s">
        <v>28</v>
      </c>
      <c r="G672" s="5" t="s">
        <v>15</v>
      </c>
      <c r="H672" s="5" t="s">
        <v>114</v>
      </c>
      <c r="I672" s="6" t="s">
        <v>17</v>
      </c>
      <c r="J672" s="7" t="s">
        <v>18</v>
      </c>
      <c r="K672" s="7" t="s">
        <v>61</v>
      </c>
      <c r="L672" s="8">
        <v>1.770815713278E12</v>
      </c>
      <c r="M672" s="9"/>
      <c r="N672" s="10"/>
      <c r="O672" s="10"/>
      <c r="P672" s="10"/>
      <c r="Q672" s="10"/>
      <c r="R672" s="10"/>
      <c r="S672" s="10"/>
      <c r="T672" s="10"/>
      <c r="U672" s="10"/>
      <c r="V672" s="10"/>
    </row>
    <row r="673" ht="22.5" customHeight="1">
      <c r="A673" s="5">
        <v>2.01479309337E11</v>
      </c>
      <c r="B673" s="5" t="s">
        <v>768</v>
      </c>
      <c r="C673" s="5">
        <v>51912574876</v>
      </c>
      <c r="D673" s="5" t="s">
        <v>38</v>
      </c>
      <c r="E673" s="5">
        <v>8.7547393E7</v>
      </c>
      <c r="F673" s="5"/>
      <c r="G673" s="5"/>
      <c r="H673" s="5"/>
      <c r="I673" s="6"/>
      <c r="J673" s="7" t="s">
        <v>18</v>
      </c>
      <c r="K673" s="7" t="s">
        <v>61</v>
      </c>
      <c r="L673" s="8">
        <v>1.770816873337E12</v>
      </c>
      <c r="M673" s="9"/>
      <c r="N673" s="10"/>
      <c r="O673" s="10"/>
      <c r="P673" s="10"/>
      <c r="Q673" s="10"/>
      <c r="R673" s="10"/>
      <c r="S673" s="10"/>
      <c r="T673" s="10"/>
      <c r="U673" s="10"/>
      <c r="V673" s="10"/>
    </row>
    <row r="674" ht="22.5" customHeight="1">
      <c r="A674" s="5">
        <v>1.87659491633E11</v>
      </c>
      <c r="B674" s="5" t="s">
        <v>769</v>
      </c>
      <c r="C674" s="5">
        <v>51949599339</v>
      </c>
      <c r="D674" s="5" t="s">
        <v>13</v>
      </c>
      <c r="E674" s="5">
        <v>8.0566583E7</v>
      </c>
      <c r="F674" s="5" t="s">
        <v>714</v>
      </c>
      <c r="G674" s="5" t="s">
        <v>32</v>
      </c>
      <c r="H674" s="5" t="s">
        <v>16</v>
      </c>
      <c r="I674" s="6" t="s">
        <v>17</v>
      </c>
      <c r="J674" s="7" t="s">
        <v>18</v>
      </c>
      <c r="K674" s="7" t="s">
        <v>61</v>
      </c>
      <c r="L674" s="8">
        <v>1.770817072827E12</v>
      </c>
      <c r="M674" s="9"/>
      <c r="N674" s="10"/>
      <c r="O674" s="10"/>
      <c r="P674" s="10"/>
      <c r="Q674" s="10"/>
      <c r="R674" s="10"/>
      <c r="S674" s="10"/>
      <c r="T674" s="10"/>
      <c r="U674" s="10"/>
      <c r="V674" s="10"/>
    </row>
    <row r="675" ht="22.5" customHeight="1">
      <c r="A675" s="5">
        <v>2.01479422467E11</v>
      </c>
      <c r="B675" s="5" t="s">
        <v>770</v>
      </c>
      <c r="C675" s="5">
        <v>51960228303</v>
      </c>
      <c r="D675" s="5" t="s">
        <v>13</v>
      </c>
      <c r="E675" s="5">
        <v>8.0566583E7</v>
      </c>
      <c r="F675" s="5" t="s">
        <v>28</v>
      </c>
      <c r="G675" s="5" t="s">
        <v>44</v>
      </c>
      <c r="H675" s="5" t="s">
        <v>112</v>
      </c>
      <c r="I675" s="6" t="s">
        <v>17</v>
      </c>
      <c r="J675" s="7" t="s">
        <v>34</v>
      </c>
      <c r="K675" s="7"/>
      <c r="L675" s="8">
        <v>1.770817086794E12</v>
      </c>
      <c r="M675" s="9"/>
      <c r="N675" s="10"/>
      <c r="O675" s="10"/>
      <c r="P675" s="10"/>
      <c r="Q675" s="10"/>
      <c r="R675" s="10"/>
      <c r="S675" s="10"/>
      <c r="T675" s="10"/>
      <c r="U675" s="10"/>
      <c r="V675" s="10"/>
    </row>
    <row r="676" ht="22.5" customHeight="1">
      <c r="A676" s="5">
        <v>2.01482602342E11</v>
      </c>
      <c r="B676" s="5" t="s">
        <v>771</v>
      </c>
      <c r="C676" s="5">
        <v>522223250895</v>
      </c>
      <c r="D676" s="5" t="s">
        <v>13</v>
      </c>
      <c r="E676" s="5">
        <v>8.0566583E7</v>
      </c>
      <c r="F676" s="5" t="s">
        <v>510</v>
      </c>
      <c r="G676" s="5" t="s">
        <v>15</v>
      </c>
      <c r="H676" s="5" t="s">
        <v>114</v>
      </c>
      <c r="I676" s="6" t="s">
        <v>17</v>
      </c>
      <c r="J676" s="7" t="s">
        <v>18</v>
      </c>
      <c r="K676" s="7" t="s">
        <v>61</v>
      </c>
      <c r="L676" s="8">
        <v>1.770817833679E12</v>
      </c>
      <c r="M676" s="9"/>
      <c r="N676" s="10"/>
      <c r="O676" s="10"/>
      <c r="P676" s="10"/>
      <c r="Q676" s="10"/>
      <c r="R676" s="10"/>
      <c r="S676" s="10"/>
      <c r="T676" s="10"/>
      <c r="U676" s="10"/>
      <c r="V676" s="10"/>
    </row>
    <row r="677" ht="22.5" customHeight="1">
      <c r="A677" s="5">
        <v>1.85129358156E11</v>
      </c>
      <c r="B677" s="5" t="s">
        <v>772</v>
      </c>
      <c r="C677" s="5">
        <v>51951781968</v>
      </c>
      <c r="D677" s="5" t="s">
        <v>13</v>
      </c>
      <c r="E677" s="5"/>
      <c r="F677" s="5" t="s">
        <v>714</v>
      </c>
      <c r="G677" s="5" t="s">
        <v>44</v>
      </c>
      <c r="H677" s="5" t="s">
        <v>69</v>
      </c>
      <c r="I677" s="6" t="s">
        <v>49</v>
      </c>
      <c r="J677" s="7" t="s">
        <v>177</v>
      </c>
      <c r="K677" s="7" t="s">
        <v>36</v>
      </c>
      <c r="L677" s="8">
        <v>1.770818535896E12</v>
      </c>
      <c r="M677" s="9"/>
      <c r="N677" s="10"/>
      <c r="O677" s="10"/>
      <c r="P677" s="10"/>
      <c r="Q677" s="10"/>
      <c r="R677" s="10"/>
      <c r="S677" s="10"/>
      <c r="T677" s="10"/>
      <c r="U677" s="10"/>
      <c r="V677" s="10"/>
    </row>
    <row r="678" ht="22.5" customHeight="1">
      <c r="A678" s="5">
        <v>2.01486675009E11</v>
      </c>
      <c r="B678" s="5" t="s">
        <v>773</v>
      </c>
      <c r="C678" s="5">
        <v>51998704190</v>
      </c>
      <c r="D678" s="5" t="s">
        <v>22</v>
      </c>
      <c r="E678" s="5">
        <v>8.7547393E7</v>
      </c>
      <c r="F678" s="5" t="s">
        <v>259</v>
      </c>
      <c r="G678" s="5" t="s">
        <v>44</v>
      </c>
      <c r="H678" s="5" t="s">
        <v>51</v>
      </c>
      <c r="I678" s="6" t="s">
        <v>17</v>
      </c>
      <c r="J678" s="7" t="s">
        <v>25</v>
      </c>
      <c r="K678" s="7" t="s">
        <v>501</v>
      </c>
      <c r="L678" s="8">
        <v>1.770821197497E12</v>
      </c>
      <c r="M678" s="9"/>
      <c r="N678" s="10"/>
      <c r="O678" s="10"/>
      <c r="P678" s="10"/>
      <c r="Q678" s="10"/>
      <c r="R678" s="10"/>
      <c r="S678" s="10"/>
      <c r="T678" s="10"/>
      <c r="U678" s="10"/>
      <c r="V678" s="10"/>
    </row>
    <row r="679" ht="22.5" customHeight="1">
      <c r="A679" s="5">
        <v>2.01491152987E11</v>
      </c>
      <c r="B679" s="5" t="s">
        <v>774</v>
      </c>
      <c r="C679" s="5">
        <v>51968120185</v>
      </c>
      <c r="D679" s="5" t="s">
        <v>22</v>
      </c>
      <c r="E679" s="5"/>
      <c r="F679" s="5" t="s">
        <v>28</v>
      </c>
      <c r="G679" s="5" t="s">
        <v>44</v>
      </c>
      <c r="H679" s="5" t="s">
        <v>114</v>
      </c>
      <c r="I679" s="6" t="s">
        <v>17</v>
      </c>
      <c r="J679" s="7" t="s">
        <v>18</v>
      </c>
      <c r="K679" s="7" t="s">
        <v>61</v>
      </c>
      <c r="L679" s="8">
        <v>1.770822439681E12</v>
      </c>
      <c r="M679" s="9"/>
      <c r="N679" s="10"/>
      <c r="O679" s="10"/>
      <c r="P679" s="10"/>
      <c r="Q679" s="10"/>
      <c r="R679" s="10"/>
      <c r="S679" s="10"/>
      <c r="T679" s="10"/>
      <c r="U679" s="10"/>
      <c r="V679" s="10"/>
    </row>
    <row r="680" ht="22.5" customHeight="1">
      <c r="A680" s="5">
        <v>2.01492097913E11</v>
      </c>
      <c r="B680" s="5" t="s">
        <v>775</v>
      </c>
      <c r="C680" s="5">
        <v>522711266509</v>
      </c>
      <c r="D680" s="5" t="s">
        <v>13</v>
      </c>
      <c r="E680" s="5">
        <v>8.0566583E7</v>
      </c>
      <c r="F680" s="5" t="s">
        <v>510</v>
      </c>
      <c r="G680" s="5" t="s">
        <v>15</v>
      </c>
      <c r="H680" s="5" t="s">
        <v>51</v>
      </c>
      <c r="I680" s="6"/>
      <c r="J680" s="7" t="s">
        <v>25</v>
      </c>
      <c r="K680" s="7" t="s">
        <v>501</v>
      </c>
      <c r="L680" s="8">
        <v>1.770822711774E12</v>
      </c>
      <c r="M680" s="9"/>
      <c r="N680" s="10"/>
      <c r="O680" s="10"/>
      <c r="P680" s="10"/>
      <c r="Q680" s="10"/>
      <c r="R680" s="10"/>
      <c r="S680" s="10"/>
      <c r="T680" s="10"/>
      <c r="U680" s="10"/>
      <c r="V680" s="10"/>
    </row>
    <row r="681" ht="22.5" customHeight="1">
      <c r="A681" s="5">
        <v>2.01490211632E11</v>
      </c>
      <c r="B681" s="5" t="s">
        <v>776</v>
      </c>
      <c r="C681" s="5">
        <v>51902310168</v>
      </c>
      <c r="D681" s="5" t="s">
        <v>38</v>
      </c>
      <c r="E681" s="5">
        <v>8.7547393E7</v>
      </c>
      <c r="F681" s="5"/>
      <c r="G681" s="5"/>
      <c r="H681" s="5"/>
      <c r="I681" s="6"/>
      <c r="J681" s="7" t="s">
        <v>25</v>
      </c>
      <c r="K681" s="7"/>
      <c r="L681" s="8">
        <v>1.770822742822E12</v>
      </c>
      <c r="M681" s="9"/>
      <c r="N681" s="10"/>
      <c r="O681" s="10"/>
      <c r="P681" s="10"/>
      <c r="Q681" s="10"/>
      <c r="R681" s="10"/>
      <c r="S681" s="10"/>
      <c r="T681" s="10"/>
      <c r="U681" s="10"/>
      <c r="V681" s="10"/>
    </row>
    <row r="682" ht="22.5" customHeight="1">
      <c r="A682" s="5">
        <v>2.01492011957E11</v>
      </c>
      <c r="B682" s="5" t="s">
        <v>777</v>
      </c>
      <c r="C682" s="5">
        <v>528334275397</v>
      </c>
      <c r="D682" s="5" t="s">
        <v>13</v>
      </c>
      <c r="E682" s="5">
        <v>8.7547393E7</v>
      </c>
      <c r="F682" s="5" t="s">
        <v>28</v>
      </c>
      <c r="G682" s="5" t="s">
        <v>32</v>
      </c>
      <c r="H682" s="5" t="s">
        <v>16</v>
      </c>
      <c r="I682" s="6" t="s">
        <v>17</v>
      </c>
      <c r="J682" s="7" t="s">
        <v>18</v>
      </c>
      <c r="K682" s="7" t="s">
        <v>61</v>
      </c>
      <c r="L682" s="8">
        <v>1.77082325789E12</v>
      </c>
      <c r="M682" s="9"/>
      <c r="N682" s="10"/>
      <c r="O682" s="10"/>
      <c r="P682" s="10"/>
      <c r="Q682" s="10"/>
      <c r="R682" s="10"/>
      <c r="S682" s="10"/>
      <c r="T682" s="10"/>
      <c r="U682" s="10"/>
      <c r="V682" s="10"/>
    </row>
    <row r="683" ht="22.5" customHeight="1">
      <c r="A683" s="5">
        <v>1.96795554202E11</v>
      </c>
      <c r="B683" s="5" t="s">
        <v>778</v>
      </c>
      <c r="C683" s="5">
        <v>573103571775</v>
      </c>
      <c r="D683" s="5" t="s">
        <v>38</v>
      </c>
      <c r="E683" s="5"/>
      <c r="F683" s="5"/>
      <c r="G683" s="5"/>
      <c r="H683" s="5"/>
      <c r="I683" s="6"/>
      <c r="J683" s="7" t="s">
        <v>34</v>
      </c>
      <c r="K683" s="7"/>
      <c r="L683" s="8">
        <v>1.770823538725E12</v>
      </c>
      <c r="M683" s="9"/>
      <c r="N683" s="10"/>
      <c r="O683" s="10"/>
      <c r="P683" s="10"/>
      <c r="Q683" s="10"/>
      <c r="R683" s="10"/>
      <c r="S683" s="10"/>
      <c r="T683" s="10"/>
      <c r="U683" s="10"/>
      <c r="V683" s="10"/>
    </row>
    <row r="684" ht="22.5" customHeight="1">
      <c r="A684" s="5">
        <v>2.0149414222E11</v>
      </c>
      <c r="B684" s="5" t="s">
        <v>779</v>
      </c>
      <c r="C684" s="5">
        <v>528115299427</v>
      </c>
      <c r="D684" s="5" t="s">
        <v>13</v>
      </c>
      <c r="E684" s="5">
        <v>8.0566583E7</v>
      </c>
      <c r="F684" s="5" t="s">
        <v>28</v>
      </c>
      <c r="G684" s="5" t="s">
        <v>15</v>
      </c>
      <c r="H684" s="5" t="s">
        <v>51</v>
      </c>
      <c r="I684" s="6" t="s">
        <v>36</v>
      </c>
      <c r="J684" s="7" t="s">
        <v>18</v>
      </c>
      <c r="K684" s="7" t="s">
        <v>61</v>
      </c>
      <c r="L684" s="8">
        <v>1.770824715735E12</v>
      </c>
      <c r="M684" s="9"/>
      <c r="N684" s="10"/>
      <c r="O684" s="10"/>
      <c r="P684" s="10"/>
      <c r="Q684" s="10"/>
      <c r="R684" s="10"/>
      <c r="S684" s="10"/>
      <c r="T684" s="10"/>
      <c r="U684" s="10"/>
      <c r="V684" s="10"/>
    </row>
    <row r="685" ht="22.5" customHeight="1">
      <c r="A685" s="5">
        <v>2.01503005977E11</v>
      </c>
      <c r="B685" s="5" t="s">
        <v>780</v>
      </c>
      <c r="C685" s="5">
        <v>5598920007778</v>
      </c>
      <c r="D685" s="5" t="s">
        <v>13</v>
      </c>
      <c r="E685" s="5">
        <v>7.9360573E7</v>
      </c>
      <c r="F685" s="5" t="s">
        <v>28</v>
      </c>
      <c r="G685" s="5" t="s">
        <v>15</v>
      </c>
      <c r="H685" s="5" t="s">
        <v>29</v>
      </c>
      <c r="I685" s="6" t="s">
        <v>17</v>
      </c>
      <c r="J685" s="7" t="s">
        <v>34</v>
      </c>
      <c r="K685" s="7"/>
      <c r="L685" s="8">
        <v>1.770825485453E12</v>
      </c>
      <c r="M685" s="9"/>
      <c r="N685" s="10"/>
      <c r="O685" s="10"/>
      <c r="P685" s="10"/>
      <c r="Q685" s="10"/>
      <c r="R685" s="10"/>
      <c r="S685" s="10"/>
      <c r="T685" s="10"/>
      <c r="U685" s="10"/>
      <c r="V685" s="10"/>
    </row>
    <row r="686" ht="22.5" customHeight="1">
      <c r="A686" s="5">
        <v>1.43662164292E11</v>
      </c>
      <c r="B686" s="5" t="s">
        <v>781</v>
      </c>
      <c r="C686" s="5">
        <v>51907358762</v>
      </c>
      <c r="D686" s="5" t="s">
        <v>13</v>
      </c>
      <c r="E686" s="5">
        <v>8.7547393E7</v>
      </c>
      <c r="F686" s="5" t="s">
        <v>714</v>
      </c>
      <c r="G686" s="5" t="s">
        <v>15</v>
      </c>
      <c r="H686" s="5" t="s">
        <v>16</v>
      </c>
      <c r="I686" s="6" t="s">
        <v>36</v>
      </c>
      <c r="J686" s="7" t="s">
        <v>34</v>
      </c>
      <c r="K686" s="7"/>
      <c r="L686" s="8">
        <v>1.770826210665E12</v>
      </c>
      <c r="M686" s="9"/>
      <c r="N686" s="10"/>
      <c r="O686" s="10"/>
      <c r="P686" s="10"/>
      <c r="Q686" s="10"/>
      <c r="R686" s="10"/>
      <c r="S686" s="10"/>
      <c r="T686" s="10"/>
      <c r="U686" s="10"/>
      <c r="V686" s="10"/>
    </row>
    <row r="687" ht="22.5" customHeight="1">
      <c r="A687" s="5">
        <v>2.0138069352E11</v>
      </c>
      <c r="B687" s="5" t="s">
        <v>782</v>
      </c>
      <c r="C687" s="5">
        <v>51946892167</v>
      </c>
      <c r="D687" s="5" t="s">
        <v>38</v>
      </c>
      <c r="E687" s="5">
        <v>8.0566583E7</v>
      </c>
      <c r="F687" s="5"/>
      <c r="G687" s="5"/>
      <c r="H687" s="5"/>
      <c r="I687" s="6"/>
      <c r="J687" s="7" t="s">
        <v>34</v>
      </c>
      <c r="K687" s="7"/>
      <c r="L687" s="8">
        <v>1.77082652838E12</v>
      </c>
      <c r="M687" s="9"/>
      <c r="N687" s="10"/>
      <c r="O687" s="10"/>
      <c r="P687" s="10"/>
      <c r="Q687" s="10"/>
      <c r="R687" s="10"/>
      <c r="S687" s="10"/>
      <c r="T687" s="10"/>
      <c r="U687" s="10"/>
      <c r="V687" s="10"/>
    </row>
    <row r="688" ht="22.5" customHeight="1">
      <c r="A688" s="5">
        <v>2.01510065941E11</v>
      </c>
      <c r="B688" s="5" t="s">
        <v>783</v>
      </c>
      <c r="C688" s="5">
        <v>5599992025679</v>
      </c>
      <c r="D688" s="5" t="s">
        <v>38</v>
      </c>
      <c r="E688" s="5">
        <v>7.9360573E7</v>
      </c>
      <c r="F688" s="5" t="s">
        <v>28</v>
      </c>
      <c r="G688" s="5" t="s">
        <v>15</v>
      </c>
      <c r="H688" s="5" t="s">
        <v>16</v>
      </c>
      <c r="I688" s="6" t="s">
        <v>17</v>
      </c>
      <c r="J688" s="7" t="s">
        <v>34</v>
      </c>
      <c r="K688" s="7"/>
      <c r="L688" s="8">
        <v>1.770826561423E12</v>
      </c>
      <c r="M688" s="9"/>
      <c r="N688" s="10"/>
      <c r="O688" s="10"/>
      <c r="P688" s="10"/>
      <c r="Q688" s="10"/>
      <c r="R688" s="10"/>
      <c r="S688" s="10"/>
      <c r="T688" s="10"/>
      <c r="U688" s="10"/>
      <c r="V688" s="10"/>
    </row>
    <row r="689" ht="22.5" customHeight="1">
      <c r="A689" s="5">
        <v>2.01510364741E11</v>
      </c>
      <c r="B689" s="5" t="s">
        <v>784</v>
      </c>
      <c r="C689" s="5">
        <v>51962997106</v>
      </c>
      <c r="D689" s="5" t="s">
        <v>13</v>
      </c>
      <c r="E689" s="5">
        <v>8.0566583E7</v>
      </c>
      <c r="F689" s="5" t="s">
        <v>93</v>
      </c>
      <c r="G689" s="5" t="s">
        <v>15</v>
      </c>
      <c r="H689" s="5" t="s">
        <v>100</v>
      </c>
      <c r="I689" s="6" t="s">
        <v>49</v>
      </c>
      <c r="J689" s="7" t="s">
        <v>124</v>
      </c>
      <c r="K689" s="7" t="s">
        <v>125</v>
      </c>
      <c r="L689" s="8">
        <v>1.77082667134E12</v>
      </c>
      <c r="M689" s="9"/>
      <c r="N689" s="10"/>
      <c r="O689" s="10"/>
      <c r="P689" s="10"/>
      <c r="Q689" s="10"/>
      <c r="R689" s="10"/>
      <c r="S689" s="10"/>
      <c r="T689" s="10"/>
      <c r="U689" s="10"/>
      <c r="V689" s="10"/>
    </row>
    <row r="690" ht="22.5" customHeight="1">
      <c r="A690" s="5">
        <v>1.6171368833E11</v>
      </c>
      <c r="B690" s="5" t="s">
        <v>785</v>
      </c>
      <c r="C690" s="5">
        <v>573005582420</v>
      </c>
      <c r="D690" s="5" t="s">
        <v>38</v>
      </c>
      <c r="E690" s="5">
        <v>8.0566583E7</v>
      </c>
      <c r="F690" s="5"/>
      <c r="G690" s="5"/>
      <c r="H690" s="5"/>
      <c r="I690" s="6"/>
      <c r="J690" s="7" t="s">
        <v>34</v>
      </c>
      <c r="K690" s="7"/>
      <c r="L690" s="8">
        <v>1.770826976751E12</v>
      </c>
      <c r="M690" s="9"/>
      <c r="N690" s="10"/>
      <c r="O690" s="10"/>
      <c r="P690" s="10"/>
      <c r="Q690" s="10"/>
      <c r="R690" s="10"/>
      <c r="S690" s="10"/>
      <c r="T690" s="10"/>
      <c r="U690" s="10"/>
      <c r="V690" s="10"/>
    </row>
    <row r="691" ht="22.5" customHeight="1">
      <c r="A691" s="5">
        <v>2.01519232589E11</v>
      </c>
      <c r="B691" s="5" t="s">
        <v>786</v>
      </c>
      <c r="C691" s="5">
        <v>51991162418</v>
      </c>
      <c r="D691" s="5" t="s">
        <v>13</v>
      </c>
      <c r="E691" s="5">
        <v>8.7547393E7</v>
      </c>
      <c r="F691" s="5" t="s">
        <v>39</v>
      </c>
      <c r="G691" s="5" t="s">
        <v>15</v>
      </c>
      <c r="H691" s="5" t="s">
        <v>51</v>
      </c>
      <c r="I691" s="6" t="s">
        <v>17</v>
      </c>
      <c r="J691" s="7" t="s">
        <v>18</v>
      </c>
      <c r="K691" s="7" t="s">
        <v>61</v>
      </c>
      <c r="L691" s="8">
        <v>1.770827655163E12</v>
      </c>
      <c r="M691" s="9"/>
      <c r="N691" s="10"/>
      <c r="O691" s="10"/>
      <c r="P691" s="10"/>
      <c r="Q691" s="10"/>
      <c r="R691" s="10"/>
      <c r="S691" s="10"/>
      <c r="T691" s="10"/>
      <c r="U691" s="10"/>
      <c r="V691" s="10"/>
    </row>
    <row r="692" ht="22.5" customHeight="1">
      <c r="A692" s="5">
        <v>2.01513903799E11</v>
      </c>
      <c r="B692" s="5" t="s">
        <v>787</v>
      </c>
      <c r="C692" s="5">
        <v>524741291428</v>
      </c>
      <c r="D692" s="5" t="s">
        <v>13</v>
      </c>
      <c r="E692" s="5">
        <v>8.0566583E7</v>
      </c>
      <c r="F692" s="5" t="s">
        <v>65</v>
      </c>
      <c r="G692" s="5" t="s">
        <v>15</v>
      </c>
      <c r="H692" s="5" t="s">
        <v>51</v>
      </c>
      <c r="I692" s="6" t="s">
        <v>17</v>
      </c>
      <c r="J692" s="7" t="s">
        <v>18</v>
      </c>
      <c r="K692" s="7" t="s">
        <v>61</v>
      </c>
      <c r="L692" s="8">
        <v>1.770828830695E12</v>
      </c>
      <c r="M692" s="9"/>
      <c r="N692" s="10"/>
      <c r="O692" s="10"/>
      <c r="P692" s="10"/>
      <c r="Q692" s="10"/>
      <c r="R692" s="10"/>
      <c r="S692" s="10"/>
      <c r="T692" s="10"/>
      <c r="U692" s="10"/>
      <c r="V692" s="10"/>
    </row>
    <row r="693" ht="22.5" customHeight="1">
      <c r="A693" s="5">
        <v>2.01530016522E11</v>
      </c>
      <c r="B693" s="5" t="s">
        <v>788</v>
      </c>
      <c r="C693" s="5">
        <v>5541987284305</v>
      </c>
      <c r="D693" s="5" t="s">
        <v>13</v>
      </c>
      <c r="E693" s="5">
        <v>7.9360573E7</v>
      </c>
      <c r="F693" s="5" t="s">
        <v>39</v>
      </c>
      <c r="G693" s="5" t="s">
        <v>32</v>
      </c>
      <c r="H693" s="5" t="s">
        <v>165</v>
      </c>
      <c r="I693" s="6" t="s">
        <v>17</v>
      </c>
      <c r="J693" s="7" t="s">
        <v>34</v>
      </c>
      <c r="K693" s="7"/>
      <c r="L693" s="8">
        <v>1.770832132984E12</v>
      </c>
      <c r="M693" s="9"/>
      <c r="N693" s="10"/>
      <c r="O693" s="10"/>
      <c r="P693" s="10"/>
      <c r="Q693" s="10"/>
      <c r="R693" s="10"/>
      <c r="S693" s="10"/>
      <c r="T693" s="10"/>
      <c r="U693" s="10"/>
      <c r="V693" s="10"/>
    </row>
    <row r="694" ht="22.5" customHeight="1">
      <c r="A694" s="5">
        <v>2.01533590316E11</v>
      </c>
      <c r="B694" s="5" t="s">
        <v>789</v>
      </c>
      <c r="C694" s="5">
        <v>5511992307635</v>
      </c>
      <c r="D694" s="5" t="s">
        <v>13</v>
      </c>
      <c r="E694" s="5">
        <v>7.9360573E7</v>
      </c>
      <c r="F694" s="5" t="s">
        <v>714</v>
      </c>
      <c r="G694" s="5" t="s">
        <v>15</v>
      </c>
      <c r="H694" s="5" t="s">
        <v>24</v>
      </c>
      <c r="I694" s="6" t="s">
        <v>17</v>
      </c>
      <c r="J694" s="7" t="s">
        <v>18</v>
      </c>
      <c r="K694" s="7" t="s">
        <v>45</v>
      </c>
      <c r="L694" s="8">
        <v>1.770834695342E12</v>
      </c>
      <c r="M694" s="9"/>
      <c r="N694" s="10"/>
      <c r="O694" s="10"/>
      <c r="P694" s="10"/>
      <c r="Q694" s="10"/>
      <c r="R694" s="10"/>
      <c r="S694" s="10"/>
      <c r="T694" s="10"/>
      <c r="U694" s="10"/>
      <c r="V694" s="10"/>
    </row>
    <row r="695" ht="22.5" customHeight="1">
      <c r="A695" s="5">
        <v>2.01567690631E11</v>
      </c>
      <c r="B695" s="5" t="s">
        <v>790</v>
      </c>
      <c r="C695" s="5">
        <v>51965707331</v>
      </c>
      <c r="D695" s="5" t="s">
        <v>13</v>
      </c>
      <c r="E695" s="5">
        <v>8.0566583E7</v>
      </c>
      <c r="F695" s="5" t="s">
        <v>93</v>
      </c>
      <c r="G695" s="5" t="s">
        <v>15</v>
      </c>
      <c r="H695" s="5" t="s">
        <v>33</v>
      </c>
      <c r="I695" s="6" t="s">
        <v>17</v>
      </c>
      <c r="J695" s="7" t="s">
        <v>18</v>
      </c>
      <c r="K695" s="7" t="s">
        <v>61</v>
      </c>
      <c r="L695" s="8">
        <v>1.7708347572E12</v>
      </c>
      <c r="M695" s="9"/>
      <c r="N695" s="10"/>
      <c r="O695" s="10"/>
      <c r="P695" s="10"/>
      <c r="Q695" s="10"/>
      <c r="R695" s="10"/>
      <c r="S695" s="10"/>
      <c r="T695" s="10"/>
      <c r="U695" s="10"/>
      <c r="V695" s="10"/>
    </row>
    <row r="696" ht="22.5" customHeight="1">
      <c r="A696" s="5">
        <v>2.01566839851E11</v>
      </c>
      <c r="B696" s="5" t="s">
        <v>791</v>
      </c>
      <c r="C696" s="5">
        <v>51917807941</v>
      </c>
      <c r="D696" s="5" t="s">
        <v>22</v>
      </c>
      <c r="E696" s="5">
        <v>8.0566583E7</v>
      </c>
      <c r="F696" s="5" t="s">
        <v>28</v>
      </c>
      <c r="G696" s="5" t="s">
        <v>44</v>
      </c>
      <c r="H696" s="5" t="s">
        <v>16</v>
      </c>
      <c r="I696" s="6" t="s">
        <v>17</v>
      </c>
      <c r="J696" s="7" t="s">
        <v>34</v>
      </c>
      <c r="K696" s="7"/>
      <c r="L696" s="8">
        <v>1.770834984551E12</v>
      </c>
      <c r="M696" s="9"/>
      <c r="N696" s="10"/>
      <c r="O696" s="10"/>
      <c r="P696" s="10"/>
      <c r="Q696" s="10"/>
      <c r="R696" s="10"/>
      <c r="S696" s="10"/>
      <c r="T696" s="10"/>
      <c r="U696" s="10"/>
      <c r="V696" s="10"/>
    </row>
    <row r="697" ht="22.5" customHeight="1">
      <c r="A697" s="5">
        <v>2.01180695834E11</v>
      </c>
      <c r="B697" s="5" t="s">
        <v>792</v>
      </c>
      <c r="C697" s="5">
        <v>51961680332</v>
      </c>
      <c r="D697" s="5" t="s">
        <v>13</v>
      </c>
      <c r="E697" s="5">
        <v>8.7547393E7</v>
      </c>
      <c r="F697" s="5" t="s">
        <v>510</v>
      </c>
      <c r="G697" s="5" t="s">
        <v>15</v>
      </c>
      <c r="H697" s="5" t="s">
        <v>16</v>
      </c>
      <c r="I697" s="6" t="s">
        <v>17</v>
      </c>
      <c r="J697" s="7" t="s">
        <v>34</v>
      </c>
      <c r="K697" s="7"/>
      <c r="L697" s="8">
        <v>1.770835135657E12</v>
      </c>
      <c r="M697" s="9"/>
      <c r="N697" s="10"/>
      <c r="O697" s="10"/>
      <c r="P697" s="10"/>
      <c r="Q697" s="10"/>
      <c r="R697" s="10"/>
      <c r="S697" s="10"/>
      <c r="T697" s="10"/>
      <c r="U697" s="10"/>
      <c r="V697" s="10"/>
    </row>
    <row r="698" ht="22.5" customHeight="1">
      <c r="A698" s="5">
        <v>2.01570131114E11</v>
      </c>
      <c r="B698" s="5" t="s">
        <v>793</v>
      </c>
      <c r="C698" s="5">
        <v>51982340670</v>
      </c>
      <c r="D698" s="5" t="s">
        <v>38</v>
      </c>
      <c r="E698" s="5">
        <v>8.0566583E7</v>
      </c>
      <c r="F698" s="5"/>
      <c r="G698" s="5"/>
      <c r="H698" s="5"/>
      <c r="I698" s="6"/>
      <c r="J698" s="7" t="s">
        <v>34</v>
      </c>
      <c r="K698" s="7"/>
      <c r="L698" s="8">
        <v>1.770835355944E12</v>
      </c>
      <c r="M698" s="9"/>
      <c r="N698" s="10"/>
      <c r="O698" s="10"/>
      <c r="P698" s="10"/>
      <c r="Q698" s="10"/>
      <c r="R698" s="10"/>
      <c r="S698" s="10"/>
      <c r="T698" s="10"/>
      <c r="U698" s="10"/>
      <c r="V698" s="10"/>
    </row>
    <row r="699" ht="22.5" customHeight="1">
      <c r="A699" s="5">
        <v>2.01567432787E11</v>
      </c>
      <c r="B699" s="5" t="s">
        <v>794</v>
      </c>
      <c r="C699" s="5">
        <v>51972669995</v>
      </c>
      <c r="D699" s="5" t="s">
        <v>22</v>
      </c>
      <c r="E699" s="5">
        <v>8.0566583E7</v>
      </c>
      <c r="F699" s="5" t="s">
        <v>28</v>
      </c>
      <c r="G699" s="5" t="s">
        <v>44</v>
      </c>
      <c r="H699" s="5" t="s">
        <v>16</v>
      </c>
      <c r="I699" s="6" t="s">
        <v>17</v>
      </c>
      <c r="J699" s="7" t="s">
        <v>34</v>
      </c>
      <c r="K699" s="7"/>
      <c r="L699" s="8">
        <v>1.770837412352E12</v>
      </c>
      <c r="M699" s="9"/>
      <c r="N699" s="10"/>
      <c r="O699" s="10"/>
      <c r="P699" s="10"/>
      <c r="Q699" s="10"/>
      <c r="R699" s="10"/>
      <c r="S699" s="10"/>
      <c r="T699" s="10"/>
      <c r="U699" s="10"/>
      <c r="V699" s="10"/>
    </row>
    <row r="700" ht="22.5" customHeight="1">
      <c r="A700" s="5">
        <v>1.87467257205E11</v>
      </c>
      <c r="B700" s="5" t="s">
        <v>795</v>
      </c>
      <c r="C700" s="5">
        <v>51974371553</v>
      </c>
      <c r="D700" s="5" t="s">
        <v>22</v>
      </c>
      <c r="E700" s="5">
        <v>8.0566583E7</v>
      </c>
      <c r="F700" s="5" t="s">
        <v>28</v>
      </c>
      <c r="G700" s="5" t="s">
        <v>104</v>
      </c>
      <c r="H700" s="5"/>
      <c r="I700" s="6"/>
      <c r="J700" s="7" t="s">
        <v>34</v>
      </c>
      <c r="K700" s="7"/>
      <c r="L700" s="8">
        <v>1.770837793244E12</v>
      </c>
      <c r="M700" s="9"/>
      <c r="N700" s="10"/>
      <c r="O700" s="10"/>
      <c r="P700" s="10"/>
      <c r="Q700" s="10"/>
      <c r="R700" s="10"/>
      <c r="S700" s="10"/>
      <c r="T700" s="10"/>
      <c r="U700" s="10"/>
      <c r="V700" s="10"/>
    </row>
    <row r="701" ht="22.5" customHeight="1">
      <c r="A701" s="5">
        <v>2.01573680534E11</v>
      </c>
      <c r="B701" s="5" t="s">
        <v>796</v>
      </c>
      <c r="C701" s="5">
        <v>5562991142815</v>
      </c>
      <c r="D701" s="5" t="s">
        <v>38</v>
      </c>
      <c r="E701" s="5">
        <v>7.9360573E7</v>
      </c>
      <c r="F701" s="5"/>
      <c r="G701" s="5"/>
      <c r="H701" s="5"/>
      <c r="I701" s="6"/>
      <c r="J701" s="7" t="s">
        <v>124</v>
      </c>
      <c r="K701" s="7" t="s">
        <v>712</v>
      </c>
      <c r="L701" s="8">
        <v>1.770839147602E12</v>
      </c>
      <c r="M701" s="9"/>
      <c r="N701" s="10"/>
      <c r="O701" s="10"/>
      <c r="P701" s="10"/>
      <c r="Q701" s="10"/>
      <c r="R701" s="10"/>
      <c r="S701" s="10"/>
      <c r="T701" s="10"/>
      <c r="U701" s="10"/>
      <c r="V701" s="10"/>
    </row>
    <row r="702" ht="22.5" customHeight="1">
      <c r="A702" s="5">
        <v>2.01575186697E11</v>
      </c>
      <c r="B702" s="5" t="s">
        <v>797</v>
      </c>
      <c r="C702" s="5">
        <v>5513996897302</v>
      </c>
      <c r="D702" s="5" t="s">
        <v>13</v>
      </c>
      <c r="E702" s="5">
        <v>7.9360573E7</v>
      </c>
      <c r="F702" s="5" t="s">
        <v>510</v>
      </c>
      <c r="G702" s="5" t="s">
        <v>15</v>
      </c>
      <c r="H702" s="5" t="s">
        <v>24</v>
      </c>
      <c r="I702" s="6" t="s">
        <v>17</v>
      </c>
      <c r="J702" s="7" t="s">
        <v>58</v>
      </c>
      <c r="K702" s="11" t="s">
        <v>59</v>
      </c>
      <c r="L702" s="8">
        <v>1.770839293557E12</v>
      </c>
      <c r="M702" s="9"/>
      <c r="N702" s="10"/>
      <c r="O702" s="10"/>
      <c r="P702" s="10"/>
      <c r="Q702" s="10"/>
      <c r="R702" s="10"/>
      <c r="S702" s="10"/>
      <c r="T702" s="10"/>
      <c r="U702" s="10"/>
      <c r="V702" s="10"/>
    </row>
    <row r="703" ht="22.5" customHeight="1">
      <c r="A703" s="5">
        <v>2.0154372557E11</v>
      </c>
      <c r="B703" s="5" t="s">
        <v>798</v>
      </c>
      <c r="C703" s="5">
        <v>527451007604</v>
      </c>
      <c r="D703" s="5" t="s">
        <v>103</v>
      </c>
      <c r="E703" s="5">
        <v>8.7547393E7</v>
      </c>
      <c r="F703" s="5" t="s">
        <v>39</v>
      </c>
      <c r="G703" s="5" t="s">
        <v>79</v>
      </c>
      <c r="H703" s="5" t="s">
        <v>33</v>
      </c>
      <c r="I703" s="6" t="s">
        <v>17</v>
      </c>
      <c r="J703" s="7" t="s">
        <v>34</v>
      </c>
      <c r="K703" s="7"/>
      <c r="L703" s="8">
        <v>1.77084100036E12</v>
      </c>
      <c r="M703" s="9"/>
      <c r="N703" s="10"/>
      <c r="O703" s="10"/>
      <c r="P703" s="10"/>
      <c r="Q703" s="10"/>
      <c r="R703" s="10"/>
      <c r="S703" s="10"/>
      <c r="T703" s="10"/>
      <c r="U703" s="10"/>
      <c r="V703" s="10"/>
    </row>
    <row r="704" ht="22.5" customHeight="1">
      <c r="A704" s="5">
        <v>2.01090892879E11</v>
      </c>
      <c r="B704" s="5" t="s">
        <v>799</v>
      </c>
      <c r="C704" s="5">
        <v>51977528368</v>
      </c>
      <c r="D704" s="5" t="s">
        <v>13</v>
      </c>
      <c r="E704" s="5">
        <v>8.0566583E7</v>
      </c>
      <c r="F704" s="5" t="s">
        <v>714</v>
      </c>
      <c r="G704" s="5" t="s">
        <v>15</v>
      </c>
      <c r="H704" s="5" t="s">
        <v>29</v>
      </c>
      <c r="I704" s="6" t="s">
        <v>36</v>
      </c>
      <c r="J704" s="7" t="s">
        <v>34</v>
      </c>
      <c r="K704" s="7"/>
      <c r="L704" s="8">
        <v>1.77084193485E12</v>
      </c>
      <c r="M704" s="9"/>
      <c r="N704" s="10"/>
      <c r="O704" s="10"/>
      <c r="P704" s="10"/>
      <c r="Q704" s="10"/>
      <c r="R704" s="10"/>
      <c r="S704" s="10"/>
      <c r="T704" s="10"/>
      <c r="U704" s="10"/>
      <c r="V704" s="10"/>
    </row>
    <row r="705" ht="22.5" customHeight="1">
      <c r="A705" s="5">
        <v>2.01575659627E11</v>
      </c>
      <c r="B705" s="5" t="s">
        <v>800</v>
      </c>
      <c r="C705" s="5">
        <v>5514997793079</v>
      </c>
      <c r="D705" s="5" t="s">
        <v>13</v>
      </c>
      <c r="E705" s="5">
        <v>7.9360573E7</v>
      </c>
      <c r="F705" s="5" t="s">
        <v>65</v>
      </c>
      <c r="G705" s="5"/>
      <c r="H705" s="5" t="s">
        <v>24</v>
      </c>
      <c r="I705" s="6" t="s">
        <v>17</v>
      </c>
      <c r="J705" s="7" t="s">
        <v>34</v>
      </c>
      <c r="K705" s="7"/>
      <c r="L705" s="8">
        <v>1.77084230629E12</v>
      </c>
      <c r="M705" s="9"/>
      <c r="N705" s="10"/>
      <c r="O705" s="10"/>
      <c r="P705" s="10"/>
      <c r="Q705" s="10"/>
      <c r="R705" s="10"/>
      <c r="S705" s="10"/>
      <c r="T705" s="10"/>
      <c r="U705" s="10"/>
      <c r="V705" s="10"/>
    </row>
    <row r="706" ht="22.5" customHeight="1">
      <c r="A706" s="5">
        <v>2.01539908353E11</v>
      </c>
      <c r="B706" s="5" t="s">
        <v>801</v>
      </c>
      <c r="C706" s="5">
        <v>51987953095</v>
      </c>
      <c r="D706" s="5" t="s">
        <v>103</v>
      </c>
      <c r="E706" s="5">
        <v>8.0566583E7</v>
      </c>
      <c r="F706" s="5" t="s">
        <v>42</v>
      </c>
      <c r="G706" s="5" t="s">
        <v>79</v>
      </c>
      <c r="H706" s="5" t="s">
        <v>100</v>
      </c>
      <c r="I706" s="6" t="s">
        <v>148</v>
      </c>
      <c r="J706" s="7" t="s">
        <v>34</v>
      </c>
      <c r="K706" s="7"/>
      <c r="L706" s="8">
        <v>1.770843191759E12</v>
      </c>
      <c r="M706" s="9"/>
      <c r="N706" s="10"/>
      <c r="O706" s="10"/>
      <c r="P706" s="10"/>
      <c r="Q706" s="10"/>
      <c r="R706" s="10"/>
      <c r="S706" s="10"/>
      <c r="T706" s="10"/>
      <c r="U706" s="10"/>
      <c r="V706" s="10"/>
    </row>
    <row r="707" ht="22.5" customHeight="1">
      <c r="A707" s="5">
        <v>1.82859139672E11</v>
      </c>
      <c r="B707" s="5" t="s">
        <v>802</v>
      </c>
      <c r="C707" s="5">
        <v>51906285888</v>
      </c>
      <c r="D707" s="5" t="s">
        <v>38</v>
      </c>
      <c r="E707" s="5"/>
      <c r="F707" s="5"/>
      <c r="G707" s="5"/>
      <c r="H707" s="5"/>
      <c r="I707" s="6"/>
      <c r="J707" s="7" t="s">
        <v>34</v>
      </c>
      <c r="K707" s="7"/>
      <c r="L707" s="8">
        <v>1.770843973223E12</v>
      </c>
      <c r="M707" s="9"/>
      <c r="N707" s="10"/>
      <c r="O707" s="10"/>
      <c r="P707" s="10"/>
      <c r="Q707" s="10"/>
      <c r="R707" s="10"/>
      <c r="S707" s="10"/>
      <c r="T707" s="10"/>
      <c r="U707" s="10"/>
      <c r="V707" s="10"/>
    </row>
    <row r="708" ht="22.5" customHeight="1">
      <c r="A708" s="5">
        <v>2.01582921871E11</v>
      </c>
      <c r="B708" s="5" t="s">
        <v>803</v>
      </c>
      <c r="C708" s="5">
        <v>5541992780595</v>
      </c>
      <c r="D708" s="5" t="s">
        <v>13</v>
      </c>
      <c r="E708" s="5">
        <v>7.9360573E7</v>
      </c>
      <c r="F708" s="5" t="s">
        <v>510</v>
      </c>
      <c r="G708" s="5" t="s">
        <v>32</v>
      </c>
      <c r="H708" s="5" t="s">
        <v>66</v>
      </c>
      <c r="I708" s="6" t="s">
        <v>17</v>
      </c>
      <c r="J708" s="7" t="s">
        <v>34</v>
      </c>
      <c r="K708" s="7"/>
      <c r="L708" s="8">
        <v>1.770844634225E12</v>
      </c>
      <c r="M708" s="9"/>
      <c r="N708" s="10"/>
      <c r="O708" s="10"/>
      <c r="P708" s="10"/>
      <c r="Q708" s="10"/>
      <c r="R708" s="10"/>
      <c r="S708" s="10"/>
      <c r="T708" s="10"/>
      <c r="U708" s="10"/>
      <c r="V708" s="10"/>
    </row>
    <row r="709" ht="22.5" customHeight="1">
      <c r="A709" s="5">
        <v>2.01582921871E11</v>
      </c>
      <c r="B709" s="5" t="s">
        <v>803</v>
      </c>
      <c r="C709" s="5">
        <v>5541992780595</v>
      </c>
      <c r="D709" s="5" t="s">
        <v>13</v>
      </c>
      <c r="E709" s="5">
        <v>7.9360573E7</v>
      </c>
      <c r="F709" s="5" t="s">
        <v>510</v>
      </c>
      <c r="G709" s="5" t="s">
        <v>32</v>
      </c>
      <c r="H709" s="5" t="s">
        <v>66</v>
      </c>
      <c r="I709" s="6" t="s">
        <v>17</v>
      </c>
      <c r="J709" s="7" t="s">
        <v>34</v>
      </c>
      <c r="K709" s="7"/>
      <c r="L709" s="8">
        <v>1.770844646823E12</v>
      </c>
      <c r="M709" s="9"/>
      <c r="N709" s="10"/>
      <c r="O709" s="10"/>
      <c r="P709" s="10"/>
      <c r="Q709" s="10"/>
      <c r="R709" s="10"/>
      <c r="S709" s="10"/>
      <c r="T709" s="10"/>
      <c r="U709" s="10"/>
      <c r="V709" s="10"/>
    </row>
    <row r="710" ht="22.5" customHeight="1">
      <c r="A710" s="5">
        <v>2.01591460534E11</v>
      </c>
      <c r="B710" s="5" t="s">
        <v>804</v>
      </c>
      <c r="C710" s="5">
        <v>5547996325527</v>
      </c>
      <c r="D710" s="5" t="s">
        <v>13</v>
      </c>
      <c r="E710" s="5">
        <v>7.9360573E7</v>
      </c>
      <c r="F710" s="5" t="s">
        <v>259</v>
      </c>
      <c r="G710" s="5" t="s">
        <v>32</v>
      </c>
      <c r="H710" s="5" t="s">
        <v>16</v>
      </c>
      <c r="I710" s="6" t="s">
        <v>17</v>
      </c>
      <c r="J710" s="7" t="s">
        <v>34</v>
      </c>
      <c r="K710" s="7"/>
      <c r="L710" s="8">
        <v>1.770848879959E12</v>
      </c>
      <c r="M710" s="9"/>
      <c r="N710" s="10"/>
      <c r="O710" s="10"/>
      <c r="P710" s="10"/>
      <c r="Q710" s="10"/>
      <c r="R710" s="10"/>
      <c r="S710" s="10"/>
      <c r="T710" s="10"/>
      <c r="U710" s="10"/>
      <c r="V710" s="10"/>
    </row>
    <row r="711" ht="22.5" customHeight="1">
      <c r="A711" s="5">
        <v>2.0160128217E11</v>
      </c>
      <c r="B711" s="5" t="s">
        <v>805</v>
      </c>
      <c r="C711" s="5">
        <v>51935836716</v>
      </c>
      <c r="D711" s="5" t="s">
        <v>38</v>
      </c>
      <c r="E711" s="5">
        <v>8.7547393E7</v>
      </c>
      <c r="F711" s="5"/>
      <c r="G711" s="5"/>
      <c r="H711" s="5"/>
      <c r="I711" s="6"/>
      <c r="J711" s="7" t="s">
        <v>18</v>
      </c>
      <c r="K711" s="7" t="s">
        <v>19</v>
      </c>
      <c r="L711" s="8">
        <v>1.770853109659E12</v>
      </c>
      <c r="M711" s="9"/>
      <c r="N711" s="10"/>
      <c r="O711" s="10"/>
      <c r="P711" s="10"/>
      <c r="Q711" s="10"/>
      <c r="R711" s="10"/>
      <c r="S711" s="10"/>
      <c r="T711" s="10"/>
      <c r="U711" s="10"/>
      <c r="V711" s="10"/>
    </row>
    <row r="712" ht="22.5" customHeight="1">
      <c r="A712" s="5">
        <v>2.01612933786E11</v>
      </c>
      <c r="B712" s="5" t="s">
        <v>806</v>
      </c>
      <c r="C712" s="5">
        <v>51938464208</v>
      </c>
      <c r="D712" s="5" t="s">
        <v>13</v>
      </c>
      <c r="E712" s="5">
        <v>8.7547393E7</v>
      </c>
      <c r="F712" s="5" t="s">
        <v>510</v>
      </c>
      <c r="G712" s="5" t="s">
        <v>15</v>
      </c>
      <c r="H712" s="5" t="s">
        <v>807</v>
      </c>
      <c r="I712" s="6" t="s">
        <v>17</v>
      </c>
      <c r="J712" s="7" t="s">
        <v>18</v>
      </c>
      <c r="K712" s="7" t="s">
        <v>19</v>
      </c>
      <c r="L712" s="8">
        <v>1.770853591812E12</v>
      </c>
      <c r="M712" s="9"/>
      <c r="N712" s="10"/>
      <c r="O712" s="10"/>
      <c r="P712" s="10"/>
      <c r="Q712" s="10"/>
      <c r="R712" s="10"/>
      <c r="S712" s="10"/>
      <c r="T712" s="10"/>
      <c r="U712" s="10"/>
      <c r="V712" s="10"/>
    </row>
    <row r="713" ht="22.5" customHeight="1">
      <c r="A713" s="5">
        <v>1.99315742837E11</v>
      </c>
      <c r="B713" s="5" t="s">
        <v>280</v>
      </c>
      <c r="C713" s="5">
        <v>51940713934</v>
      </c>
      <c r="D713" s="5" t="s">
        <v>13</v>
      </c>
      <c r="E713" s="5">
        <v>8.7547393E7</v>
      </c>
      <c r="F713" s="5" t="s">
        <v>14</v>
      </c>
      <c r="G713" s="5" t="s">
        <v>32</v>
      </c>
      <c r="H713" s="5" t="s">
        <v>16</v>
      </c>
      <c r="I713" s="6" t="s">
        <v>17</v>
      </c>
      <c r="J713" s="7" t="s">
        <v>34</v>
      </c>
      <c r="K713" s="7"/>
      <c r="L713" s="8">
        <v>1.770853986412E12</v>
      </c>
      <c r="M713" s="9"/>
      <c r="N713" s="10"/>
      <c r="O713" s="10"/>
      <c r="P713" s="10"/>
      <c r="Q713" s="10"/>
      <c r="R713" s="10"/>
      <c r="S713" s="10"/>
      <c r="T713" s="10"/>
      <c r="U713" s="10"/>
      <c r="V713" s="10"/>
    </row>
    <row r="714" ht="22.5" customHeight="1">
      <c r="A714" s="5">
        <v>1.9480688879E11</v>
      </c>
      <c r="B714" s="5" t="s">
        <v>808</v>
      </c>
      <c r="C714" s="5">
        <v>51922189571</v>
      </c>
      <c r="D714" s="5" t="s">
        <v>13</v>
      </c>
      <c r="E714" s="5">
        <v>8.7547393E7</v>
      </c>
      <c r="F714" s="5" t="s">
        <v>28</v>
      </c>
      <c r="G714" s="5" t="s">
        <v>15</v>
      </c>
      <c r="H714" s="5" t="s">
        <v>29</v>
      </c>
      <c r="I714" s="6" t="s">
        <v>17</v>
      </c>
      <c r="J714" s="7" t="s">
        <v>34</v>
      </c>
      <c r="K714" s="7"/>
      <c r="L714" s="8">
        <v>1.770856094201E12</v>
      </c>
      <c r="M714" s="9"/>
      <c r="N714" s="10"/>
      <c r="O714" s="10"/>
      <c r="P714" s="10"/>
      <c r="Q714" s="10"/>
      <c r="R714" s="10"/>
      <c r="S714" s="10"/>
      <c r="T714" s="10"/>
      <c r="U714" s="10"/>
      <c r="V714" s="10"/>
    </row>
    <row r="715" ht="22.5" customHeight="1">
      <c r="A715" s="5">
        <v>2.01617045161E11</v>
      </c>
      <c r="B715" s="5" t="s">
        <v>809</v>
      </c>
      <c r="C715" s="5">
        <v>525551079029</v>
      </c>
      <c r="D715" s="5" t="s">
        <v>13</v>
      </c>
      <c r="E715" s="5">
        <v>8.0566583E7</v>
      </c>
      <c r="F715" s="5" t="s">
        <v>28</v>
      </c>
      <c r="G715" s="5" t="s">
        <v>15</v>
      </c>
      <c r="H715" s="5" t="s">
        <v>66</v>
      </c>
      <c r="I715" s="6" t="s">
        <v>17</v>
      </c>
      <c r="J715" s="7" t="s">
        <v>18</v>
      </c>
      <c r="K715" s="7" t="s">
        <v>61</v>
      </c>
      <c r="L715" s="8">
        <v>1.770857927134E12</v>
      </c>
      <c r="M715" s="9"/>
      <c r="N715" s="10"/>
      <c r="O715" s="10"/>
      <c r="P715" s="10"/>
      <c r="Q715" s="10"/>
      <c r="R715" s="10"/>
      <c r="S715" s="10"/>
      <c r="T715" s="10"/>
      <c r="U715" s="10"/>
      <c r="V715" s="10"/>
    </row>
    <row r="716" ht="22.5" customHeight="1">
      <c r="A716" s="5">
        <v>2.00292234624E11</v>
      </c>
      <c r="B716" s="5" t="s">
        <v>810</v>
      </c>
      <c r="C716" s="5">
        <v>523315288207</v>
      </c>
      <c r="D716" s="5" t="s">
        <v>38</v>
      </c>
      <c r="E716" s="5">
        <v>8.7547393E7</v>
      </c>
      <c r="F716" s="5" t="s">
        <v>28</v>
      </c>
      <c r="G716" s="5" t="s">
        <v>15</v>
      </c>
      <c r="H716" s="5" t="s">
        <v>29</v>
      </c>
      <c r="I716" s="6" t="s">
        <v>63</v>
      </c>
      <c r="J716" s="7" t="s">
        <v>18</v>
      </c>
      <c r="K716" s="7" t="s">
        <v>61</v>
      </c>
      <c r="L716" s="8">
        <v>1.770858336642E12</v>
      </c>
      <c r="M716" s="9"/>
      <c r="N716" s="10"/>
      <c r="O716" s="10"/>
      <c r="P716" s="10"/>
      <c r="Q716" s="10"/>
      <c r="R716" s="10"/>
      <c r="S716" s="10"/>
      <c r="T716" s="10"/>
      <c r="U716" s="10"/>
      <c r="V716" s="10"/>
    </row>
    <row r="717" ht="22.5" customHeight="1">
      <c r="A717" s="5">
        <v>2.01620247296E11</v>
      </c>
      <c r="B717" s="5" t="s">
        <v>811</v>
      </c>
      <c r="C717" s="5">
        <v>51947480713</v>
      </c>
      <c r="D717" s="5" t="s">
        <v>103</v>
      </c>
      <c r="E717" s="5">
        <v>8.0566583E7</v>
      </c>
      <c r="F717" s="5" t="s">
        <v>259</v>
      </c>
      <c r="G717" s="5" t="s">
        <v>79</v>
      </c>
      <c r="H717" s="5" t="s">
        <v>24</v>
      </c>
      <c r="I717" s="6" t="s">
        <v>17</v>
      </c>
      <c r="J717" s="7" t="s">
        <v>18</v>
      </c>
      <c r="K717" s="7" t="s">
        <v>19</v>
      </c>
      <c r="L717" s="8">
        <v>1.770858958285E12</v>
      </c>
      <c r="M717" s="9"/>
      <c r="N717" s="10"/>
      <c r="O717" s="10"/>
      <c r="P717" s="10"/>
      <c r="Q717" s="10"/>
      <c r="R717" s="10"/>
      <c r="S717" s="10"/>
      <c r="T717" s="10"/>
      <c r="U717" s="10"/>
      <c r="V717" s="10"/>
    </row>
    <row r="718" ht="22.5" customHeight="1">
      <c r="A718" s="5">
        <v>1.88384039765E11</v>
      </c>
      <c r="B718" s="5" t="s">
        <v>812</v>
      </c>
      <c r="C718" s="5">
        <v>526313185812</v>
      </c>
      <c r="D718" s="5" t="s">
        <v>38</v>
      </c>
      <c r="E718" s="5"/>
      <c r="F718" s="5" t="s">
        <v>259</v>
      </c>
      <c r="G718" s="5" t="s">
        <v>15</v>
      </c>
      <c r="H718" s="5" t="s">
        <v>51</v>
      </c>
      <c r="I718" s="6" t="s">
        <v>89</v>
      </c>
      <c r="J718" s="7" t="s">
        <v>18</v>
      </c>
      <c r="K718" s="7" t="s">
        <v>61</v>
      </c>
      <c r="L718" s="8">
        <v>1.770860273256E12</v>
      </c>
      <c r="M718" s="9"/>
      <c r="N718" s="10"/>
      <c r="O718" s="10"/>
      <c r="P718" s="10"/>
      <c r="Q718" s="10"/>
      <c r="R718" s="10"/>
      <c r="S718" s="10"/>
      <c r="T718" s="10"/>
      <c r="U718" s="10"/>
      <c r="V718" s="10"/>
    </row>
    <row r="719" ht="22.5" customHeight="1">
      <c r="A719" s="5">
        <v>2.01619008778E11</v>
      </c>
      <c r="B719" s="5" t="s">
        <v>813</v>
      </c>
      <c r="C719" s="5">
        <v>51955267591</v>
      </c>
      <c r="D719" s="5" t="s">
        <v>38</v>
      </c>
      <c r="E719" s="5">
        <v>8.7547393E7</v>
      </c>
      <c r="F719" s="5"/>
      <c r="G719" s="5"/>
      <c r="H719" s="5"/>
      <c r="I719" s="6"/>
      <c r="J719" s="7" t="s">
        <v>18</v>
      </c>
      <c r="K719" s="7" t="s">
        <v>19</v>
      </c>
      <c r="L719" s="8">
        <v>1.770860364094E12</v>
      </c>
      <c r="M719" s="9"/>
      <c r="N719" s="10"/>
      <c r="O719" s="10"/>
      <c r="P719" s="10"/>
      <c r="Q719" s="10"/>
      <c r="R719" s="10"/>
      <c r="S719" s="10"/>
      <c r="T719" s="10"/>
      <c r="U719" s="10"/>
      <c r="V719" s="10"/>
    </row>
    <row r="720" ht="22.5" customHeight="1">
      <c r="A720" s="5">
        <v>2.01636778391E11</v>
      </c>
      <c r="B720" s="5" t="s">
        <v>814</v>
      </c>
      <c r="C720" s="5">
        <v>51997411275</v>
      </c>
      <c r="D720" s="5" t="s">
        <v>13</v>
      </c>
      <c r="E720" s="5">
        <v>8.7547393E7</v>
      </c>
      <c r="F720" s="5" t="s">
        <v>259</v>
      </c>
      <c r="G720" s="5" t="s">
        <v>32</v>
      </c>
      <c r="H720" s="5" t="s">
        <v>16</v>
      </c>
      <c r="I720" s="6" t="s">
        <v>17</v>
      </c>
      <c r="J720" s="7" t="s">
        <v>34</v>
      </c>
      <c r="K720" s="7"/>
      <c r="L720" s="8">
        <v>1.770860578282E12</v>
      </c>
      <c r="M720" s="9"/>
      <c r="N720" s="10"/>
      <c r="O720" s="10"/>
      <c r="P720" s="10"/>
      <c r="Q720" s="10"/>
      <c r="R720" s="10"/>
      <c r="S720" s="10"/>
      <c r="T720" s="10"/>
      <c r="U720" s="10"/>
      <c r="V720" s="10"/>
    </row>
    <row r="721" ht="22.5" customHeight="1">
      <c r="A721" s="5">
        <v>2.01635946016E11</v>
      </c>
      <c r="B721" s="5" t="s">
        <v>815</v>
      </c>
      <c r="C721" s="5">
        <v>529715206687</v>
      </c>
      <c r="D721" s="5" t="s">
        <v>13</v>
      </c>
      <c r="E721" s="5">
        <v>8.0566583E7</v>
      </c>
      <c r="F721" s="5" t="s">
        <v>14</v>
      </c>
      <c r="G721" s="5" t="s">
        <v>15</v>
      </c>
      <c r="H721" s="5" t="s">
        <v>69</v>
      </c>
      <c r="I721" s="6" t="s">
        <v>17</v>
      </c>
      <c r="J721" s="7" t="s">
        <v>18</v>
      </c>
      <c r="K721" s="7" t="s">
        <v>61</v>
      </c>
      <c r="L721" s="8">
        <v>1.770860612506E12</v>
      </c>
      <c r="M721" s="9"/>
      <c r="N721" s="10"/>
      <c r="O721" s="10"/>
      <c r="P721" s="10"/>
      <c r="Q721" s="10"/>
      <c r="R721" s="10"/>
      <c r="S721" s="10"/>
      <c r="T721" s="10"/>
      <c r="U721" s="10"/>
      <c r="V721" s="10"/>
    </row>
    <row r="722" ht="22.5" customHeight="1">
      <c r="A722" s="5">
        <v>2.01627806387E11</v>
      </c>
      <c r="B722" s="5" t="s">
        <v>816</v>
      </c>
      <c r="C722" s="5">
        <v>51902588610</v>
      </c>
      <c r="D722" s="5" t="s">
        <v>13</v>
      </c>
      <c r="E722" s="5">
        <v>8.7547393E7</v>
      </c>
      <c r="F722" s="5" t="s">
        <v>510</v>
      </c>
      <c r="G722" s="5" t="s">
        <v>32</v>
      </c>
      <c r="H722" s="5" t="s">
        <v>24</v>
      </c>
      <c r="I722" s="6" t="s">
        <v>148</v>
      </c>
      <c r="J722" s="7" t="s">
        <v>58</v>
      </c>
      <c r="K722" s="11" t="s">
        <v>59</v>
      </c>
      <c r="L722" s="8">
        <v>1.770860786109E12</v>
      </c>
      <c r="M722" s="9"/>
      <c r="N722" s="10"/>
      <c r="O722" s="10"/>
      <c r="P722" s="10"/>
      <c r="Q722" s="10"/>
      <c r="R722" s="10"/>
      <c r="S722" s="10"/>
      <c r="T722" s="10"/>
      <c r="U722" s="10"/>
      <c r="V722" s="10"/>
    </row>
    <row r="723" ht="22.5" customHeight="1">
      <c r="A723" s="5">
        <v>2.01618853792E11</v>
      </c>
      <c r="B723" s="5" t="s">
        <v>817</v>
      </c>
      <c r="C723" s="5">
        <v>51925781977</v>
      </c>
      <c r="D723" s="5" t="s">
        <v>13</v>
      </c>
      <c r="E723" s="5">
        <v>8.0566583E7</v>
      </c>
      <c r="F723" s="5" t="s">
        <v>93</v>
      </c>
      <c r="G723" s="5" t="s">
        <v>15</v>
      </c>
      <c r="H723" s="5" t="s">
        <v>53</v>
      </c>
      <c r="I723" s="6" t="s">
        <v>17</v>
      </c>
      <c r="J723" s="7" t="s">
        <v>18</v>
      </c>
      <c r="K723" s="7" t="s">
        <v>19</v>
      </c>
      <c r="L723" s="8">
        <v>1.770861056091E12</v>
      </c>
      <c r="M723" s="9"/>
      <c r="N723" s="10"/>
      <c r="O723" s="10"/>
      <c r="P723" s="10"/>
      <c r="Q723" s="10"/>
      <c r="R723" s="10"/>
      <c r="S723" s="10"/>
      <c r="T723" s="10"/>
      <c r="U723" s="10"/>
      <c r="V723" s="10"/>
    </row>
    <row r="724" ht="22.5" customHeight="1">
      <c r="A724" s="5">
        <v>2.01630550693E11</v>
      </c>
      <c r="B724" s="5" t="s">
        <v>818</v>
      </c>
      <c r="C724" s="5">
        <v>5581996544407</v>
      </c>
      <c r="D724" s="5" t="s">
        <v>13</v>
      </c>
      <c r="E724" s="5">
        <v>7.9360573E7</v>
      </c>
      <c r="F724" s="5" t="s">
        <v>28</v>
      </c>
      <c r="G724" s="5" t="s">
        <v>32</v>
      </c>
      <c r="H724" s="5" t="s">
        <v>16</v>
      </c>
      <c r="I724" s="6" t="s">
        <v>17</v>
      </c>
      <c r="J724" s="7" t="s">
        <v>34</v>
      </c>
      <c r="K724" s="7"/>
      <c r="L724" s="8">
        <v>1.770861228171E12</v>
      </c>
      <c r="M724" s="9"/>
      <c r="N724" s="10"/>
      <c r="O724" s="10"/>
      <c r="P724" s="10"/>
      <c r="Q724" s="10"/>
      <c r="R724" s="10"/>
      <c r="S724" s="10"/>
      <c r="T724" s="10"/>
      <c r="U724" s="10"/>
      <c r="V724" s="10"/>
    </row>
    <row r="725" ht="22.5" customHeight="1">
      <c r="A725" s="5">
        <v>2.01636814408E11</v>
      </c>
      <c r="B725" s="5" t="s">
        <v>819</v>
      </c>
      <c r="C725" s="5">
        <v>529858082313</v>
      </c>
      <c r="D725" s="5" t="s">
        <v>13</v>
      </c>
      <c r="E725" s="5">
        <v>8.0566583E7</v>
      </c>
      <c r="F725" s="5" t="s">
        <v>42</v>
      </c>
      <c r="G725" s="5" t="s">
        <v>15</v>
      </c>
      <c r="H725" s="5" t="s">
        <v>51</v>
      </c>
      <c r="I725" s="6" t="s">
        <v>17</v>
      </c>
      <c r="J725" s="7" t="s">
        <v>18</v>
      </c>
      <c r="K725" s="7" t="s">
        <v>61</v>
      </c>
      <c r="L725" s="8">
        <v>1.770861243186E12</v>
      </c>
      <c r="M725" s="9"/>
      <c r="N725" s="10"/>
      <c r="O725" s="10"/>
      <c r="P725" s="10"/>
      <c r="Q725" s="10"/>
      <c r="R725" s="10"/>
      <c r="S725" s="10"/>
      <c r="T725" s="10"/>
      <c r="U725" s="10"/>
      <c r="V725" s="10"/>
    </row>
    <row r="726" ht="22.5" customHeight="1">
      <c r="A726" s="5">
        <v>2.01635762065E11</v>
      </c>
      <c r="B726" s="5" t="s">
        <v>820</v>
      </c>
      <c r="C726" s="5">
        <v>13128105272</v>
      </c>
      <c r="D726" s="5" t="s">
        <v>13</v>
      </c>
      <c r="E726" s="5">
        <v>8.0566583E7</v>
      </c>
      <c r="F726" s="5" t="s">
        <v>259</v>
      </c>
      <c r="G726" s="5" t="s">
        <v>15</v>
      </c>
      <c r="H726" s="5" t="s">
        <v>51</v>
      </c>
      <c r="I726" s="6" t="s">
        <v>17</v>
      </c>
      <c r="J726" s="7" t="s">
        <v>18</v>
      </c>
      <c r="K726" s="7" t="s">
        <v>116</v>
      </c>
      <c r="L726" s="8">
        <v>1.770861336574E12</v>
      </c>
      <c r="M726" s="9"/>
      <c r="N726" s="10"/>
      <c r="O726" s="10"/>
      <c r="P726" s="10"/>
      <c r="Q726" s="10"/>
      <c r="R726" s="10"/>
      <c r="S726" s="10"/>
      <c r="T726" s="10"/>
      <c r="U726" s="10"/>
      <c r="V726" s="10"/>
    </row>
    <row r="727" ht="22.5" customHeight="1">
      <c r="A727" s="5">
        <v>2.01630550693E11</v>
      </c>
      <c r="B727" s="5" t="s">
        <v>818</v>
      </c>
      <c r="C727" s="5">
        <v>5581996544407</v>
      </c>
      <c r="D727" s="5" t="s">
        <v>13</v>
      </c>
      <c r="E727" s="5">
        <v>7.9360573E7</v>
      </c>
      <c r="F727" s="5" t="s">
        <v>28</v>
      </c>
      <c r="G727" s="5" t="s">
        <v>32</v>
      </c>
      <c r="H727" s="5" t="s">
        <v>16</v>
      </c>
      <c r="I727" s="6" t="s">
        <v>17</v>
      </c>
      <c r="J727" s="7" t="s">
        <v>34</v>
      </c>
      <c r="K727" s="7"/>
      <c r="L727" s="8">
        <v>1.770861798935E12</v>
      </c>
      <c r="M727" s="9"/>
      <c r="N727" s="10"/>
      <c r="O727" s="10"/>
      <c r="P727" s="10"/>
      <c r="Q727" s="10"/>
      <c r="R727" s="10"/>
      <c r="S727" s="10"/>
      <c r="T727" s="10"/>
      <c r="U727" s="10"/>
      <c r="V727" s="10"/>
    </row>
    <row r="728" ht="22.5" customHeight="1">
      <c r="A728" s="5">
        <v>2.01623242537E11</v>
      </c>
      <c r="B728" s="5" t="s">
        <v>821</v>
      </c>
      <c r="C728" s="5">
        <v>51961377834</v>
      </c>
      <c r="D728" s="5" t="s">
        <v>13</v>
      </c>
      <c r="E728" s="5">
        <v>8.7547393E7</v>
      </c>
      <c r="F728" s="5" t="s">
        <v>28</v>
      </c>
      <c r="G728" s="5" t="s">
        <v>15</v>
      </c>
      <c r="H728" s="5" t="s">
        <v>51</v>
      </c>
      <c r="I728" s="6" t="s">
        <v>17</v>
      </c>
      <c r="J728" s="7" t="s">
        <v>18</v>
      </c>
      <c r="K728" s="7" t="s">
        <v>19</v>
      </c>
      <c r="L728" s="8">
        <v>1.770862087629E12</v>
      </c>
      <c r="M728" s="9"/>
      <c r="N728" s="10"/>
      <c r="O728" s="10"/>
      <c r="P728" s="10"/>
      <c r="Q728" s="10"/>
      <c r="R728" s="10"/>
      <c r="S728" s="10"/>
      <c r="T728" s="10"/>
      <c r="U728" s="10"/>
      <c r="V728" s="10"/>
    </row>
    <row r="729" ht="22.5" customHeight="1">
      <c r="A729" s="5">
        <v>2.0162961435E11</v>
      </c>
      <c r="B729" s="5" t="s">
        <v>822</v>
      </c>
      <c r="C729" s="5">
        <v>523861066947</v>
      </c>
      <c r="D729" s="5" t="s">
        <v>13</v>
      </c>
      <c r="E729" s="5">
        <v>8.7547393E7</v>
      </c>
      <c r="F729" s="5" t="s">
        <v>93</v>
      </c>
      <c r="G729" s="5" t="s">
        <v>15</v>
      </c>
      <c r="H729" s="5" t="s">
        <v>66</v>
      </c>
      <c r="I729" s="6" t="s">
        <v>17</v>
      </c>
      <c r="J729" s="7" t="s">
        <v>18</v>
      </c>
      <c r="K729" s="7" t="s">
        <v>61</v>
      </c>
      <c r="L729" s="8">
        <v>1.770862349214E12</v>
      </c>
      <c r="M729" s="9"/>
      <c r="N729" s="10"/>
      <c r="O729" s="10"/>
      <c r="P729" s="10"/>
      <c r="Q729" s="10"/>
      <c r="R729" s="10"/>
      <c r="S729" s="10"/>
      <c r="T729" s="10"/>
      <c r="U729" s="10"/>
      <c r="V729" s="10"/>
    </row>
    <row r="730" ht="22.5" customHeight="1">
      <c r="A730" s="5">
        <v>1.90092030902E11</v>
      </c>
      <c r="B730" s="5" t="s">
        <v>823</v>
      </c>
      <c r="C730" s="5">
        <v>51969557120</v>
      </c>
      <c r="D730" s="5" t="s">
        <v>13</v>
      </c>
      <c r="E730" s="5">
        <v>8.0566583E7</v>
      </c>
      <c r="F730" s="5" t="s">
        <v>28</v>
      </c>
      <c r="G730" s="5" t="s">
        <v>15</v>
      </c>
      <c r="H730" s="5" t="s">
        <v>66</v>
      </c>
      <c r="I730" s="6" t="s">
        <v>17</v>
      </c>
      <c r="J730" s="7" t="s">
        <v>18</v>
      </c>
      <c r="K730" s="7" t="s">
        <v>19</v>
      </c>
      <c r="L730" s="8">
        <v>1.770862630708E12</v>
      </c>
      <c r="M730" s="9"/>
      <c r="N730" s="10"/>
      <c r="O730" s="10"/>
      <c r="P730" s="10"/>
      <c r="Q730" s="10"/>
      <c r="R730" s="10"/>
      <c r="S730" s="10"/>
      <c r="T730" s="10"/>
      <c r="U730" s="10"/>
      <c r="V730" s="10"/>
    </row>
    <row r="731" ht="22.5" customHeight="1">
      <c r="A731" s="5">
        <v>2.0163193329E11</v>
      </c>
      <c r="B731" s="5" t="s">
        <v>824</v>
      </c>
      <c r="C731" s="5">
        <v>522293910500</v>
      </c>
      <c r="D731" s="5" t="s">
        <v>38</v>
      </c>
      <c r="E731" s="5">
        <v>8.7547393E7</v>
      </c>
      <c r="F731" s="5"/>
      <c r="G731" s="5"/>
      <c r="H731" s="5"/>
      <c r="I731" s="6"/>
      <c r="J731" s="7" t="s">
        <v>18</v>
      </c>
      <c r="K731" s="7" t="s">
        <v>61</v>
      </c>
      <c r="L731" s="8">
        <v>1.770863554415E12</v>
      </c>
      <c r="M731" s="9"/>
      <c r="N731" s="10"/>
      <c r="O731" s="10"/>
      <c r="P731" s="10"/>
      <c r="Q731" s="10"/>
      <c r="R731" s="10"/>
      <c r="S731" s="10"/>
      <c r="T731" s="10"/>
      <c r="U731" s="10"/>
      <c r="V731" s="10"/>
    </row>
    <row r="732" ht="22.5" customHeight="1">
      <c r="A732" s="5">
        <v>2.01639817992E11</v>
      </c>
      <c r="B732" s="5" t="s">
        <v>825</v>
      </c>
      <c r="C732" s="5">
        <v>51907240689</v>
      </c>
      <c r="D732" s="5" t="s">
        <v>13</v>
      </c>
      <c r="E732" s="5">
        <v>8.0566583E7</v>
      </c>
      <c r="F732" s="5" t="s">
        <v>42</v>
      </c>
      <c r="G732" s="5" t="s">
        <v>15</v>
      </c>
      <c r="H732" s="5" t="s">
        <v>16</v>
      </c>
      <c r="I732" s="6" t="s">
        <v>17</v>
      </c>
      <c r="J732" s="7" t="s">
        <v>34</v>
      </c>
      <c r="K732" s="7"/>
      <c r="L732" s="8">
        <v>1.770863663851E12</v>
      </c>
      <c r="M732" s="9"/>
      <c r="N732" s="10"/>
      <c r="O732" s="10"/>
      <c r="P732" s="10"/>
      <c r="Q732" s="10"/>
      <c r="R732" s="10"/>
      <c r="S732" s="10"/>
      <c r="T732" s="10"/>
      <c r="U732" s="10"/>
      <c r="V732" s="10"/>
    </row>
    <row r="733" ht="22.5" customHeight="1">
      <c r="A733" s="5">
        <v>2.01639383466E11</v>
      </c>
      <c r="B733" s="5" t="s">
        <v>826</v>
      </c>
      <c r="C733" s="5">
        <v>5591985900226</v>
      </c>
      <c r="D733" s="5" t="s">
        <v>13</v>
      </c>
      <c r="E733" s="5">
        <v>7.9360573E7</v>
      </c>
      <c r="F733" s="5" t="s">
        <v>259</v>
      </c>
      <c r="G733" s="5" t="s">
        <v>15</v>
      </c>
      <c r="H733" s="5" t="s">
        <v>51</v>
      </c>
      <c r="I733" s="6" t="s">
        <v>17</v>
      </c>
      <c r="J733" s="7" t="s">
        <v>34</v>
      </c>
      <c r="K733" s="7"/>
      <c r="L733" s="8">
        <v>1.770865013489E12</v>
      </c>
      <c r="M733" s="9"/>
      <c r="N733" s="10"/>
      <c r="O733" s="10"/>
      <c r="P733" s="10"/>
      <c r="Q733" s="10"/>
      <c r="R733" s="10"/>
      <c r="S733" s="10"/>
      <c r="T733" s="10"/>
      <c r="U733" s="10"/>
      <c r="V733" s="10"/>
    </row>
    <row r="734" ht="22.5" customHeight="1">
      <c r="A734" s="5">
        <v>2.0164524213E11</v>
      </c>
      <c r="B734" s="5" t="s">
        <v>827</v>
      </c>
      <c r="C734" s="5">
        <v>51997631809</v>
      </c>
      <c r="D734" s="5" t="s">
        <v>38</v>
      </c>
      <c r="E734" s="5">
        <v>8.7547393E7</v>
      </c>
      <c r="F734" s="5"/>
      <c r="G734" s="5"/>
      <c r="H734" s="5"/>
      <c r="I734" s="6"/>
      <c r="J734" s="7" t="s">
        <v>34</v>
      </c>
      <c r="K734" s="7"/>
      <c r="L734" s="8">
        <v>1.770869615281E12</v>
      </c>
      <c r="M734" s="9"/>
      <c r="N734" s="10"/>
      <c r="O734" s="10"/>
      <c r="P734" s="10"/>
      <c r="Q734" s="10"/>
      <c r="R734" s="10"/>
      <c r="S734" s="10"/>
      <c r="T734" s="10"/>
      <c r="U734" s="10"/>
      <c r="V734" s="10"/>
    </row>
    <row r="735" ht="22.5" customHeight="1">
      <c r="A735" s="5">
        <v>7.9926197356E10</v>
      </c>
      <c r="B735" s="5" t="s">
        <v>828</v>
      </c>
      <c r="C735" s="5">
        <v>51941100896</v>
      </c>
      <c r="D735" s="5" t="s">
        <v>103</v>
      </c>
      <c r="E735" s="5"/>
      <c r="F735" s="5" t="s">
        <v>93</v>
      </c>
      <c r="G735" s="5" t="s">
        <v>829</v>
      </c>
      <c r="H735" s="5" t="s">
        <v>33</v>
      </c>
      <c r="I735" s="6" t="s">
        <v>17</v>
      </c>
      <c r="J735" s="7" t="s">
        <v>34</v>
      </c>
      <c r="K735" s="7"/>
      <c r="L735" s="8">
        <v>1.770870043309E12</v>
      </c>
      <c r="M735" s="9"/>
      <c r="N735" s="10"/>
      <c r="O735" s="10"/>
      <c r="P735" s="10"/>
      <c r="Q735" s="10"/>
      <c r="R735" s="10"/>
      <c r="S735" s="10"/>
      <c r="T735" s="10"/>
      <c r="U735" s="10"/>
      <c r="V735" s="10"/>
    </row>
    <row r="736" ht="22.5" customHeight="1">
      <c r="A736" s="5">
        <v>2.0164695584E11</v>
      </c>
      <c r="B736" s="5" t="s">
        <v>830</v>
      </c>
      <c r="C736" s="5">
        <v>51931107335</v>
      </c>
      <c r="D736" s="5" t="s">
        <v>38</v>
      </c>
      <c r="E736" s="5">
        <v>8.7547393E7</v>
      </c>
      <c r="F736" s="5"/>
      <c r="G736" s="5"/>
      <c r="H736" s="5"/>
      <c r="I736" s="6"/>
      <c r="J736" s="7" t="s">
        <v>34</v>
      </c>
      <c r="K736" s="7"/>
      <c r="L736" s="8">
        <v>1.770870598718E12</v>
      </c>
      <c r="M736" s="9"/>
      <c r="N736" s="10"/>
      <c r="O736" s="10"/>
      <c r="P736" s="10"/>
      <c r="Q736" s="10"/>
      <c r="R736" s="10"/>
      <c r="S736" s="10"/>
      <c r="T736" s="10"/>
      <c r="U736" s="10"/>
      <c r="V736" s="10"/>
    </row>
    <row r="737" ht="22.5" customHeight="1">
      <c r="A737" s="5">
        <v>2.01645781177E11</v>
      </c>
      <c r="B737" s="5" t="s">
        <v>831</v>
      </c>
      <c r="C737" s="5">
        <v>51952652824</v>
      </c>
      <c r="D737" s="5" t="s">
        <v>13</v>
      </c>
      <c r="E737" s="5">
        <v>8.7547393E7</v>
      </c>
      <c r="F737" s="5" t="s">
        <v>39</v>
      </c>
      <c r="G737" s="5" t="s">
        <v>15</v>
      </c>
      <c r="H737" s="5" t="s">
        <v>51</v>
      </c>
      <c r="I737" s="6" t="s">
        <v>63</v>
      </c>
      <c r="J737" s="7" t="s">
        <v>18</v>
      </c>
      <c r="K737" s="7" t="s">
        <v>19</v>
      </c>
      <c r="L737" s="8">
        <v>1.770872924851E12</v>
      </c>
      <c r="M737" s="9"/>
      <c r="N737" s="10"/>
      <c r="O737" s="10"/>
      <c r="P737" s="10"/>
      <c r="Q737" s="10"/>
      <c r="R737" s="10"/>
      <c r="S737" s="10"/>
      <c r="T737" s="10"/>
      <c r="U737" s="10"/>
      <c r="V737" s="10"/>
    </row>
    <row r="738" ht="22.5" customHeight="1">
      <c r="A738" s="5">
        <v>2.01645079632E11</v>
      </c>
      <c r="B738" s="5" t="s">
        <v>832</v>
      </c>
      <c r="C738" s="5">
        <v>528711074916</v>
      </c>
      <c r="D738" s="5" t="s">
        <v>13</v>
      </c>
      <c r="E738" s="5">
        <v>8.7547393E7</v>
      </c>
      <c r="F738" s="5" t="s">
        <v>259</v>
      </c>
      <c r="G738" s="5" t="s">
        <v>15</v>
      </c>
      <c r="H738" s="5"/>
      <c r="I738" s="6" t="s">
        <v>17</v>
      </c>
      <c r="J738" s="7" t="s">
        <v>34</v>
      </c>
      <c r="K738" s="7"/>
      <c r="L738" s="8">
        <v>1.770872959091E12</v>
      </c>
      <c r="M738" s="9"/>
      <c r="N738" s="10"/>
      <c r="O738" s="10"/>
      <c r="P738" s="10"/>
      <c r="Q738" s="10"/>
      <c r="R738" s="10"/>
      <c r="S738" s="10"/>
      <c r="T738" s="10"/>
      <c r="U738" s="10"/>
      <c r="V738" s="10"/>
    </row>
    <row r="739" ht="22.5" customHeight="1">
      <c r="A739" s="5">
        <v>2.01644204804E11</v>
      </c>
      <c r="B739" s="5" t="s">
        <v>833</v>
      </c>
      <c r="C739" s="5">
        <v>51906252898</v>
      </c>
      <c r="D739" s="5" t="s">
        <v>13</v>
      </c>
      <c r="E739" s="5">
        <v>8.7547393E7</v>
      </c>
      <c r="F739" s="5" t="s">
        <v>28</v>
      </c>
      <c r="G739" s="5" t="s">
        <v>32</v>
      </c>
      <c r="H739" s="5" t="s">
        <v>69</v>
      </c>
      <c r="I739" s="6" t="s">
        <v>17</v>
      </c>
      <c r="J739" s="7" t="s">
        <v>34</v>
      </c>
      <c r="K739" s="7"/>
      <c r="L739" s="8">
        <v>1.770872974215E12</v>
      </c>
      <c r="M739" s="9"/>
      <c r="N739" s="10"/>
      <c r="O739" s="10"/>
      <c r="P739" s="10"/>
      <c r="Q739" s="10"/>
      <c r="R739" s="10"/>
      <c r="S739" s="10"/>
      <c r="T739" s="10"/>
      <c r="U739" s="10"/>
      <c r="V739" s="10"/>
    </row>
    <row r="740" ht="22.5" customHeight="1">
      <c r="A740" s="5">
        <v>1.55675717036E11</v>
      </c>
      <c r="B740" s="5" t="s">
        <v>834</v>
      </c>
      <c r="C740" s="5">
        <v>51995995120</v>
      </c>
      <c r="D740" s="5" t="s">
        <v>13</v>
      </c>
      <c r="E740" s="5">
        <v>8.7547393E7</v>
      </c>
      <c r="F740" s="5" t="s">
        <v>259</v>
      </c>
      <c r="G740" s="5" t="s">
        <v>15</v>
      </c>
      <c r="H740" s="5" t="s">
        <v>51</v>
      </c>
      <c r="I740" s="6" t="s">
        <v>17</v>
      </c>
      <c r="J740" s="7" t="s">
        <v>18</v>
      </c>
      <c r="K740" s="7" t="s">
        <v>116</v>
      </c>
      <c r="L740" s="8">
        <v>1.770873079796E12</v>
      </c>
      <c r="M740" s="9"/>
      <c r="N740" s="10"/>
      <c r="O740" s="10"/>
      <c r="P740" s="10"/>
      <c r="Q740" s="10"/>
      <c r="R740" s="10"/>
      <c r="S740" s="10"/>
      <c r="T740" s="10"/>
      <c r="U740" s="10"/>
      <c r="V740" s="10"/>
    </row>
    <row r="741" ht="22.5" customHeight="1">
      <c r="A741" s="5">
        <v>2.01647707503E11</v>
      </c>
      <c r="B741" s="5" t="s">
        <v>835</v>
      </c>
      <c r="C741" s="5">
        <v>51963306791</v>
      </c>
      <c r="D741" s="5" t="s">
        <v>13</v>
      </c>
      <c r="E741" s="5">
        <v>8.7547393E7</v>
      </c>
      <c r="F741" s="5" t="s">
        <v>14</v>
      </c>
      <c r="G741" s="5" t="s">
        <v>15</v>
      </c>
      <c r="H741" s="5" t="s">
        <v>66</v>
      </c>
      <c r="I741" s="6" t="s">
        <v>17</v>
      </c>
      <c r="J741" s="7" t="s">
        <v>25</v>
      </c>
      <c r="K741" s="7" t="s">
        <v>26</v>
      </c>
      <c r="L741" s="8">
        <v>1.770873088111E12</v>
      </c>
      <c r="M741" s="9"/>
      <c r="N741" s="10"/>
      <c r="O741" s="10"/>
      <c r="P741" s="10"/>
      <c r="Q741" s="10"/>
      <c r="R741" s="10"/>
      <c r="S741" s="10"/>
      <c r="T741" s="10"/>
      <c r="U741" s="10"/>
      <c r="V741" s="10"/>
    </row>
    <row r="742" ht="22.5" customHeight="1">
      <c r="A742" s="5">
        <v>1.97451299725E11</v>
      </c>
      <c r="B742" s="5" t="s">
        <v>836</v>
      </c>
      <c r="C742" s="5">
        <v>522299785632</v>
      </c>
      <c r="D742" s="5" t="s">
        <v>13</v>
      </c>
      <c r="E742" s="5">
        <v>8.7547393E7</v>
      </c>
      <c r="F742" s="5" t="s">
        <v>39</v>
      </c>
      <c r="G742" s="5" t="s">
        <v>15</v>
      </c>
      <c r="H742" s="5" t="s">
        <v>24</v>
      </c>
      <c r="I742" s="6" t="s">
        <v>17</v>
      </c>
      <c r="J742" s="7" t="s">
        <v>18</v>
      </c>
      <c r="K742" s="7" t="s">
        <v>61</v>
      </c>
      <c r="L742" s="8">
        <v>1.770873314566E12</v>
      </c>
      <c r="M742" s="9"/>
      <c r="N742" s="10"/>
      <c r="O742" s="10"/>
      <c r="P742" s="10"/>
      <c r="Q742" s="10"/>
      <c r="R742" s="10"/>
      <c r="S742" s="10"/>
      <c r="T742" s="10"/>
      <c r="U742" s="10"/>
      <c r="V742" s="10"/>
    </row>
    <row r="743" ht="22.5" customHeight="1">
      <c r="A743" s="5">
        <v>2.01647930179E11</v>
      </c>
      <c r="B743" s="5" t="s">
        <v>837</v>
      </c>
      <c r="C743" s="5">
        <v>51910222353</v>
      </c>
      <c r="D743" s="5" t="s">
        <v>13</v>
      </c>
      <c r="E743" s="5">
        <v>8.0566583E7</v>
      </c>
      <c r="F743" s="5" t="s">
        <v>28</v>
      </c>
      <c r="G743" s="5" t="s">
        <v>32</v>
      </c>
      <c r="H743" s="5" t="s">
        <v>66</v>
      </c>
      <c r="I743" s="6" t="s">
        <v>17</v>
      </c>
      <c r="J743" s="7" t="s">
        <v>18</v>
      </c>
      <c r="K743" s="7" t="s">
        <v>19</v>
      </c>
      <c r="L743" s="8">
        <v>1.770873464659E12</v>
      </c>
      <c r="M743" s="9"/>
      <c r="N743" s="10"/>
      <c r="O743" s="10"/>
      <c r="P743" s="10"/>
      <c r="Q743" s="10"/>
      <c r="R743" s="10"/>
      <c r="S743" s="10"/>
      <c r="T743" s="10"/>
      <c r="U743" s="10"/>
      <c r="V743" s="10"/>
    </row>
    <row r="744" ht="22.5" customHeight="1">
      <c r="A744" s="5">
        <v>2.01645403668E11</v>
      </c>
      <c r="B744" s="5" t="s">
        <v>838</v>
      </c>
      <c r="C744" s="5">
        <v>522224385881</v>
      </c>
      <c r="D744" s="5" t="s">
        <v>13</v>
      </c>
      <c r="E744" s="5">
        <v>8.7547393E7</v>
      </c>
      <c r="F744" s="5" t="s">
        <v>93</v>
      </c>
      <c r="G744" s="5" t="s">
        <v>15</v>
      </c>
      <c r="H744" s="5" t="s">
        <v>16</v>
      </c>
      <c r="I744" s="6" t="s">
        <v>17</v>
      </c>
      <c r="J744" s="7" t="s">
        <v>18</v>
      </c>
      <c r="K744" s="7" t="s">
        <v>61</v>
      </c>
      <c r="L744" s="8">
        <v>1.770873483278E12</v>
      </c>
      <c r="M744" s="9"/>
      <c r="N744" s="10"/>
      <c r="O744" s="10"/>
      <c r="P744" s="10"/>
      <c r="Q744" s="10"/>
      <c r="R744" s="10"/>
      <c r="S744" s="10"/>
      <c r="T744" s="10"/>
      <c r="U744" s="10"/>
      <c r="V744" s="10"/>
    </row>
    <row r="745" ht="22.5" customHeight="1">
      <c r="A745" s="5">
        <v>2.01650366282E11</v>
      </c>
      <c r="B745" s="5" t="s">
        <v>839</v>
      </c>
      <c r="C745" s="5">
        <v>5592992054008</v>
      </c>
      <c r="D745" s="5" t="s">
        <v>13</v>
      </c>
      <c r="E745" s="5">
        <v>7.9360573E7</v>
      </c>
      <c r="F745" s="5" t="s">
        <v>28</v>
      </c>
      <c r="G745" s="5" t="s">
        <v>32</v>
      </c>
      <c r="H745" s="5" t="s">
        <v>24</v>
      </c>
      <c r="I745" s="6" t="s">
        <v>17</v>
      </c>
      <c r="J745" s="7" t="s">
        <v>34</v>
      </c>
      <c r="K745" s="7"/>
      <c r="L745" s="8">
        <v>1.77087353324E12</v>
      </c>
      <c r="M745" s="9"/>
      <c r="N745" s="10"/>
      <c r="O745" s="10"/>
      <c r="P745" s="10"/>
      <c r="Q745" s="10"/>
      <c r="R745" s="10"/>
      <c r="S745" s="10"/>
      <c r="T745" s="10"/>
      <c r="U745" s="10"/>
      <c r="V745" s="10"/>
    </row>
    <row r="746" ht="22.5" customHeight="1">
      <c r="A746" s="5">
        <v>2.01647937366E11</v>
      </c>
      <c r="B746" s="5" t="s">
        <v>840</v>
      </c>
      <c r="C746" s="5">
        <v>525527740128</v>
      </c>
      <c r="D746" s="5" t="s">
        <v>13</v>
      </c>
      <c r="E746" s="5">
        <v>8.7547393E7</v>
      </c>
      <c r="F746" s="5" t="s">
        <v>28</v>
      </c>
      <c r="G746" s="5" t="s">
        <v>15</v>
      </c>
      <c r="H746" s="5" t="s">
        <v>16</v>
      </c>
      <c r="I746" s="6" t="s">
        <v>17</v>
      </c>
      <c r="J746" s="7" t="s">
        <v>18</v>
      </c>
      <c r="K746" s="7" t="s">
        <v>61</v>
      </c>
      <c r="L746" s="8">
        <v>1.770873566568E12</v>
      </c>
      <c r="M746" s="9"/>
      <c r="N746" s="10"/>
      <c r="O746" s="10"/>
      <c r="P746" s="10"/>
      <c r="Q746" s="10"/>
      <c r="R746" s="10"/>
      <c r="S746" s="10"/>
      <c r="T746" s="10"/>
      <c r="U746" s="10"/>
      <c r="V746" s="10"/>
    </row>
    <row r="747" ht="22.5" customHeight="1">
      <c r="A747" s="5">
        <v>2.01647360543E11</v>
      </c>
      <c r="B747" s="5" t="s">
        <v>841</v>
      </c>
      <c r="C747" s="5">
        <v>51962820299</v>
      </c>
      <c r="D747" s="5" t="s">
        <v>38</v>
      </c>
      <c r="E747" s="5">
        <v>8.7547393E7</v>
      </c>
      <c r="F747" s="5"/>
      <c r="G747" s="5"/>
      <c r="H747" s="5"/>
      <c r="I747" s="6"/>
      <c r="J747" s="7" t="s">
        <v>18</v>
      </c>
      <c r="K747" s="7" t="s">
        <v>19</v>
      </c>
      <c r="L747" s="8">
        <v>1.77087359012E12</v>
      </c>
      <c r="M747" s="9"/>
      <c r="N747" s="10"/>
      <c r="O747" s="10"/>
      <c r="P747" s="10"/>
      <c r="Q747" s="10"/>
      <c r="R747" s="10"/>
      <c r="S747" s="10"/>
      <c r="T747" s="10"/>
      <c r="U747" s="10"/>
      <c r="V747" s="10"/>
    </row>
    <row r="748" ht="22.5" customHeight="1">
      <c r="A748" s="5">
        <v>5.6773701904E10</v>
      </c>
      <c r="B748" s="5" t="s">
        <v>842</v>
      </c>
      <c r="C748" s="5">
        <v>51946086488</v>
      </c>
      <c r="D748" s="5" t="s">
        <v>13</v>
      </c>
      <c r="E748" s="5">
        <v>8.0566583E7</v>
      </c>
      <c r="F748" s="5" t="s">
        <v>28</v>
      </c>
      <c r="G748" s="5" t="s">
        <v>15</v>
      </c>
      <c r="H748" s="5" t="s">
        <v>24</v>
      </c>
      <c r="I748" s="6" t="s">
        <v>17</v>
      </c>
      <c r="J748" s="7" t="s">
        <v>58</v>
      </c>
      <c r="K748" s="11" t="s">
        <v>59</v>
      </c>
      <c r="L748" s="8">
        <v>1.770873598507E12</v>
      </c>
      <c r="M748" s="9"/>
      <c r="N748" s="10"/>
      <c r="O748" s="10"/>
      <c r="P748" s="10"/>
      <c r="Q748" s="10"/>
      <c r="R748" s="10"/>
      <c r="S748" s="10"/>
      <c r="T748" s="10"/>
      <c r="U748" s="10"/>
      <c r="V748" s="10"/>
    </row>
    <row r="749" ht="22.5" customHeight="1">
      <c r="A749" s="5">
        <v>2.01646020658E11</v>
      </c>
      <c r="B749" s="5" t="s">
        <v>843</v>
      </c>
      <c r="C749" s="5">
        <v>51932231877</v>
      </c>
      <c r="D749" s="5" t="s">
        <v>22</v>
      </c>
      <c r="E749" s="5">
        <v>8.0566583E7</v>
      </c>
      <c r="F749" s="5" t="s">
        <v>42</v>
      </c>
      <c r="G749" s="5" t="s">
        <v>32</v>
      </c>
      <c r="H749" s="5" t="s">
        <v>74</v>
      </c>
      <c r="I749" s="6" t="s">
        <v>17</v>
      </c>
      <c r="J749" s="7" t="s">
        <v>18</v>
      </c>
      <c r="K749" s="7" t="s">
        <v>116</v>
      </c>
      <c r="L749" s="8">
        <v>1.770873625591E12</v>
      </c>
      <c r="M749" s="9"/>
      <c r="N749" s="10"/>
      <c r="O749" s="10"/>
      <c r="P749" s="10"/>
      <c r="Q749" s="10"/>
      <c r="R749" s="10"/>
      <c r="S749" s="10"/>
      <c r="T749" s="10"/>
      <c r="U749" s="10"/>
      <c r="V749" s="10"/>
    </row>
    <row r="750" ht="22.5" customHeight="1">
      <c r="A750" s="5">
        <v>2.01647947088E11</v>
      </c>
      <c r="B750" s="5" t="s">
        <v>844</v>
      </c>
      <c r="C750" s="5">
        <v>51969348243</v>
      </c>
      <c r="D750" s="5" t="s">
        <v>13</v>
      </c>
      <c r="E750" s="5">
        <v>8.0566583E7</v>
      </c>
      <c r="F750" s="5" t="s">
        <v>14</v>
      </c>
      <c r="G750" s="5" t="s">
        <v>15</v>
      </c>
      <c r="H750" s="5" t="s">
        <v>69</v>
      </c>
      <c r="I750" s="6" t="s">
        <v>17</v>
      </c>
      <c r="J750" s="7" t="s">
        <v>18</v>
      </c>
      <c r="K750" s="7" t="s">
        <v>19</v>
      </c>
      <c r="L750" s="8">
        <v>1.770873827348E12</v>
      </c>
      <c r="M750" s="9"/>
      <c r="N750" s="10"/>
      <c r="O750" s="10"/>
      <c r="P750" s="10"/>
      <c r="Q750" s="10"/>
      <c r="R750" s="10"/>
      <c r="S750" s="10"/>
      <c r="T750" s="10"/>
      <c r="U750" s="10"/>
      <c r="V750" s="10"/>
    </row>
    <row r="751" ht="22.5" customHeight="1">
      <c r="A751" s="5">
        <v>2.01647088035E11</v>
      </c>
      <c r="B751" s="5" t="s">
        <v>845</v>
      </c>
      <c r="C751" s="5">
        <v>529932364167</v>
      </c>
      <c r="D751" s="5" t="s">
        <v>22</v>
      </c>
      <c r="E751" s="5">
        <v>8.7547393E7</v>
      </c>
      <c r="F751" s="5" t="s">
        <v>714</v>
      </c>
      <c r="G751" s="5" t="s">
        <v>79</v>
      </c>
      <c r="H751" s="5" t="s">
        <v>69</v>
      </c>
      <c r="I751" s="6" t="s">
        <v>17</v>
      </c>
      <c r="J751" s="7" t="s">
        <v>18</v>
      </c>
      <c r="K751" s="7" t="s">
        <v>61</v>
      </c>
      <c r="L751" s="8">
        <v>1.770873736423E12</v>
      </c>
      <c r="M751" s="9"/>
      <c r="N751" s="10"/>
      <c r="O751" s="10"/>
      <c r="P751" s="10"/>
      <c r="Q751" s="10"/>
      <c r="R751" s="10"/>
      <c r="S751" s="10"/>
      <c r="T751" s="10"/>
      <c r="U751" s="10"/>
      <c r="V751" s="10"/>
    </row>
    <row r="752" ht="22.5" customHeight="1">
      <c r="A752" s="5">
        <v>2.01650181453E11</v>
      </c>
      <c r="B752" s="5" t="s">
        <v>846</v>
      </c>
      <c r="C752" s="5">
        <v>51900796522</v>
      </c>
      <c r="D752" s="5" t="s">
        <v>13</v>
      </c>
      <c r="E752" s="5">
        <v>8.7547393E7</v>
      </c>
      <c r="F752" s="5" t="s">
        <v>510</v>
      </c>
      <c r="G752" s="5" t="s">
        <v>44</v>
      </c>
      <c r="H752" s="5" t="s">
        <v>16</v>
      </c>
      <c r="I752" s="6" t="s">
        <v>17</v>
      </c>
      <c r="J752" s="7" t="s">
        <v>18</v>
      </c>
      <c r="K752" s="7" t="s">
        <v>116</v>
      </c>
      <c r="L752" s="8">
        <v>1.770874049316E12</v>
      </c>
      <c r="M752" s="9"/>
      <c r="N752" s="10"/>
      <c r="O752" s="10"/>
      <c r="P752" s="10"/>
      <c r="Q752" s="10"/>
      <c r="R752" s="10"/>
      <c r="S752" s="10"/>
      <c r="T752" s="10"/>
      <c r="U752" s="10"/>
      <c r="V752" s="10"/>
    </row>
    <row r="753" ht="22.5" customHeight="1">
      <c r="A753" s="5">
        <v>2.01657853481E11</v>
      </c>
      <c r="B753" s="5" t="s">
        <v>847</v>
      </c>
      <c r="C753" s="5">
        <v>51941795091</v>
      </c>
      <c r="D753" s="5" t="s">
        <v>13</v>
      </c>
      <c r="E753" s="5">
        <v>8.0566583E7</v>
      </c>
      <c r="F753" s="5" t="s">
        <v>42</v>
      </c>
      <c r="G753" s="5" t="s">
        <v>15</v>
      </c>
      <c r="H753" s="5" t="s">
        <v>69</v>
      </c>
      <c r="I753" s="6"/>
      <c r="J753" s="7" t="s">
        <v>18</v>
      </c>
      <c r="K753" s="7" t="s">
        <v>19</v>
      </c>
      <c r="L753" s="8">
        <v>1.770874675637E12</v>
      </c>
      <c r="M753" s="9"/>
      <c r="N753" s="10"/>
      <c r="O753" s="10"/>
      <c r="P753" s="10"/>
      <c r="Q753" s="10"/>
      <c r="R753" s="10"/>
      <c r="S753" s="10"/>
      <c r="T753" s="10"/>
      <c r="U753" s="10"/>
      <c r="V753" s="10"/>
    </row>
    <row r="754" ht="22.5" customHeight="1">
      <c r="A754" s="5">
        <v>2.01651238734E11</v>
      </c>
      <c r="B754" s="5" t="s">
        <v>848</v>
      </c>
      <c r="C754" s="5">
        <v>51953109971</v>
      </c>
      <c r="D754" s="5" t="s">
        <v>38</v>
      </c>
      <c r="E754" s="5">
        <v>8.0566583E7</v>
      </c>
      <c r="F754" s="5" t="s">
        <v>93</v>
      </c>
      <c r="G754" s="5" t="s">
        <v>15</v>
      </c>
      <c r="H754" s="5" t="s">
        <v>24</v>
      </c>
      <c r="I754" s="6" t="s">
        <v>17</v>
      </c>
      <c r="J754" s="7" t="s">
        <v>18</v>
      </c>
      <c r="K754" s="7" t="s">
        <v>19</v>
      </c>
      <c r="L754" s="8">
        <v>1.770876824407E12</v>
      </c>
      <c r="M754" s="9"/>
      <c r="N754" s="10"/>
      <c r="O754" s="10"/>
      <c r="P754" s="10"/>
      <c r="Q754" s="10"/>
      <c r="R754" s="10"/>
      <c r="S754" s="10"/>
      <c r="T754" s="10"/>
      <c r="U754" s="10"/>
      <c r="V754" s="10"/>
    </row>
    <row r="755" ht="22.5" customHeight="1">
      <c r="A755" s="5">
        <v>2.01661567044E11</v>
      </c>
      <c r="B755" s="5" t="s">
        <v>849</v>
      </c>
      <c r="C755" s="5">
        <v>51939095173</v>
      </c>
      <c r="D755" s="5" t="s">
        <v>13</v>
      </c>
      <c r="E755" s="5">
        <v>8.0566583E7</v>
      </c>
      <c r="F755" s="5" t="s">
        <v>39</v>
      </c>
      <c r="G755" s="5" t="s">
        <v>15</v>
      </c>
      <c r="H755" s="5" t="s">
        <v>114</v>
      </c>
      <c r="I755" s="6" t="s">
        <v>17</v>
      </c>
      <c r="J755" s="7" t="s">
        <v>34</v>
      </c>
      <c r="K755" s="7"/>
      <c r="L755" s="8">
        <v>1.770878102989E12</v>
      </c>
      <c r="M755" s="9"/>
      <c r="N755" s="10"/>
      <c r="O755" s="10"/>
      <c r="P755" s="10"/>
      <c r="Q755" s="10"/>
      <c r="R755" s="10"/>
      <c r="S755" s="10"/>
      <c r="T755" s="10"/>
      <c r="U755" s="10"/>
      <c r="V755" s="10"/>
    </row>
    <row r="756" ht="22.5" customHeight="1">
      <c r="A756" s="5">
        <v>2.01668506412E11</v>
      </c>
      <c r="B756" s="5" t="s">
        <v>850</v>
      </c>
      <c r="C756" s="5">
        <v>51985574958</v>
      </c>
      <c r="D756" s="5" t="s">
        <v>13</v>
      </c>
      <c r="E756" s="5">
        <v>8.0566583E7</v>
      </c>
      <c r="F756" s="5" t="s">
        <v>14</v>
      </c>
      <c r="G756" s="5" t="s">
        <v>15</v>
      </c>
      <c r="H756" s="5" t="s">
        <v>29</v>
      </c>
      <c r="I756" s="6" t="s">
        <v>17</v>
      </c>
      <c r="J756" s="7" t="s">
        <v>18</v>
      </c>
      <c r="K756" s="7" t="s">
        <v>19</v>
      </c>
      <c r="L756" s="8">
        <v>1.770878388904E12</v>
      </c>
      <c r="M756" s="9"/>
      <c r="N756" s="10"/>
      <c r="O756" s="10"/>
      <c r="P756" s="10"/>
      <c r="Q756" s="10"/>
      <c r="R756" s="10"/>
      <c r="S756" s="10"/>
      <c r="T756" s="10"/>
      <c r="U756" s="10"/>
      <c r="V756" s="10"/>
    </row>
    <row r="757" ht="22.5" customHeight="1">
      <c r="A757" s="5">
        <v>2.01674677859E11</v>
      </c>
      <c r="B757" s="5" t="s">
        <v>851</v>
      </c>
      <c r="C757" s="5">
        <v>523312204790</v>
      </c>
      <c r="D757" s="5" t="s">
        <v>13</v>
      </c>
      <c r="E757" s="5">
        <v>8.0566583E7</v>
      </c>
      <c r="F757" s="5" t="s">
        <v>42</v>
      </c>
      <c r="G757" s="5" t="s">
        <v>15</v>
      </c>
      <c r="H757" s="5" t="s">
        <v>51</v>
      </c>
      <c r="I757" s="6" t="s">
        <v>17</v>
      </c>
      <c r="J757" s="7" t="s">
        <v>34</v>
      </c>
      <c r="K757" s="7"/>
      <c r="L757" s="8">
        <v>1.770885433163E12</v>
      </c>
      <c r="M757" s="9"/>
      <c r="N757" s="10"/>
      <c r="O757" s="10"/>
      <c r="P757" s="10"/>
      <c r="Q757" s="10"/>
      <c r="R757" s="10"/>
      <c r="S757" s="10"/>
      <c r="T757" s="10"/>
      <c r="U757" s="10"/>
      <c r="V757" s="10"/>
    </row>
    <row r="758" ht="22.5" customHeight="1">
      <c r="A758" s="5">
        <v>2.01671179896E11</v>
      </c>
      <c r="B758" s="5" t="s">
        <v>852</v>
      </c>
      <c r="C758" s="5">
        <v>51918885913</v>
      </c>
      <c r="D758" s="5" t="s">
        <v>13</v>
      </c>
      <c r="E758" s="5">
        <v>8.0566583E7</v>
      </c>
      <c r="F758" s="5" t="s">
        <v>28</v>
      </c>
      <c r="G758" s="5" t="s">
        <v>15</v>
      </c>
      <c r="H758" s="5" t="s">
        <v>51</v>
      </c>
      <c r="I758" s="6" t="s">
        <v>17</v>
      </c>
      <c r="J758" s="7" t="s">
        <v>18</v>
      </c>
      <c r="K758" s="7" t="s">
        <v>19</v>
      </c>
      <c r="L758" s="8">
        <v>1.770885795411E12</v>
      </c>
      <c r="M758" s="9"/>
      <c r="N758" s="10"/>
      <c r="O758" s="10"/>
      <c r="P758" s="10"/>
      <c r="Q758" s="10"/>
      <c r="R758" s="10"/>
      <c r="S758" s="10"/>
      <c r="T758" s="10"/>
      <c r="U758" s="10"/>
      <c r="V758" s="10"/>
    </row>
    <row r="759" ht="22.5" customHeight="1">
      <c r="A759" s="5">
        <v>2.01671179896E11</v>
      </c>
      <c r="B759" s="5" t="s">
        <v>852</v>
      </c>
      <c r="C759" s="5">
        <v>51918885913</v>
      </c>
      <c r="D759" s="5" t="s">
        <v>13</v>
      </c>
      <c r="E759" s="5">
        <v>8.0566583E7</v>
      </c>
      <c r="F759" s="5" t="s">
        <v>28</v>
      </c>
      <c r="G759" s="5" t="s">
        <v>15</v>
      </c>
      <c r="H759" s="5" t="s">
        <v>51</v>
      </c>
      <c r="I759" s="6" t="s">
        <v>17</v>
      </c>
      <c r="J759" s="7" t="s">
        <v>18</v>
      </c>
      <c r="K759" s="7" t="s">
        <v>19</v>
      </c>
      <c r="L759" s="8">
        <v>1.770885812834E12</v>
      </c>
      <c r="M759" s="9"/>
      <c r="N759" s="10"/>
      <c r="O759" s="10"/>
      <c r="P759" s="10"/>
      <c r="Q759" s="10"/>
      <c r="R759" s="10"/>
      <c r="S759" s="10"/>
      <c r="T759" s="10"/>
      <c r="U759" s="10"/>
      <c r="V759" s="10"/>
    </row>
    <row r="760" ht="22.5" customHeight="1">
      <c r="A760" s="5">
        <v>1.89831540585E11</v>
      </c>
      <c r="B760" s="5" t="s">
        <v>853</v>
      </c>
      <c r="C760" s="5">
        <v>525545093546</v>
      </c>
      <c r="D760" s="5" t="s">
        <v>13</v>
      </c>
      <c r="E760" s="5">
        <v>8.7547393E7</v>
      </c>
      <c r="F760" s="5" t="s">
        <v>259</v>
      </c>
      <c r="G760" s="5" t="s">
        <v>15</v>
      </c>
      <c r="H760" s="5" t="s">
        <v>854</v>
      </c>
      <c r="I760" s="6" t="s">
        <v>17</v>
      </c>
      <c r="J760" s="7" t="s">
        <v>18</v>
      </c>
      <c r="K760" s="7" t="s">
        <v>855</v>
      </c>
      <c r="L760" s="8">
        <v>1.770893308833E12</v>
      </c>
      <c r="M760" s="9"/>
      <c r="N760" s="10"/>
      <c r="O760" s="10"/>
      <c r="P760" s="10"/>
      <c r="Q760" s="10"/>
      <c r="R760" s="10"/>
      <c r="S760" s="10"/>
      <c r="T760" s="10"/>
      <c r="U760" s="10"/>
      <c r="V760" s="10"/>
    </row>
    <row r="761" ht="22.5" customHeight="1">
      <c r="A761" s="5">
        <v>2.01749782329E11</v>
      </c>
      <c r="B761" s="5" t="s">
        <v>856</v>
      </c>
      <c r="C761" s="5">
        <v>528114891882</v>
      </c>
      <c r="D761" s="5" t="s">
        <v>38</v>
      </c>
      <c r="E761" s="5">
        <v>8.0566583E7</v>
      </c>
      <c r="F761" s="5"/>
      <c r="G761" s="5"/>
      <c r="H761" s="5"/>
      <c r="I761" s="6"/>
      <c r="J761" s="7" t="s">
        <v>18</v>
      </c>
      <c r="K761" s="7" t="s">
        <v>61</v>
      </c>
      <c r="L761" s="8">
        <v>1.770900062592E12</v>
      </c>
      <c r="M761" s="9"/>
      <c r="N761" s="10"/>
      <c r="O761" s="10"/>
      <c r="P761" s="10"/>
      <c r="Q761" s="10"/>
      <c r="R761" s="10"/>
      <c r="S761" s="10"/>
      <c r="T761" s="10"/>
      <c r="U761" s="10"/>
      <c r="V761" s="10"/>
    </row>
    <row r="762" ht="22.5" customHeight="1">
      <c r="A762" s="5">
        <v>1.94955328008E11</v>
      </c>
      <c r="B762" s="5" t="s">
        <v>857</v>
      </c>
      <c r="C762" s="5">
        <v>523311082581</v>
      </c>
      <c r="D762" s="5" t="s">
        <v>13</v>
      </c>
      <c r="E762" s="5">
        <v>8.7547393E7</v>
      </c>
      <c r="F762" s="5" t="s">
        <v>259</v>
      </c>
      <c r="G762" s="5" t="s">
        <v>15</v>
      </c>
      <c r="H762" s="5" t="s">
        <v>858</v>
      </c>
      <c r="I762" s="6" t="s">
        <v>17</v>
      </c>
      <c r="J762" s="7" t="s">
        <v>18</v>
      </c>
      <c r="K762" s="7" t="s">
        <v>61</v>
      </c>
      <c r="L762" s="8">
        <v>1.770901056159E12</v>
      </c>
      <c r="M762" s="9"/>
      <c r="N762" s="10"/>
      <c r="O762" s="10"/>
      <c r="P762" s="10"/>
      <c r="Q762" s="10"/>
      <c r="R762" s="10"/>
      <c r="S762" s="10"/>
      <c r="T762" s="10"/>
      <c r="U762" s="10"/>
      <c r="V762" s="10"/>
    </row>
    <row r="763" ht="22.5" customHeight="1">
      <c r="A763" s="5">
        <v>2.0172850973E11</v>
      </c>
      <c r="B763" s="5" t="s">
        <v>859</v>
      </c>
      <c r="C763" s="5">
        <v>51925687133</v>
      </c>
      <c r="D763" s="5" t="s">
        <v>13</v>
      </c>
      <c r="E763" s="5">
        <v>8.0566583E7</v>
      </c>
      <c r="F763" s="5" t="s">
        <v>510</v>
      </c>
      <c r="G763" s="5" t="s">
        <v>15</v>
      </c>
      <c r="H763" s="5" t="s">
        <v>860</v>
      </c>
      <c r="I763" s="6" t="s">
        <v>17</v>
      </c>
      <c r="J763" s="7" t="s">
        <v>34</v>
      </c>
      <c r="K763" s="7"/>
      <c r="L763" s="8">
        <v>1.77090151254E12</v>
      </c>
      <c r="M763" s="9"/>
      <c r="N763" s="10"/>
      <c r="O763" s="10"/>
      <c r="P763" s="10"/>
      <c r="Q763" s="10"/>
      <c r="R763" s="10"/>
      <c r="S763" s="10"/>
      <c r="T763" s="10"/>
      <c r="U763" s="10"/>
      <c r="V763" s="10"/>
    </row>
    <row r="764" ht="22.5" customHeight="1">
      <c r="A764" s="5">
        <v>2.01740479897E11</v>
      </c>
      <c r="B764" s="5" t="s">
        <v>861</v>
      </c>
      <c r="C764" s="5">
        <v>51960385983</v>
      </c>
      <c r="D764" s="5" t="s">
        <v>13</v>
      </c>
      <c r="E764" s="5">
        <v>8.0566583E7</v>
      </c>
      <c r="F764" s="5" t="s">
        <v>259</v>
      </c>
      <c r="G764" s="5" t="s">
        <v>32</v>
      </c>
      <c r="H764" s="5" t="s">
        <v>24</v>
      </c>
      <c r="I764" s="6" t="s">
        <v>17</v>
      </c>
      <c r="J764" s="7" t="s">
        <v>25</v>
      </c>
      <c r="K764" s="7" t="s">
        <v>501</v>
      </c>
      <c r="L764" s="8">
        <v>1.770902049002E12</v>
      </c>
      <c r="M764" s="9"/>
      <c r="N764" s="10"/>
      <c r="O764" s="10"/>
      <c r="P764" s="10"/>
      <c r="Q764" s="10"/>
      <c r="R764" s="10"/>
      <c r="S764" s="10"/>
      <c r="T764" s="10"/>
      <c r="U764" s="10"/>
      <c r="V764" s="10"/>
    </row>
    <row r="765" ht="22.5" customHeight="1">
      <c r="A765" s="5">
        <v>2.01740479897E11</v>
      </c>
      <c r="B765" s="5" t="s">
        <v>861</v>
      </c>
      <c r="C765" s="5">
        <v>51960385983</v>
      </c>
      <c r="D765" s="5" t="s">
        <v>13</v>
      </c>
      <c r="E765" s="5">
        <v>8.0566583E7</v>
      </c>
      <c r="F765" s="5" t="s">
        <v>259</v>
      </c>
      <c r="G765" s="5" t="s">
        <v>32</v>
      </c>
      <c r="H765" s="5" t="s">
        <v>24</v>
      </c>
      <c r="I765" s="6" t="s">
        <v>17</v>
      </c>
      <c r="J765" s="7" t="s">
        <v>25</v>
      </c>
      <c r="K765" s="7" t="s">
        <v>501</v>
      </c>
      <c r="L765" s="8">
        <v>1.770902144521E12</v>
      </c>
      <c r="M765" s="9"/>
      <c r="N765" s="10"/>
      <c r="O765" s="10"/>
      <c r="P765" s="10"/>
      <c r="Q765" s="10"/>
      <c r="R765" s="10"/>
      <c r="S765" s="10"/>
      <c r="T765" s="10"/>
      <c r="U765" s="10"/>
      <c r="V765" s="10"/>
    </row>
    <row r="766" ht="22.5" customHeight="1">
      <c r="A766" s="5">
        <v>2.01776228717E11</v>
      </c>
      <c r="B766" s="5" t="s">
        <v>862</v>
      </c>
      <c r="C766" s="5">
        <v>51927140390</v>
      </c>
      <c r="D766" s="5" t="s">
        <v>13</v>
      </c>
      <c r="E766" s="5">
        <v>8.0566583E7</v>
      </c>
      <c r="F766" s="5" t="s">
        <v>714</v>
      </c>
      <c r="G766" s="5" t="s">
        <v>15</v>
      </c>
      <c r="H766" s="5" t="s">
        <v>51</v>
      </c>
      <c r="I766" s="6" t="s">
        <v>17</v>
      </c>
      <c r="J766" s="7" t="s">
        <v>18</v>
      </c>
      <c r="K766" s="7" t="s">
        <v>19</v>
      </c>
      <c r="L766" s="8">
        <v>1.770903379752E12</v>
      </c>
      <c r="M766" s="9"/>
      <c r="N766" s="10"/>
      <c r="O766" s="10"/>
      <c r="P766" s="10"/>
      <c r="Q766" s="10"/>
      <c r="R766" s="10"/>
      <c r="S766" s="10"/>
      <c r="T766" s="10"/>
      <c r="U766" s="10"/>
      <c r="V766" s="10"/>
    </row>
    <row r="767" ht="22.5" customHeight="1">
      <c r="A767" s="5">
        <v>2.0177538768E11</v>
      </c>
      <c r="B767" s="5" t="s">
        <v>863</v>
      </c>
      <c r="C767" s="5">
        <v>5573982279316</v>
      </c>
      <c r="D767" s="5" t="s">
        <v>13</v>
      </c>
      <c r="E767" s="5">
        <v>7.9360573E7</v>
      </c>
      <c r="F767" s="5" t="s">
        <v>93</v>
      </c>
      <c r="G767" s="5" t="s">
        <v>15</v>
      </c>
      <c r="H767" s="5" t="s">
        <v>114</v>
      </c>
      <c r="I767" s="6" t="s">
        <v>17</v>
      </c>
      <c r="J767" s="7" t="s">
        <v>34</v>
      </c>
      <c r="K767" s="7"/>
      <c r="L767" s="8">
        <v>1.770903491956E12</v>
      </c>
      <c r="M767" s="9"/>
      <c r="N767" s="10"/>
      <c r="O767" s="10"/>
      <c r="P767" s="10"/>
      <c r="Q767" s="10"/>
      <c r="R767" s="10"/>
      <c r="S767" s="10"/>
      <c r="T767" s="10"/>
      <c r="U767" s="10"/>
      <c r="V767" s="10"/>
    </row>
    <row r="768" ht="22.5" customHeight="1">
      <c r="A768" s="5">
        <v>1.77496815203E11</v>
      </c>
      <c r="B768" s="5" t="s">
        <v>864</v>
      </c>
      <c r="C768" s="5">
        <v>527221657643</v>
      </c>
      <c r="D768" s="5" t="s">
        <v>13</v>
      </c>
      <c r="E768" s="5">
        <v>8.7547393E7</v>
      </c>
      <c r="F768" s="5" t="s">
        <v>42</v>
      </c>
      <c r="G768" s="5" t="s">
        <v>15</v>
      </c>
      <c r="H768" s="5" t="s">
        <v>51</v>
      </c>
      <c r="I768" s="6" t="s">
        <v>63</v>
      </c>
      <c r="J768" s="7" t="s">
        <v>18</v>
      </c>
      <c r="K768" s="7" t="s">
        <v>865</v>
      </c>
      <c r="L768" s="8">
        <v>1.770903762169E12</v>
      </c>
      <c r="M768" s="9"/>
      <c r="N768" s="10"/>
      <c r="O768" s="10"/>
      <c r="P768" s="10"/>
      <c r="Q768" s="10"/>
      <c r="R768" s="10"/>
      <c r="S768" s="10"/>
      <c r="T768" s="10"/>
      <c r="U768" s="10"/>
      <c r="V768" s="10"/>
    </row>
    <row r="769" ht="22.5" customHeight="1">
      <c r="A769" s="5">
        <v>2.01765776964E11</v>
      </c>
      <c r="B769" s="5" t="s">
        <v>866</v>
      </c>
      <c r="C769" s="5">
        <v>522294596234</v>
      </c>
      <c r="D769" s="5" t="s">
        <v>13</v>
      </c>
      <c r="E769" s="5">
        <v>8.7547393E7</v>
      </c>
      <c r="F769" s="5" t="s">
        <v>28</v>
      </c>
      <c r="G769" s="5" t="s">
        <v>15</v>
      </c>
      <c r="H769" s="5" t="s">
        <v>29</v>
      </c>
      <c r="I769" s="6" t="s">
        <v>17</v>
      </c>
      <c r="J769" s="7" t="s">
        <v>34</v>
      </c>
      <c r="K769" s="7"/>
      <c r="L769" s="8">
        <v>1.770905013539E12</v>
      </c>
      <c r="M769" s="9"/>
      <c r="N769" s="10"/>
      <c r="O769" s="10"/>
      <c r="P769" s="10"/>
      <c r="Q769" s="10"/>
      <c r="R769" s="10"/>
      <c r="S769" s="10"/>
      <c r="T769" s="10"/>
      <c r="U769" s="10"/>
      <c r="V769" s="10"/>
    </row>
    <row r="770" ht="22.5" customHeight="1">
      <c r="A770" s="5">
        <v>2.01778695571E11</v>
      </c>
      <c r="B770" s="5" t="s">
        <v>867</v>
      </c>
      <c r="C770" s="5">
        <v>51910847855</v>
      </c>
      <c r="D770" s="5" t="s">
        <v>38</v>
      </c>
      <c r="E770" s="5">
        <v>8.7547393E7</v>
      </c>
      <c r="F770" s="5"/>
      <c r="G770" s="5"/>
      <c r="H770" s="5"/>
      <c r="I770" s="6"/>
      <c r="J770" s="7" t="s">
        <v>18</v>
      </c>
      <c r="K770" s="7" t="s">
        <v>19</v>
      </c>
      <c r="L770" s="8">
        <v>1.770905429694E12</v>
      </c>
      <c r="M770" s="9"/>
      <c r="N770" s="10"/>
      <c r="O770" s="10"/>
      <c r="P770" s="10"/>
      <c r="Q770" s="10"/>
      <c r="R770" s="10"/>
      <c r="S770" s="10"/>
      <c r="T770" s="10"/>
      <c r="U770" s="10"/>
      <c r="V770" s="10"/>
    </row>
    <row r="771" ht="22.5" customHeight="1">
      <c r="A771" s="5">
        <v>2.01764607845E11</v>
      </c>
      <c r="B771" s="5" t="s">
        <v>868</v>
      </c>
      <c r="C771" s="5">
        <v>523111234576</v>
      </c>
      <c r="D771" s="5" t="s">
        <v>38</v>
      </c>
      <c r="E771" s="5">
        <v>8.7547393E7</v>
      </c>
      <c r="F771" s="5"/>
      <c r="G771" s="5"/>
      <c r="H771" s="5"/>
      <c r="I771" s="6"/>
      <c r="J771" s="7" t="s">
        <v>18</v>
      </c>
      <c r="K771" s="7" t="s">
        <v>61</v>
      </c>
      <c r="L771" s="8">
        <v>1.770905680933E12</v>
      </c>
      <c r="M771" s="9"/>
      <c r="N771" s="10"/>
      <c r="O771" s="10"/>
      <c r="P771" s="10"/>
      <c r="Q771" s="10"/>
      <c r="R771" s="10"/>
      <c r="S771" s="10"/>
      <c r="T771" s="10"/>
      <c r="U771" s="10"/>
      <c r="V771" s="10"/>
    </row>
    <row r="772" ht="22.5" customHeight="1">
      <c r="A772" s="5">
        <v>2.017631251E11</v>
      </c>
      <c r="B772" s="5" t="s">
        <v>869</v>
      </c>
      <c r="C772" s="5">
        <v>527203066455</v>
      </c>
      <c r="D772" s="5" t="s">
        <v>13</v>
      </c>
      <c r="E772" s="5">
        <v>8.7547393E7</v>
      </c>
      <c r="F772" s="5" t="s">
        <v>510</v>
      </c>
      <c r="G772" s="5" t="s">
        <v>15</v>
      </c>
      <c r="H772" s="5" t="s">
        <v>16</v>
      </c>
      <c r="I772" s="6" t="s">
        <v>17</v>
      </c>
      <c r="J772" s="7" t="s">
        <v>18</v>
      </c>
      <c r="K772" s="7" t="s">
        <v>61</v>
      </c>
      <c r="L772" s="8">
        <v>1.770905968416E12</v>
      </c>
      <c r="M772" s="9"/>
      <c r="N772" s="10"/>
      <c r="O772" s="10"/>
      <c r="P772" s="10"/>
      <c r="Q772" s="10"/>
      <c r="R772" s="10"/>
      <c r="S772" s="10"/>
      <c r="T772" s="10"/>
      <c r="U772" s="10"/>
      <c r="V772" s="10"/>
    </row>
    <row r="773" ht="22.5" customHeight="1">
      <c r="A773" s="5">
        <v>2.01764137827E11</v>
      </c>
      <c r="B773" s="5" t="s">
        <v>870</v>
      </c>
      <c r="C773" s="5">
        <v>525574670042</v>
      </c>
      <c r="D773" s="5" t="s">
        <v>13</v>
      </c>
      <c r="E773" s="5">
        <v>8.0566583E7</v>
      </c>
      <c r="F773" s="5" t="s">
        <v>28</v>
      </c>
      <c r="G773" s="5" t="s">
        <v>15</v>
      </c>
      <c r="H773" s="5" t="s">
        <v>16</v>
      </c>
      <c r="I773" s="6" t="s">
        <v>17</v>
      </c>
      <c r="J773" s="7" t="s">
        <v>18</v>
      </c>
      <c r="K773" s="7" t="s">
        <v>61</v>
      </c>
      <c r="L773" s="8">
        <v>1.770906051141E12</v>
      </c>
      <c r="M773" s="9"/>
      <c r="N773" s="10"/>
      <c r="O773" s="10"/>
      <c r="P773" s="10"/>
      <c r="Q773" s="10"/>
      <c r="R773" s="10"/>
      <c r="S773" s="10"/>
      <c r="T773" s="10"/>
      <c r="U773" s="10"/>
      <c r="V773" s="10"/>
    </row>
    <row r="774" ht="22.5" customHeight="1">
      <c r="A774" s="5">
        <v>2.01764137827E11</v>
      </c>
      <c r="B774" s="5" t="s">
        <v>870</v>
      </c>
      <c r="C774" s="5">
        <v>525574670042</v>
      </c>
      <c r="D774" s="5" t="s">
        <v>13</v>
      </c>
      <c r="E774" s="5">
        <v>8.0566583E7</v>
      </c>
      <c r="F774" s="5" t="s">
        <v>28</v>
      </c>
      <c r="G774" s="5" t="s">
        <v>15</v>
      </c>
      <c r="H774" s="5" t="s">
        <v>16</v>
      </c>
      <c r="I774" s="6" t="s">
        <v>17</v>
      </c>
      <c r="J774" s="7" t="s">
        <v>18</v>
      </c>
      <c r="K774" s="7" t="s">
        <v>61</v>
      </c>
      <c r="L774" s="8">
        <v>1.770906315789E12</v>
      </c>
      <c r="M774" s="9"/>
      <c r="N774" s="10"/>
      <c r="O774" s="10"/>
      <c r="P774" s="10"/>
      <c r="Q774" s="10"/>
      <c r="R774" s="10"/>
      <c r="S774" s="10"/>
      <c r="T774" s="10"/>
      <c r="U774" s="10"/>
      <c r="V774" s="10"/>
    </row>
    <row r="775" ht="22.5" customHeight="1">
      <c r="A775" s="5">
        <v>2.01776784554E11</v>
      </c>
      <c r="B775" s="5" t="s">
        <v>871</v>
      </c>
      <c r="C775" s="5">
        <v>51971171166</v>
      </c>
      <c r="D775" s="5" t="s">
        <v>38</v>
      </c>
      <c r="E775" s="5">
        <v>8.0566583E7</v>
      </c>
      <c r="F775" s="5"/>
      <c r="G775" s="5"/>
      <c r="H775" s="5"/>
      <c r="I775" s="6"/>
      <c r="J775" s="7" t="s">
        <v>18</v>
      </c>
      <c r="K775" s="7" t="s">
        <v>19</v>
      </c>
      <c r="L775" s="8">
        <v>1.770906595985E12</v>
      </c>
      <c r="M775" s="9"/>
      <c r="N775" s="10"/>
      <c r="O775" s="10"/>
      <c r="P775" s="10"/>
      <c r="Q775" s="10"/>
      <c r="R775" s="10"/>
      <c r="S775" s="10"/>
      <c r="T775" s="10"/>
      <c r="U775" s="10"/>
      <c r="V775" s="10"/>
    </row>
    <row r="776" ht="22.5" customHeight="1">
      <c r="A776" s="5">
        <v>2.01769719598E11</v>
      </c>
      <c r="B776" s="5" t="s">
        <v>872</v>
      </c>
      <c r="C776" s="5">
        <v>526672244781</v>
      </c>
      <c r="D776" s="5" t="s">
        <v>38</v>
      </c>
      <c r="E776" s="5">
        <v>8.0566583E7</v>
      </c>
      <c r="F776" s="5"/>
      <c r="G776" s="5"/>
      <c r="H776" s="5"/>
      <c r="I776" s="6"/>
      <c r="J776" s="7" t="s">
        <v>58</v>
      </c>
      <c r="K776" s="11" t="s">
        <v>59</v>
      </c>
      <c r="L776" s="8">
        <v>1.770908160543E12</v>
      </c>
      <c r="M776" s="9"/>
      <c r="N776" s="10"/>
      <c r="O776" s="10"/>
      <c r="P776" s="10"/>
      <c r="Q776" s="10"/>
      <c r="R776" s="10"/>
      <c r="S776" s="10"/>
      <c r="T776" s="10"/>
      <c r="U776" s="10"/>
      <c r="V776" s="10"/>
    </row>
    <row r="777" ht="22.5" customHeight="1">
      <c r="A777" s="5">
        <v>2.0176881082E11</v>
      </c>
      <c r="B777" s="5" t="s">
        <v>873</v>
      </c>
      <c r="C777" s="5">
        <v>51941872895</v>
      </c>
      <c r="D777" s="5" t="s">
        <v>13</v>
      </c>
      <c r="E777" s="5">
        <v>8.0566583E7</v>
      </c>
      <c r="F777" s="5" t="s">
        <v>14</v>
      </c>
      <c r="G777" s="5" t="s">
        <v>15</v>
      </c>
      <c r="H777" s="5" t="s">
        <v>16</v>
      </c>
      <c r="I777" s="6" t="s">
        <v>17</v>
      </c>
      <c r="J777" s="7" t="s">
        <v>18</v>
      </c>
      <c r="K777" s="7" t="s">
        <v>19</v>
      </c>
      <c r="L777" s="8">
        <v>1.770908336051E12</v>
      </c>
      <c r="M777" s="9"/>
      <c r="N777" s="10"/>
      <c r="O777" s="10"/>
      <c r="P777" s="10"/>
      <c r="Q777" s="10"/>
      <c r="R777" s="10"/>
      <c r="S777" s="10"/>
      <c r="T777" s="10"/>
      <c r="U777" s="10"/>
      <c r="V777" s="10"/>
    </row>
    <row r="778" ht="22.5" customHeight="1">
      <c r="A778" s="5">
        <v>2.01769737561E11</v>
      </c>
      <c r="B778" s="5" t="s">
        <v>874</v>
      </c>
      <c r="C778" s="5">
        <v>524423648681</v>
      </c>
      <c r="D778" s="5" t="s">
        <v>22</v>
      </c>
      <c r="E778" s="5">
        <v>8.0566583E7</v>
      </c>
      <c r="F778" s="5" t="s">
        <v>39</v>
      </c>
      <c r="G778" s="5" t="s">
        <v>32</v>
      </c>
      <c r="H778" s="5" t="s">
        <v>497</v>
      </c>
      <c r="I778" s="6" t="s">
        <v>17</v>
      </c>
      <c r="J778" s="7" t="s">
        <v>18</v>
      </c>
      <c r="K778" s="7" t="s">
        <v>61</v>
      </c>
      <c r="L778" s="8">
        <v>1.770908390749E12</v>
      </c>
      <c r="M778" s="9"/>
      <c r="N778" s="10"/>
      <c r="O778" s="10"/>
      <c r="P778" s="10"/>
      <c r="Q778" s="10"/>
      <c r="R778" s="10"/>
      <c r="S778" s="10"/>
      <c r="T778" s="10"/>
      <c r="U778" s="10"/>
      <c r="V778" s="10"/>
    </row>
    <row r="779" ht="22.5" customHeight="1">
      <c r="A779" s="5">
        <v>2.01768082049E11</v>
      </c>
      <c r="B779" s="5" t="s">
        <v>875</v>
      </c>
      <c r="C779" s="5">
        <v>5519984215191</v>
      </c>
      <c r="D779" s="5" t="s">
        <v>13</v>
      </c>
      <c r="E779" s="5">
        <v>7.9360573E7</v>
      </c>
      <c r="F779" s="5" t="s">
        <v>259</v>
      </c>
      <c r="G779" s="5" t="s">
        <v>15</v>
      </c>
      <c r="H779" s="5" t="s">
        <v>51</v>
      </c>
      <c r="I779" s="6" t="s">
        <v>17</v>
      </c>
      <c r="J779" s="7" t="s">
        <v>34</v>
      </c>
      <c r="K779" s="7"/>
      <c r="L779" s="8">
        <v>1.770908511662E12</v>
      </c>
      <c r="M779" s="9"/>
      <c r="N779" s="10"/>
      <c r="O779" s="10"/>
      <c r="P779" s="10"/>
      <c r="Q779" s="10"/>
      <c r="R779" s="10"/>
      <c r="S779" s="10"/>
      <c r="T779" s="10"/>
      <c r="U779" s="10"/>
      <c r="V779" s="10"/>
    </row>
    <row r="780" ht="22.5" customHeight="1">
      <c r="A780" s="5">
        <v>2.0176949818E11</v>
      </c>
      <c r="B780" s="5" t="s">
        <v>876</v>
      </c>
      <c r="C780" s="5">
        <v>524421388121</v>
      </c>
      <c r="D780" s="5" t="s">
        <v>13</v>
      </c>
      <c r="E780" s="5">
        <v>8.0566583E7</v>
      </c>
      <c r="F780" s="5" t="s">
        <v>259</v>
      </c>
      <c r="G780" s="5" t="s">
        <v>15</v>
      </c>
      <c r="H780" s="5" t="s">
        <v>66</v>
      </c>
      <c r="I780" s="6" t="s">
        <v>17</v>
      </c>
      <c r="J780" s="7" t="s">
        <v>18</v>
      </c>
      <c r="K780" s="7" t="s">
        <v>61</v>
      </c>
      <c r="L780" s="8">
        <v>1.770909132265E12</v>
      </c>
      <c r="M780" s="9"/>
      <c r="N780" s="10"/>
      <c r="O780" s="10"/>
      <c r="P780" s="10"/>
      <c r="Q780" s="10"/>
      <c r="R780" s="10"/>
      <c r="S780" s="10"/>
      <c r="T780" s="10"/>
      <c r="U780" s="10"/>
      <c r="V780" s="10"/>
    </row>
    <row r="781" ht="22.5" customHeight="1">
      <c r="A781" s="5">
        <v>2.01786417761E11</v>
      </c>
      <c r="B781" s="5" t="s">
        <v>877</v>
      </c>
      <c r="C781" s="5">
        <v>51933454764</v>
      </c>
      <c r="D781" s="5" t="s">
        <v>13</v>
      </c>
      <c r="E781" s="5">
        <v>8.0566583E7</v>
      </c>
      <c r="F781" s="5" t="s">
        <v>93</v>
      </c>
      <c r="G781" s="5" t="s">
        <v>15</v>
      </c>
      <c r="H781" s="5" t="s">
        <v>24</v>
      </c>
      <c r="I781" s="6" t="s">
        <v>63</v>
      </c>
      <c r="J781" s="7" t="s">
        <v>34</v>
      </c>
      <c r="K781" s="7"/>
      <c r="L781" s="8">
        <v>1.770910400316E12</v>
      </c>
      <c r="M781" s="9"/>
      <c r="N781" s="10"/>
      <c r="O781" s="10"/>
      <c r="P781" s="10"/>
      <c r="Q781" s="10"/>
      <c r="R781" s="10"/>
      <c r="S781" s="10"/>
      <c r="T781" s="10"/>
      <c r="U781" s="10"/>
      <c r="V781" s="10"/>
    </row>
    <row r="782" ht="22.5" customHeight="1">
      <c r="A782" s="5">
        <v>2.01787415404E11</v>
      </c>
      <c r="B782" s="5" t="s">
        <v>878</v>
      </c>
      <c r="C782" s="5">
        <v>525631260439</v>
      </c>
      <c r="D782" s="5" t="s">
        <v>22</v>
      </c>
      <c r="E782" s="5">
        <v>8.7547393E7</v>
      </c>
      <c r="F782" s="5" t="s">
        <v>28</v>
      </c>
      <c r="G782" s="5" t="s">
        <v>44</v>
      </c>
      <c r="H782" s="5" t="s">
        <v>16</v>
      </c>
      <c r="I782" s="6" t="s">
        <v>17</v>
      </c>
      <c r="J782" s="7" t="s">
        <v>18</v>
      </c>
      <c r="K782" s="7" t="s">
        <v>61</v>
      </c>
      <c r="L782" s="8">
        <v>1.770911236213E12</v>
      </c>
      <c r="M782" s="9"/>
      <c r="N782" s="10"/>
      <c r="O782" s="10"/>
      <c r="P782" s="10"/>
      <c r="Q782" s="10"/>
      <c r="R782" s="10"/>
      <c r="S782" s="10"/>
      <c r="T782" s="10"/>
      <c r="U782" s="10"/>
      <c r="V782" s="10"/>
    </row>
    <row r="783" ht="22.5" customHeight="1">
      <c r="A783" s="5">
        <v>2.01786204023E11</v>
      </c>
      <c r="B783" s="5" t="s">
        <v>879</v>
      </c>
      <c r="C783" s="5">
        <v>528999818149</v>
      </c>
      <c r="D783" s="5" t="s">
        <v>13</v>
      </c>
      <c r="E783" s="5">
        <v>8.7547393E7</v>
      </c>
      <c r="F783" s="5" t="s">
        <v>714</v>
      </c>
      <c r="G783" s="5" t="s">
        <v>15</v>
      </c>
      <c r="H783" s="5" t="s">
        <v>29</v>
      </c>
      <c r="I783" s="6" t="s">
        <v>17</v>
      </c>
      <c r="J783" s="7" t="s">
        <v>18</v>
      </c>
      <c r="K783" s="7" t="s">
        <v>61</v>
      </c>
      <c r="L783" s="8">
        <v>1.770911355191E12</v>
      </c>
      <c r="M783" s="9"/>
      <c r="N783" s="10"/>
      <c r="O783" s="10"/>
      <c r="P783" s="10"/>
      <c r="Q783" s="10"/>
      <c r="R783" s="10"/>
      <c r="S783" s="10"/>
      <c r="T783" s="10"/>
      <c r="U783" s="10"/>
      <c r="V783" s="10"/>
    </row>
    <row r="784" ht="22.5" customHeight="1">
      <c r="A784" s="5">
        <v>2.01787771913E11</v>
      </c>
      <c r="B784" s="5" t="s">
        <v>880</v>
      </c>
      <c r="C784" s="5">
        <v>51931020652</v>
      </c>
      <c r="D784" s="5" t="s">
        <v>13</v>
      </c>
      <c r="E784" s="5">
        <v>8.7547393E7</v>
      </c>
      <c r="F784" s="5" t="s">
        <v>14</v>
      </c>
      <c r="G784" s="5" t="s">
        <v>15</v>
      </c>
      <c r="H784" s="5" t="s">
        <v>51</v>
      </c>
      <c r="I784" s="6" t="s">
        <v>17</v>
      </c>
      <c r="J784" s="7" t="s">
        <v>18</v>
      </c>
      <c r="K784" s="7" t="s">
        <v>19</v>
      </c>
      <c r="L784" s="8">
        <v>1.77091144832E12</v>
      </c>
      <c r="M784" s="9"/>
      <c r="N784" s="10"/>
      <c r="O784" s="10"/>
      <c r="P784" s="10"/>
      <c r="Q784" s="10"/>
      <c r="R784" s="10"/>
      <c r="S784" s="10"/>
      <c r="T784" s="10"/>
      <c r="U784" s="10"/>
      <c r="V784" s="10"/>
    </row>
    <row r="785" ht="22.5" customHeight="1">
      <c r="A785" s="5">
        <v>2.01806706299E11</v>
      </c>
      <c r="B785" s="5" t="s">
        <v>881</v>
      </c>
      <c r="C785" s="5">
        <v>51922658991</v>
      </c>
      <c r="D785" s="5" t="s">
        <v>22</v>
      </c>
      <c r="E785" s="5">
        <v>8.0566583E7</v>
      </c>
      <c r="F785" s="5" t="s">
        <v>65</v>
      </c>
      <c r="G785" s="5" t="s">
        <v>44</v>
      </c>
      <c r="H785" s="5" t="s">
        <v>80</v>
      </c>
      <c r="I785" s="6" t="s">
        <v>17</v>
      </c>
      <c r="J785" s="7" t="s">
        <v>18</v>
      </c>
      <c r="K785" s="7" t="s">
        <v>116</v>
      </c>
      <c r="L785" s="8">
        <v>1.770911499162E12</v>
      </c>
      <c r="M785" s="9"/>
      <c r="N785" s="10"/>
      <c r="O785" s="10"/>
      <c r="P785" s="10"/>
      <c r="Q785" s="10"/>
      <c r="R785" s="10"/>
      <c r="S785" s="10"/>
      <c r="T785" s="10"/>
      <c r="U785" s="10"/>
      <c r="V785" s="10"/>
    </row>
    <row r="786" ht="22.5" customHeight="1">
      <c r="A786" s="5">
        <v>2.01811726624E11</v>
      </c>
      <c r="B786" s="5" t="s">
        <v>882</v>
      </c>
      <c r="C786" s="5">
        <v>526142732360</v>
      </c>
      <c r="D786" s="5" t="s">
        <v>13</v>
      </c>
      <c r="E786" s="5">
        <v>8.0566583E7</v>
      </c>
      <c r="F786" s="5" t="s">
        <v>93</v>
      </c>
      <c r="G786" s="5" t="s">
        <v>15</v>
      </c>
      <c r="H786" s="5" t="s">
        <v>807</v>
      </c>
      <c r="I786" s="6" t="s">
        <v>17</v>
      </c>
      <c r="J786" s="7" t="s">
        <v>18</v>
      </c>
      <c r="K786" s="7" t="s">
        <v>61</v>
      </c>
      <c r="L786" s="8">
        <v>1.770912182499E12</v>
      </c>
      <c r="M786" s="9"/>
      <c r="N786" s="10"/>
      <c r="O786" s="10"/>
      <c r="P786" s="10"/>
      <c r="Q786" s="10"/>
      <c r="R786" s="10"/>
      <c r="S786" s="10"/>
      <c r="T786" s="10"/>
      <c r="U786" s="10"/>
      <c r="V786" s="10"/>
    </row>
    <row r="787" ht="22.5" customHeight="1">
      <c r="A787" s="5">
        <v>2.01791091862E11</v>
      </c>
      <c r="B787" s="5" t="s">
        <v>883</v>
      </c>
      <c r="C787" s="5">
        <v>525657208470</v>
      </c>
      <c r="D787" s="5" t="s">
        <v>13</v>
      </c>
      <c r="E787" s="5">
        <v>8.0566583E7</v>
      </c>
      <c r="F787" s="5" t="s">
        <v>510</v>
      </c>
      <c r="G787" s="5" t="s">
        <v>32</v>
      </c>
      <c r="H787" s="5" t="s">
        <v>24</v>
      </c>
      <c r="I787" s="6" t="s">
        <v>49</v>
      </c>
      <c r="J787" s="7" t="s">
        <v>34</v>
      </c>
      <c r="K787" s="7"/>
      <c r="L787" s="8">
        <v>1.770912282876E12</v>
      </c>
      <c r="M787" s="9"/>
      <c r="N787" s="10"/>
      <c r="O787" s="10"/>
      <c r="P787" s="10"/>
      <c r="Q787" s="10"/>
      <c r="R787" s="10"/>
      <c r="S787" s="10"/>
      <c r="T787" s="10"/>
      <c r="U787" s="10"/>
      <c r="V787" s="10"/>
    </row>
    <row r="788" ht="22.5" customHeight="1">
      <c r="A788" s="5">
        <v>2.01794933021E11</v>
      </c>
      <c r="B788" s="5" t="s">
        <v>884</v>
      </c>
      <c r="C788" s="5">
        <v>51910897130</v>
      </c>
      <c r="D788" s="5" t="s">
        <v>13</v>
      </c>
      <c r="E788" s="5">
        <v>8.0566583E7</v>
      </c>
      <c r="F788" s="5" t="s">
        <v>39</v>
      </c>
      <c r="G788" s="5" t="s">
        <v>15</v>
      </c>
      <c r="H788" s="5" t="s">
        <v>66</v>
      </c>
      <c r="I788" s="6" t="s">
        <v>17</v>
      </c>
      <c r="J788" s="7" t="s">
        <v>58</v>
      </c>
      <c r="K788" s="11" t="s">
        <v>59</v>
      </c>
      <c r="L788" s="8">
        <v>1.770913854625E12</v>
      </c>
      <c r="M788" s="9"/>
      <c r="N788" s="10"/>
      <c r="O788" s="10"/>
      <c r="P788" s="10"/>
      <c r="Q788" s="10"/>
      <c r="R788" s="10"/>
      <c r="S788" s="10"/>
      <c r="T788" s="10"/>
      <c r="U788" s="10"/>
      <c r="V788" s="10"/>
    </row>
    <row r="789" ht="22.5" customHeight="1">
      <c r="A789" s="5">
        <v>2.0179882043E11</v>
      </c>
      <c r="B789" s="5" t="s">
        <v>885</v>
      </c>
      <c r="C789" s="5">
        <v>522294659010</v>
      </c>
      <c r="D789" s="5" t="s">
        <v>13</v>
      </c>
      <c r="E789" s="5">
        <v>8.7547393E7</v>
      </c>
      <c r="F789" s="5" t="s">
        <v>14</v>
      </c>
      <c r="G789" s="5" t="s">
        <v>15</v>
      </c>
      <c r="H789" s="5" t="s">
        <v>114</v>
      </c>
      <c r="I789" s="6" t="s">
        <v>17</v>
      </c>
      <c r="J789" s="7" t="s">
        <v>18</v>
      </c>
      <c r="K789" s="7" t="s">
        <v>61</v>
      </c>
      <c r="L789" s="8">
        <v>1.77091585427E12</v>
      </c>
      <c r="M789" s="9"/>
      <c r="N789" s="10"/>
      <c r="O789" s="10"/>
      <c r="P789" s="10"/>
      <c r="Q789" s="10"/>
      <c r="R789" s="10"/>
      <c r="S789" s="10"/>
      <c r="T789" s="10"/>
      <c r="U789" s="10"/>
      <c r="V789" s="10"/>
    </row>
    <row r="790" ht="22.5" customHeight="1">
      <c r="A790" s="5">
        <v>2.0180049437E11</v>
      </c>
      <c r="B790" s="5" t="s">
        <v>886</v>
      </c>
      <c r="C790" s="5">
        <v>528117282500</v>
      </c>
      <c r="D790" s="5" t="s">
        <v>13</v>
      </c>
      <c r="E790" s="5">
        <v>8.7547393E7</v>
      </c>
      <c r="F790" s="5" t="s">
        <v>28</v>
      </c>
      <c r="G790" s="5" t="s">
        <v>15</v>
      </c>
      <c r="H790" s="5" t="s">
        <v>24</v>
      </c>
      <c r="I790" s="6" t="s">
        <v>17</v>
      </c>
      <c r="J790" s="7" t="s">
        <v>18</v>
      </c>
      <c r="K790" s="7" t="s">
        <v>61</v>
      </c>
      <c r="L790" s="8">
        <v>1.770916693697E12</v>
      </c>
      <c r="M790" s="9"/>
      <c r="N790" s="10"/>
      <c r="O790" s="10"/>
      <c r="P790" s="10"/>
      <c r="Q790" s="10"/>
      <c r="R790" s="10"/>
      <c r="S790" s="10"/>
      <c r="T790" s="10"/>
      <c r="U790" s="10"/>
      <c r="V790" s="10"/>
    </row>
    <row r="791" ht="22.5" customHeight="1">
      <c r="A791" s="5">
        <v>1.73783637401E11</v>
      </c>
      <c r="B791" s="5" t="s">
        <v>887</v>
      </c>
      <c r="C791" s="5">
        <v>51971201804</v>
      </c>
      <c r="D791" s="5" t="s">
        <v>22</v>
      </c>
      <c r="E791" s="5">
        <v>8.7547393E7</v>
      </c>
      <c r="F791" s="5" t="s">
        <v>93</v>
      </c>
      <c r="G791" s="5" t="s">
        <v>32</v>
      </c>
      <c r="H791" s="5" t="s">
        <v>16</v>
      </c>
      <c r="I791" s="6" t="s">
        <v>17</v>
      </c>
      <c r="J791" s="7" t="s">
        <v>18</v>
      </c>
      <c r="K791" s="7" t="s">
        <v>19</v>
      </c>
      <c r="L791" s="8">
        <v>1.770917024323E12</v>
      </c>
      <c r="M791" s="9"/>
      <c r="N791" s="10"/>
      <c r="O791" s="10"/>
      <c r="P791" s="10"/>
      <c r="Q791" s="10"/>
      <c r="R791" s="10"/>
      <c r="S791" s="10"/>
      <c r="T791" s="10"/>
      <c r="U791" s="10"/>
      <c r="V791" s="10"/>
    </row>
    <row r="792" ht="22.5" customHeight="1">
      <c r="A792" s="5">
        <v>2.0180142756E11</v>
      </c>
      <c r="B792" s="5" t="s">
        <v>888</v>
      </c>
      <c r="C792" s="5">
        <v>51995671694</v>
      </c>
      <c r="D792" s="5" t="s">
        <v>13</v>
      </c>
      <c r="E792" s="5">
        <v>8.7547393E7</v>
      </c>
      <c r="F792" s="5" t="s">
        <v>28</v>
      </c>
      <c r="G792" s="5" t="s">
        <v>15</v>
      </c>
      <c r="H792" s="5" t="s">
        <v>24</v>
      </c>
      <c r="I792" s="6" t="s">
        <v>17</v>
      </c>
      <c r="J792" s="7" t="s">
        <v>18</v>
      </c>
      <c r="K792" s="7" t="s">
        <v>19</v>
      </c>
      <c r="L792" s="8">
        <v>1.770917058341E12</v>
      </c>
      <c r="M792" s="9"/>
      <c r="N792" s="10"/>
      <c r="O792" s="10"/>
      <c r="P792" s="10"/>
      <c r="Q792" s="10"/>
      <c r="R792" s="10"/>
      <c r="S792" s="10"/>
      <c r="T792" s="10"/>
      <c r="U792" s="10"/>
      <c r="V792" s="10"/>
    </row>
    <row r="793" ht="22.5" customHeight="1">
      <c r="A793" s="5">
        <v>2.01075441922E11</v>
      </c>
      <c r="B793" s="5" t="s">
        <v>700</v>
      </c>
      <c r="C793" s="5">
        <v>5585981941343</v>
      </c>
      <c r="D793" s="5" t="s">
        <v>13</v>
      </c>
      <c r="E793" s="5">
        <v>7.9360573E7</v>
      </c>
      <c r="F793" s="5" t="s">
        <v>28</v>
      </c>
      <c r="G793" s="5" t="s">
        <v>15</v>
      </c>
      <c r="H793" s="5" t="s">
        <v>16</v>
      </c>
      <c r="I793" s="6" t="s">
        <v>17</v>
      </c>
      <c r="J793" s="7" t="s">
        <v>34</v>
      </c>
      <c r="K793" s="7"/>
      <c r="L793" s="8">
        <v>1.770917150222E12</v>
      </c>
      <c r="M793" s="9"/>
      <c r="N793" s="10"/>
      <c r="O793" s="10"/>
      <c r="P793" s="10"/>
      <c r="Q793" s="10"/>
      <c r="R793" s="10"/>
      <c r="S793" s="10"/>
      <c r="T793" s="10"/>
      <c r="U793" s="10"/>
      <c r="V793" s="10"/>
    </row>
    <row r="794" ht="22.5" customHeight="1">
      <c r="A794" s="5">
        <v>2.01802476187E11</v>
      </c>
      <c r="B794" s="5" t="s">
        <v>889</v>
      </c>
      <c r="C794" s="5">
        <v>526461980629</v>
      </c>
      <c r="D794" s="5" t="s">
        <v>13</v>
      </c>
      <c r="E794" s="5">
        <v>8.7547393E7</v>
      </c>
      <c r="F794" s="5" t="s">
        <v>39</v>
      </c>
      <c r="G794" s="5" t="s">
        <v>15</v>
      </c>
      <c r="H794" s="5" t="s">
        <v>29</v>
      </c>
      <c r="I794" s="6" t="s">
        <v>17</v>
      </c>
      <c r="J794" s="7" t="s">
        <v>34</v>
      </c>
      <c r="K794" s="7"/>
      <c r="L794" s="8">
        <v>1.770917544723E12</v>
      </c>
      <c r="M794" s="9"/>
      <c r="N794" s="10"/>
      <c r="O794" s="10"/>
      <c r="P794" s="10"/>
      <c r="Q794" s="10"/>
      <c r="R794" s="10"/>
      <c r="S794" s="10"/>
      <c r="T794" s="10"/>
      <c r="U794" s="10"/>
      <c r="V794" s="10"/>
    </row>
    <row r="795" ht="22.5" customHeight="1">
      <c r="A795" s="5">
        <v>2.01824994735E11</v>
      </c>
      <c r="B795" s="5" t="s">
        <v>890</v>
      </c>
      <c r="C795" s="5">
        <v>5521980485101</v>
      </c>
      <c r="D795" s="5" t="s">
        <v>22</v>
      </c>
      <c r="E795" s="5">
        <v>7.9360573E7</v>
      </c>
      <c r="F795" s="5" t="s">
        <v>259</v>
      </c>
      <c r="G795" s="5" t="s">
        <v>44</v>
      </c>
      <c r="H795" s="5" t="s">
        <v>16</v>
      </c>
      <c r="I795" s="6" t="s">
        <v>17</v>
      </c>
      <c r="J795" s="7" t="s">
        <v>34</v>
      </c>
      <c r="K795" s="7"/>
      <c r="L795" s="8">
        <v>1.770918873513E12</v>
      </c>
      <c r="M795" s="9"/>
      <c r="N795" s="10"/>
      <c r="O795" s="10"/>
      <c r="P795" s="10"/>
      <c r="Q795" s="10"/>
      <c r="R795" s="10"/>
      <c r="S795" s="10"/>
      <c r="T795" s="10"/>
      <c r="U795" s="10"/>
      <c r="V795" s="10"/>
    </row>
    <row r="796" ht="22.5" customHeight="1">
      <c r="A796" s="5">
        <v>2.01826782648E11</v>
      </c>
      <c r="B796" s="5" t="s">
        <v>891</v>
      </c>
      <c r="C796" s="5">
        <v>529987167292</v>
      </c>
      <c r="D796" s="5" t="s">
        <v>22</v>
      </c>
      <c r="E796" s="5">
        <v>8.0566583E7</v>
      </c>
      <c r="F796" s="5" t="s">
        <v>39</v>
      </c>
      <c r="G796" s="5" t="s">
        <v>32</v>
      </c>
      <c r="H796" s="5" t="s">
        <v>33</v>
      </c>
      <c r="I796" s="6" t="s">
        <v>17</v>
      </c>
      <c r="J796" s="7" t="s">
        <v>34</v>
      </c>
      <c r="K796" s="7"/>
      <c r="L796" s="8">
        <v>1.77091952906E12</v>
      </c>
      <c r="M796" s="9"/>
      <c r="N796" s="10"/>
      <c r="O796" s="10"/>
      <c r="P796" s="10"/>
      <c r="Q796" s="10"/>
      <c r="R796" s="10"/>
      <c r="S796" s="10"/>
      <c r="T796" s="10"/>
      <c r="U796" s="10"/>
      <c r="V796" s="10"/>
    </row>
    <row r="797" ht="22.5" customHeight="1">
      <c r="A797" s="5">
        <v>2.01824293179E11</v>
      </c>
      <c r="B797" s="5" t="s">
        <v>892</v>
      </c>
      <c r="C797" s="5">
        <v>51961779120</v>
      </c>
      <c r="D797" s="5" t="s">
        <v>13</v>
      </c>
      <c r="E797" s="5">
        <v>8.0566583E7</v>
      </c>
      <c r="F797" s="5" t="s">
        <v>28</v>
      </c>
      <c r="G797" s="5"/>
      <c r="H797" s="5" t="s">
        <v>16</v>
      </c>
      <c r="I797" s="6"/>
      <c r="J797" s="7" t="s">
        <v>34</v>
      </c>
      <c r="K797" s="7"/>
      <c r="L797" s="8">
        <v>1.770919687028E12</v>
      </c>
      <c r="M797" s="9"/>
      <c r="N797" s="10"/>
      <c r="O797" s="10"/>
      <c r="P797" s="10"/>
      <c r="Q797" s="10"/>
      <c r="R797" s="10"/>
      <c r="S797" s="10"/>
      <c r="T797" s="10"/>
      <c r="U797" s="10"/>
      <c r="V797" s="10"/>
    </row>
    <row r="798" ht="22.5" customHeight="1">
      <c r="A798" s="5">
        <v>2.01833023386E11</v>
      </c>
      <c r="B798" s="5" t="s">
        <v>893</v>
      </c>
      <c r="C798" s="5">
        <v>5527996417375</v>
      </c>
      <c r="D798" s="5" t="s">
        <v>22</v>
      </c>
      <c r="E798" s="5">
        <v>7.9360573E7</v>
      </c>
      <c r="F798" s="5" t="s">
        <v>39</v>
      </c>
      <c r="G798" s="5" t="s">
        <v>44</v>
      </c>
      <c r="H798" s="5" t="s">
        <v>80</v>
      </c>
      <c r="I798" s="6" t="s">
        <v>89</v>
      </c>
      <c r="J798" s="7" t="s">
        <v>124</v>
      </c>
      <c r="K798" s="7" t="s">
        <v>712</v>
      </c>
      <c r="L798" s="8">
        <v>1.770921526567E12</v>
      </c>
      <c r="M798" s="9"/>
      <c r="N798" s="10"/>
      <c r="O798" s="10"/>
      <c r="P798" s="10"/>
      <c r="Q798" s="10"/>
      <c r="R798" s="10"/>
      <c r="S798" s="10"/>
      <c r="T798" s="10"/>
      <c r="U798" s="10"/>
      <c r="V798" s="10"/>
    </row>
    <row r="799" ht="22.5" customHeight="1">
      <c r="A799" s="5">
        <v>2.01874008228E11</v>
      </c>
      <c r="B799" s="5" t="s">
        <v>894</v>
      </c>
      <c r="C799" s="5">
        <v>51900387733</v>
      </c>
      <c r="D799" s="5" t="s">
        <v>13</v>
      </c>
      <c r="E799" s="5">
        <v>8.7547393E7</v>
      </c>
      <c r="F799" s="5" t="s">
        <v>65</v>
      </c>
      <c r="G799" s="5" t="s">
        <v>32</v>
      </c>
      <c r="H799" s="5" t="s">
        <v>66</v>
      </c>
      <c r="I799" s="6" t="s">
        <v>36</v>
      </c>
      <c r="J799" s="7" t="s">
        <v>18</v>
      </c>
      <c r="K799" s="7" t="s">
        <v>19</v>
      </c>
      <c r="L799" s="8">
        <v>1.770923622035E12</v>
      </c>
      <c r="M799" s="9"/>
      <c r="N799" s="10"/>
      <c r="O799" s="10"/>
      <c r="P799" s="10"/>
      <c r="Q799" s="10"/>
      <c r="R799" s="10"/>
      <c r="S799" s="10"/>
      <c r="T799" s="10"/>
      <c r="U799" s="10"/>
      <c r="V799" s="10"/>
    </row>
    <row r="800" ht="22.5" customHeight="1">
      <c r="A800" s="5">
        <v>1.99980259214E11</v>
      </c>
      <c r="B800" s="5" t="s">
        <v>895</v>
      </c>
      <c r="C800" s="5">
        <v>51927482608</v>
      </c>
      <c r="D800" s="5" t="s">
        <v>13</v>
      </c>
      <c r="E800" s="5">
        <v>8.7547393E7</v>
      </c>
      <c r="F800" s="5" t="s">
        <v>39</v>
      </c>
      <c r="G800" s="5"/>
      <c r="H800" s="5"/>
      <c r="I800" s="6"/>
      <c r="J800" s="7" t="s">
        <v>18</v>
      </c>
      <c r="K800" s="7" t="s">
        <v>19</v>
      </c>
      <c r="L800" s="8">
        <v>1.77092453773E12</v>
      </c>
      <c r="M800" s="9"/>
      <c r="N800" s="10"/>
      <c r="O800" s="10"/>
      <c r="P800" s="10"/>
      <c r="Q800" s="10"/>
      <c r="R800" s="10"/>
      <c r="S800" s="10"/>
      <c r="T800" s="10"/>
      <c r="U800" s="10"/>
      <c r="V800" s="10"/>
    </row>
    <row r="801" ht="22.5" customHeight="1">
      <c r="A801" s="5">
        <v>2.01856684471E11</v>
      </c>
      <c r="B801" s="5" t="s">
        <v>896</v>
      </c>
      <c r="C801" s="5">
        <v>51934988430</v>
      </c>
      <c r="D801" s="5" t="s">
        <v>22</v>
      </c>
      <c r="E801" s="5">
        <v>8.7547393E7</v>
      </c>
      <c r="F801" s="5" t="s">
        <v>28</v>
      </c>
      <c r="G801" s="5" t="s">
        <v>44</v>
      </c>
      <c r="H801" s="5" t="s">
        <v>16</v>
      </c>
      <c r="I801" s="6" t="s">
        <v>17</v>
      </c>
      <c r="J801" s="7" t="s">
        <v>34</v>
      </c>
      <c r="K801" s="7"/>
      <c r="L801" s="8">
        <v>1.770926862811E12</v>
      </c>
      <c r="M801" s="9"/>
      <c r="N801" s="10"/>
      <c r="O801" s="10"/>
      <c r="P801" s="10"/>
      <c r="Q801" s="10"/>
      <c r="R801" s="10"/>
      <c r="S801" s="10"/>
      <c r="T801" s="10"/>
      <c r="U801" s="10"/>
      <c r="V801" s="10"/>
    </row>
    <row r="802" ht="22.5" customHeight="1">
      <c r="A802" s="5">
        <v>1.8515125234E11</v>
      </c>
      <c r="B802" s="5" t="s">
        <v>897</v>
      </c>
      <c r="C802" s="5">
        <v>51963821190</v>
      </c>
      <c r="D802" s="5"/>
      <c r="E802" s="5">
        <v>8.0566583E7</v>
      </c>
      <c r="F802" s="5" t="s">
        <v>93</v>
      </c>
      <c r="G802" s="5" t="s">
        <v>15</v>
      </c>
      <c r="H802" s="5"/>
      <c r="I802" s="6"/>
      <c r="J802" s="7" t="s">
        <v>34</v>
      </c>
      <c r="K802" s="7"/>
      <c r="L802" s="8">
        <v>1.7709268754E12</v>
      </c>
      <c r="M802" s="9"/>
      <c r="N802" s="10"/>
      <c r="O802" s="10"/>
      <c r="P802" s="10"/>
      <c r="Q802" s="10"/>
      <c r="R802" s="10"/>
      <c r="S802" s="10"/>
      <c r="T802" s="10"/>
      <c r="U802" s="10"/>
      <c r="V802" s="10"/>
    </row>
    <row r="803" ht="22.5" customHeight="1">
      <c r="A803" s="5">
        <v>2.01857224015E11</v>
      </c>
      <c r="B803" s="5" t="s">
        <v>898</v>
      </c>
      <c r="C803" s="5">
        <v>51991288931</v>
      </c>
      <c r="D803" s="5" t="s">
        <v>13</v>
      </c>
      <c r="E803" s="5">
        <v>8.0566583E7</v>
      </c>
      <c r="F803" s="5" t="s">
        <v>259</v>
      </c>
      <c r="G803" s="5" t="s">
        <v>32</v>
      </c>
      <c r="H803" s="5" t="s">
        <v>24</v>
      </c>
      <c r="I803" s="6" t="s">
        <v>17</v>
      </c>
      <c r="J803" s="7" t="s">
        <v>34</v>
      </c>
      <c r="K803" s="7"/>
      <c r="L803" s="8">
        <v>1.770928838438E12</v>
      </c>
      <c r="M803" s="9"/>
      <c r="N803" s="10"/>
      <c r="O803" s="10"/>
      <c r="P803" s="10"/>
      <c r="Q803" s="10"/>
      <c r="R803" s="10"/>
      <c r="S803" s="10"/>
      <c r="T803" s="10"/>
      <c r="U803" s="10"/>
      <c r="V803" s="10"/>
    </row>
    <row r="804" ht="22.5" customHeight="1">
      <c r="A804" s="5">
        <v>2.01857227792E11</v>
      </c>
      <c r="B804" s="5" t="s">
        <v>899</v>
      </c>
      <c r="C804" s="5">
        <v>525612677508</v>
      </c>
      <c r="D804" s="5" t="s">
        <v>38</v>
      </c>
      <c r="E804" s="5"/>
      <c r="F804" s="5" t="s">
        <v>93</v>
      </c>
      <c r="G804" s="5" t="s">
        <v>15</v>
      </c>
      <c r="H804" s="5" t="s">
        <v>128</v>
      </c>
      <c r="I804" s="6" t="s">
        <v>17</v>
      </c>
      <c r="J804" s="7" t="s">
        <v>34</v>
      </c>
      <c r="K804" s="7"/>
      <c r="L804" s="8">
        <v>1.770928939007E12</v>
      </c>
      <c r="M804" s="9"/>
      <c r="N804" s="10"/>
      <c r="O804" s="10"/>
      <c r="P804" s="10"/>
      <c r="Q804" s="10"/>
      <c r="R804" s="10"/>
      <c r="S804" s="10"/>
      <c r="T804" s="10"/>
      <c r="U804" s="10"/>
      <c r="V804" s="10"/>
    </row>
    <row r="805" ht="22.5" customHeight="1">
      <c r="A805" s="5">
        <v>2.01884278162E11</v>
      </c>
      <c r="B805" s="5" t="s">
        <v>900</v>
      </c>
      <c r="C805" s="5">
        <v>51923407243</v>
      </c>
      <c r="D805" s="5" t="s">
        <v>13</v>
      </c>
      <c r="E805" s="5">
        <v>8.7547393E7</v>
      </c>
      <c r="F805" s="5" t="s">
        <v>14</v>
      </c>
      <c r="G805" s="5" t="s">
        <v>15</v>
      </c>
      <c r="H805" s="5" t="s">
        <v>24</v>
      </c>
      <c r="I805" s="6" t="s">
        <v>17</v>
      </c>
      <c r="J805" s="7" t="s">
        <v>18</v>
      </c>
      <c r="K805" s="7" t="s">
        <v>19</v>
      </c>
      <c r="L805" s="8">
        <v>1.770930642997E12</v>
      </c>
      <c r="M805" s="9"/>
      <c r="N805" s="10"/>
      <c r="O805" s="10"/>
      <c r="P805" s="10"/>
      <c r="Q805" s="10"/>
      <c r="R805" s="10"/>
      <c r="S805" s="10"/>
      <c r="T805" s="10"/>
      <c r="U805" s="10"/>
      <c r="V805" s="10"/>
    </row>
    <row r="806" ht="22.5" customHeight="1">
      <c r="A806" s="5">
        <v>2.01880978817E11</v>
      </c>
      <c r="B806" s="5" t="s">
        <v>901</v>
      </c>
      <c r="C806" s="5">
        <v>5511992770421</v>
      </c>
      <c r="D806" s="5" t="s">
        <v>13</v>
      </c>
      <c r="E806" s="5">
        <v>7.9360573E7</v>
      </c>
      <c r="F806" s="5" t="s">
        <v>28</v>
      </c>
      <c r="G806" s="5" t="s">
        <v>32</v>
      </c>
      <c r="H806" s="5" t="s">
        <v>51</v>
      </c>
      <c r="I806" s="6" t="s">
        <v>63</v>
      </c>
      <c r="J806" s="7" t="s">
        <v>34</v>
      </c>
      <c r="K806" s="7"/>
      <c r="L806" s="8">
        <v>1.770931586195E12</v>
      </c>
      <c r="M806" s="9"/>
      <c r="N806" s="10"/>
      <c r="O806" s="10"/>
      <c r="P806" s="10"/>
      <c r="Q806" s="10"/>
      <c r="R806" s="10"/>
      <c r="S806" s="10"/>
      <c r="T806" s="10"/>
      <c r="U806" s="10"/>
      <c r="V806" s="10"/>
    </row>
    <row r="807" ht="22.5" customHeight="1">
      <c r="A807" s="5">
        <v>2.01886289265E11</v>
      </c>
      <c r="B807" s="5" t="s">
        <v>902</v>
      </c>
      <c r="C807" s="5">
        <v>5565981021541</v>
      </c>
      <c r="D807" s="5" t="s">
        <v>13</v>
      </c>
      <c r="E807" s="5">
        <v>7.9360573E7</v>
      </c>
      <c r="F807" s="5" t="s">
        <v>93</v>
      </c>
      <c r="G807" s="5" t="s">
        <v>15</v>
      </c>
      <c r="H807" s="5" t="s">
        <v>16</v>
      </c>
      <c r="I807" s="6" t="s">
        <v>36</v>
      </c>
      <c r="J807" s="7" t="s">
        <v>34</v>
      </c>
      <c r="K807" s="7"/>
      <c r="L807" s="8">
        <v>1.770931598633E12</v>
      </c>
      <c r="M807" s="9"/>
      <c r="N807" s="10"/>
      <c r="O807" s="10"/>
      <c r="P807" s="10"/>
      <c r="Q807" s="10"/>
      <c r="R807" s="10"/>
      <c r="S807" s="10"/>
      <c r="T807" s="10"/>
      <c r="U807" s="10"/>
      <c r="V807" s="10"/>
    </row>
    <row r="808" ht="22.5" customHeight="1">
      <c r="A808" s="5">
        <v>2.01885553537E11</v>
      </c>
      <c r="B808" s="5" t="s">
        <v>903</v>
      </c>
      <c r="C808" s="5">
        <v>51934337900</v>
      </c>
      <c r="D808" s="5" t="s">
        <v>13</v>
      </c>
      <c r="E808" s="5">
        <v>8.7547393E7</v>
      </c>
      <c r="F808" s="5" t="s">
        <v>28</v>
      </c>
      <c r="G808" s="5" t="s">
        <v>32</v>
      </c>
      <c r="H808" s="5" t="s">
        <v>16</v>
      </c>
      <c r="I808" s="6" t="s">
        <v>17</v>
      </c>
      <c r="J808" s="7" t="s">
        <v>18</v>
      </c>
      <c r="K808" s="7" t="s">
        <v>19</v>
      </c>
      <c r="L808" s="8">
        <v>1.770931848213E12</v>
      </c>
      <c r="M808" s="9"/>
      <c r="N808" s="10"/>
      <c r="O808" s="10"/>
      <c r="P808" s="10"/>
      <c r="Q808" s="10"/>
      <c r="R808" s="10"/>
      <c r="S808" s="10"/>
      <c r="T808" s="10"/>
      <c r="U808" s="10"/>
      <c r="V808" s="10"/>
    </row>
    <row r="809" ht="22.5" customHeight="1">
      <c r="A809" s="5">
        <v>1.87483589513E11</v>
      </c>
      <c r="B809" s="5" t="s">
        <v>904</v>
      </c>
      <c r="C809" s="5">
        <v>51946142415</v>
      </c>
      <c r="D809" s="5" t="s">
        <v>13</v>
      </c>
      <c r="E809" s="5"/>
      <c r="F809" s="5" t="s">
        <v>28</v>
      </c>
      <c r="G809" s="5" t="s">
        <v>15</v>
      </c>
      <c r="H809" s="5" t="s">
        <v>29</v>
      </c>
      <c r="I809" s="6" t="s">
        <v>17</v>
      </c>
      <c r="J809" s="7" t="s">
        <v>177</v>
      </c>
      <c r="K809" s="7" t="s">
        <v>36</v>
      </c>
      <c r="L809" s="8">
        <v>1.770932220759E12</v>
      </c>
      <c r="M809" s="9"/>
      <c r="N809" s="10"/>
      <c r="O809" s="10"/>
      <c r="P809" s="10"/>
      <c r="Q809" s="10"/>
      <c r="R809" s="10"/>
      <c r="S809" s="10"/>
      <c r="T809" s="10"/>
      <c r="U809" s="10"/>
      <c r="V809" s="10"/>
    </row>
    <row r="810" ht="22.5" customHeight="1">
      <c r="A810" s="5">
        <v>2.01893350151E11</v>
      </c>
      <c r="B810" s="5" t="s">
        <v>905</v>
      </c>
      <c r="C810" s="5">
        <v>51998098764</v>
      </c>
      <c r="D810" s="5" t="s">
        <v>13</v>
      </c>
      <c r="E810" s="5">
        <v>8.7547393E7</v>
      </c>
      <c r="F810" s="5" t="s">
        <v>259</v>
      </c>
      <c r="G810" s="5" t="s">
        <v>15</v>
      </c>
      <c r="H810" s="5" t="s">
        <v>69</v>
      </c>
      <c r="I810" s="6" t="s">
        <v>17</v>
      </c>
      <c r="J810" s="7" t="s">
        <v>18</v>
      </c>
      <c r="K810" s="7" t="s">
        <v>19</v>
      </c>
      <c r="L810" s="8">
        <v>1.770932265934E12</v>
      </c>
      <c r="M810" s="9"/>
      <c r="N810" s="10"/>
      <c r="O810" s="10"/>
      <c r="P810" s="10"/>
      <c r="Q810" s="10"/>
      <c r="R810" s="10"/>
      <c r="S810" s="10"/>
      <c r="T810" s="10"/>
      <c r="U810" s="10"/>
      <c r="V810" s="10"/>
    </row>
    <row r="811" ht="22.5" customHeight="1">
      <c r="A811" s="5">
        <v>2.01893559467E11</v>
      </c>
      <c r="B811" s="5" t="s">
        <v>906</v>
      </c>
      <c r="C811" s="5">
        <v>51938168795</v>
      </c>
      <c r="D811" s="5" t="s">
        <v>13</v>
      </c>
      <c r="E811" s="5">
        <v>8.7547393E7</v>
      </c>
      <c r="F811" s="5" t="s">
        <v>259</v>
      </c>
      <c r="G811" s="5" t="s">
        <v>15</v>
      </c>
      <c r="H811" s="5" t="s">
        <v>51</v>
      </c>
      <c r="I811" s="6" t="s">
        <v>17</v>
      </c>
      <c r="J811" s="7" t="s">
        <v>25</v>
      </c>
      <c r="K811" s="7" t="s">
        <v>501</v>
      </c>
      <c r="L811" s="8">
        <v>1.770932350187E12</v>
      </c>
      <c r="M811" s="9"/>
      <c r="N811" s="10"/>
      <c r="O811" s="10"/>
      <c r="P811" s="10"/>
      <c r="Q811" s="10"/>
      <c r="R811" s="10"/>
      <c r="S811" s="10"/>
      <c r="T811" s="10"/>
      <c r="U811" s="10"/>
      <c r="V811" s="10"/>
    </row>
    <row r="812" ht="22.5" customHeight="1">
      <c r="A812" s="5">
        <v>1.27186052215E11</v>
      </c>
      <c r="B812" s="5" t="s">
        <v>907</v>
      </c>
      <c r="C812" s="5">
        <v>51997157417</v>
      </c>
      <c r="D812" s="5" t="s">
        <v>38</v>
      </c>
      <c r="E812" s="5"/>
      <c r="F812" s="5" t="s">
        <v>714</v>
      </c>
      <c r="G812" s="5" t="s">
        <v>15</v>
      </c>
      <c r="H812" s="5"/>
      <c r="I812" s="6"/>
      <c r="J812" s="7" t="s">
        <v>34</v>
      </c>
      <c r="K812" s="7"/>
      <c r="L812" s="8">
        <v>1.770932455788E12</v>
      </c>
      <c r="M812" s="9"/>
      <c r="N812" s="10"/>
      <c r="O812" s="10"/>
      <c r="P812" s="10"/>
      <c r="Q812" s="10"/>
      <c r="R812" s="10"/>
      <c r="S812" s="10"/>
      <c r="T812" s="10"/>
      <c r="U812" s="10"/>
      <c r="V812" s="10"/>
    </row>
    <row r="813" ht="22.5" customHeight="1">
      <c r="A813" s="5">
        <v>2.01884982957E11</v>
      </c>
      <c r="B813" s="5" t="s">
        <v>908</v>
      </c>
      <c r="C813" s="5">
        <v>5534999747117</v>
      </c>
      <c r="D813" s="5" t="s">
        <v>13</v>
      </c>
      <c r="E813" s="5">
        <v>7.9360573E7</v>
      </c>
      <c r="F813" s="5" t="s">
        <v>65</v>
      </c>
      <c r="G813" s="5" t="s">
        <v>15</v>
      </c>
      <c r="H813" s="5" t="s">
        <v>16</v>
      </c>
      <c r="I813" s="6" t="s">
        <v>17</v>
      </c>
      <c r="J813" s="7" t="s">
        <v>34</v>
      </c>
      <c r="K813" s="7"/>
      <c r="L813" s="8">
        <v>1.770934312342E12</v>
      </c>
      <c r="M813" s="9"/>
      <c r="N813" s="10"/>
      <c r="O813" s="10"/>
      <c r="P813" s="10"/>
      <c r="Q813" s="10"/>
      <c r="R813" s="10"/>
      <c r="S813" s="10"/>
      <c r="T813" s="10"/>
      <c r="U813" s="10"/>
      <c r="V813" s="10"/>
    </row>
    <row r="814" ht="22.5" customHeight="1">
      <c r="A814" s="5">
        <v>2.01909989957E11</v>
      </c>
      <c r="B814" s="5" t="s">
        <v>909</v>
      </c>
      <c r="C814" s="5">
        <v>51913270363</v>
      </c>
      <c r="D814" s="5" t="s">
        <v>13</v>
      </c>
      <c r="E814" s="5">
        <v>8.7547393E7</v>
      </c>
      <c r="F814" s="5" t="s">
        <v>39</v>
      </c>
      <c r="G814" s="5" t="s">
        <v>15</v>
      </c>
      <c r="H814" s="5" t="s">
        <v>114</v>
      </c>
      <c r="I814" s="6" t="s">
        <v>17</v>
      </c>
      <c r="J814" s="7" t="s">
        <v>18</v>
      </c>
      <c r="K814" s="7" t="s">
        <v>116</v>
      </c>
      <c r="L814" s="8">
        <v>1.770936063269E12</v>
      </c>
      <c r="M814" s="9"/>
      <c r="N814" s="10"/>
      <c r="O814" s="10"/>
      <c r="P814" s="10"/>
      <c r="Q814" s="10"/>
      <c r="R814" s="10"/>
      <c r="S814" s="10"/>
      <c r="T814" s="10"/>
      <c r="U814" s="10"/>
      <c r="V814" s="10"/>
    </row>
    <row r="815" ht="22.5" customHeight="1">
      <c r="A815" s="5">
        <v>2.01890879663E11</v>
      </c>
      <c r="B815" s="5" t="s">
        <v>910</v>
      </c>
      <c r="C815" s="5">
        <v>51960353659</v>
      </c>
      <c r="D815" s="5" t="s">
        <v>13</v>
      </c>
      <c r="E815" s="5">
        <v>8.7547393E7</v>
      </c>
      <c r="F815" s="5" t="s">
        <v>39</v>
      </c>
      <c r="G815" s="5" t="s">
        <v>15</v>
      </c>
      <c r="H815" s="5" t="s">
        <v>24</v>
      </c>
      <c r="I815" s="6" t="s">
        <v>17</v>
      </c>
      <c r="J815" s="7" t="s">
        <v>34</v>
      </c>
      <c r="K815" s="7"/>
      <c r="L815" s="8">
        <v>1.770936241465E12</v>
      </c>
      <c r="M815" s="9"/>
      <c r="N815" s="10"/>
      <c r="O815" s="10"/>
      <c r="P815" s="10"/>
      <c r="Q815" s="10"/>
      <c r="R815" s="10"/>
      <c r="S815" s="10"/>
      <c r="T815" s="10"/>
      <c r="U815" s="10"/>
      <c r="V815" s="10"/>
    </row>
    <row r="816" ht="22.5" customHeight="1">
      <c r="A816" s="5">
        <v>2.0189618497E11</v>
      </c>
      <c r="B816" s="5" t="s">
        <v>911</v>
      </c>
      <c r="C816" s="5">
        <v>51968772333</v>
      </c>
      <c r="D816" s="5" t="s">
        <v>13</v>
      </c>
      <c r="E816" s="5">
        <v>8.0566583E7</v>
      </c>
      <c r="F816" s="5" t="s">
        <v>28</v>
      </c>
      <c r="G816" s="5" t="s">
        <v>15</v>
      </c>
      <c r="H816" s="5" t="s">
        <v>24</v>
      </c>
      <c r="I816" s="6" t="s">
        <v>17</v>
      </c>
      <c r="J816" s="7" t="s">
        <v>25</v>
      </c>
      <c r="K816" s="7"/>
      <c r="L816" s="8">
        <v>1.770937118471E12</v>
      </c>
      <c r="M816" s="9"/>
      <c r="N816" s="10"/>
      <c r="O816" s="10"/>
      <c r="P816" s="10"/>
      <c r="Q816" s="10"/>
      <c r="R816" s="10"/>
      <c r="S816" s="10"/>
      <c r="T816" s="10"/>
      <c r="U816" s="10"/>
      <c r="V816" s="10"/>
    </row>
    <row r="817" ht="22.5" customHeight="1">
      <c r="A817" s="5">
        <v>2.01896006159E11</v>
      </c>
      <c r="B817" s="5" t="s">
        <v>912</v>
      </c>
      <c r="C817" s="5">
        <v>51972161584</v>
      </c>
      <c r="D817" s="5" t="s">
        <v>13</v>
      </c>
      <c r="E817" s="5">
        <v>8.7547393E7</v>
      </c>
      <c r="F817" s="5" t="s">
        <v>65</v>
      </c>
      <c r="G817" s="5" t="s">
        <v>15</v>
      </c>
      <c r="H817" s="5" t="s">
        <v>24</v>
      </c>
      <c r="I817" s="6" t="s">
        <v>17</v>
      </c>
      <c r="J817" s="7" t="s">
        <v>18</v>
      </c>
      <c r="K817" s="7" t="s">
        <v>19</v>
      </c>
      <c r="L817" s="8">
        <v>1.770937167698E12</v>
      </c>
      <c r="M817" s="9"/>
      <c r="N817" s="10"/>
      <c r="O817" s="10"/>
      <c r="P817" s="10"/>
      <c r="Q817" s="10"/>
      <c r="R817" s="10"/>
      <c r="S817" s="10"/>
      <c r="T817" s="10"/>
      <c r="U817" s="10"/>
      <c r="V817" s="10"/>
    </row>
    <row r="818" ht="22.5" customHeight="1">
      <c r="A818" s="5">
        <v>2.01882618658E11</v>
      </c>
      <c r="B818" s="5" t="s">
        <v>913</v>
      </c>
      <c r="C818" s="5">
        <v>51967748707</v>
      </c>
      <c r="D818" s="5" t="s">
        <v>22</v>
      </c>
      <c r="E818" s="5">
        <v>8.0566583E7</v>
      </c>
      <c r="F818" s="5" t="s">
        <v>14</v>
      </c>
      <c r="G818" s="5" t="s">
        <v>44</v>
      </c>
      <c r="H818" s="5" t="s">
        <v>165</v>
      </c>
      <c r="I818" s="6" t="s">
        <v>17</v>
      </c>
      <c r="J818" s="7" t="s">
        <v>34</v>
      </c>
      <c r="K818" s="7"/>
      <c r="L818" s="8">
        <v>1.770937939445E12</v>
      </c>
      <c r="M818" s="9"/>
      <c r="N818" s="10"/>
      <c r="O818" s="10"/>
      <c r="P818" s="10"/>
      <c r="Q818" s="10"/>
      <c r="R818" s="10"/>
      <c r="S818" s="10"/>
      <c r="T818" s="10"/>
      <c r="U818" s="10"/>
      <c r="V818" s="10"/>
    </row>
    <row r="819" ht="22.5" customHeight="1">
      <c r="A819" s="5">
        <v>2.0189908407E11</v>
      </c>
      <c r="B819" s="5" t="s">
        <v>914</v>
      </c>
      <c r="C819" s="5">
        <v>573003233264</v>
      </c>
      <c r="D819" s="5" t="s">
        <v>103</v>
      </c>
      <c r="E819" s="5">
        <v>8.0566583E7</v>
      </c>
      <c r="F819" s="5" t="s">
        <v>28</v>
      </c>
      <c r="G819" s="5" t="s">
        <v>79</v>
      </c>
      <c r="H819" s="5" t="s">
        <v>33</v>
      </c>
      <c r="I819" s="6" t="s">
        <v>49</v>
      </c>
      <c r="J819" s="7" t="s">
        <v>34</v>
      </c>
      <c r="K819" s="7"/>
      <c r="L819" s="8">
        <v>1.770938016798E12</v>
      </c>
      <c r="M819" s="9"/>
      <c r="N819" s="10"/>
      <c r="O819" s="10"/>
      <c r="P819" s="10"/>
      <c r="Q819" s="10"/>
      <c r="R819" s="10"/>
      <c r="S819" s="10"/>
      <c r="T819" s="10"/>
      <c r="U819" s="10"/>
      <c r="V819" s="10"/>
    </row>
    <row r="820" ht="22.5" customHeight="1">
      <c r="A820" s="5">
        <v>2.01900415834E11</v>
      </c>
      <c r="B820" s="5" t="s">
        <v>915</v>
      </c>
      <c r="C820" s="5">
        <v>51953098514</v>
      </c>
      <c r="D820" s="5" t="s">
        <v>13</v>
      </c>
      <c r="E820" s="5">
        <v>8.7547393E7</v>
      </c>
      <c r="F820" s="5" t="s">
        <v>65</v>
      </c>
      <c r="G820" s="5" t="s">
        <v>15</v>
      </c>
      <c r="H820" s="5" t="s">
        <v>51</v>
      </c>
      <c r="I820" s="6"/>
      <c r="J820" s="7" t="s">
        <v>58</v>
      </c>
      <c r="K820" s="11" t="s">
        <v>59</v>
      </c>
      <c r="L820" s="8">
        <v>1.770938592705E12</v>
      </c>
      <c r="M820" s="9"/>
      <c r="N820" s="10"/>
      <c r="O820" s="10"/>
      <c r="P820" s="10"/>
      <c r="Q820" s="10"/>
      <c r="R820" s="10"/>
      <c r="S820" s="10"/>
      <c r="T820" s="10"/>
      <c r="U820" s="10"/>
      <c r="V820" s="10"/>
    </row>
    <row r="821" ht="22.5" customHeight="1">
      <c r="A821" s="5">
        <v>2.0190131486E11</v>
      </c>
      <c r="B821" s="5" t="s">
        <v>916</v>
      </c>
      <c r="C821" s="5">
        <v>51920704976</v>
      </c>
      <c r="D821" s="5" t="s">
        <v>13</v>
      </c>
      <c r="E821" s="5">
        <v>8.0566583E7</v>
      </c>
      <c r="F821" s="5" t="s">
        <v>93</v>
      </c>
      <c r="G821" s="5" t="s">
        <v>15</v>
      </c>
      <c r="H821" s="5" t="s">
        <v>29</v>
      </c>
      <c r="I821" s="6" t="s">
        <v>17</v>
      </c>
      <c r="J821" s="7" t="s">
        <v>18</v>
      </c>
      <c r="K821" s="7" t="s">
        <v>19</v>
      </c>
      <c r="L821" s="8"/>
      <c r="M821" s="9"/>
      <c r="N821" s="10"/>
      <c r="O821" s="10"/>
      <c r="P821" s="10"/>
      <c r="Q821" s="10"/>
      <c r="R821" s="10"/>
      <c r="S821" s="10"/>
      <c r="T821" s="10"/>
      <c r="U821" s="10"/>
      <c r="V821" s="10"/>
    </row>
    <row r="822" ht="22.5" customHeight="1">
      <c r="A822" s="5">
        <v>2.01899169643E11</v>
      </c>
      <c r="B822" s="5" t="s">
        <v>917</v>
      </c>
      <c r="C822" s="5">
        <v>5571986248275</v>
      </c>
      <c r="D822" s="5" t="s">
        <v>13</v>
      </c>
      <c r="E822" s="5">
        <v>7.9360573E7</v>
      </c>
      <c r="F822" s="5" t="s">
        <v>42</v>
      </c>
      <c r="G822" s="5" t="s">
        <v>15</v>
      </c>
      <c r="H822" s="5" t="s">
        <v>16</v>
      </c>
      <c r="I822" s="6" t="s">
        <v>17</v>
      </c>
      <c r="J822" s="7" t="s">
        <v>34</v>
      </c>
      <c r="K822" s="7"/>
      <c r="L822" s="8">
        <v>1.770939106939E12</v>
      </c>
      <c r="M822" s="9"/>
      <c r="N822" s="10"/>
      <c r="O822" s="10"/>
      <c r="P822" s="10"/>
      <c r="Q822" s="10"/>
      <c r="R822" s="10"/>
      <c r="S822" s="10"/>
      <c r="T822" s="10"/>
      <c r="U822" s="10"/>
      <c r="V822" s="10"/>
    </row>
    <row r="823" ht="22.5" customHeight="1">
      <c r="A823" s="5">
        <v>2.01913183915E11</v>
      </c>
      <c r="B823" s="5" t="s">
        <v>918</v>
      </c>
      <c r="C823" s="5">
        <v>528611354236</v>
      </c>
      <c r="D823" s="5" t="s">
        <v>38</v>
      </c>
      <c r="E823" s="5">
        <v>8.0566583E7</v>
      </c>
      <c r="F823" s="5"/>
      <c r="G823" s="5"/>
      <c r="H823" s="5"/>
      <c r="I823" s="6"/>
      <c r="J823" s="7" t="s">
        <v>18</v>
      </c>
      <c r="K823" s="7" t="s">
        <v>61</v>
      </c>
      <c r="L823" s="8">
        <v>1.770940357649E12</v>
      </c>
      <c r="M823" s="9"/>
      <c r="N823" s="10"/>
      <c r="O823" s="10"/>
      <c r="P823" s="10"/>
      <c r="Q823" s="10"/>
      <c r="R823" s="10"/>
      <c r="S823" s="10"/>
      <c r="T823" s="10"/>
      <c r="U823" s="10"/>
      <c r="V823" s="10"/>
    </row>
    <row r="824" ht="22.5" customHeight="1">
      <c r="A824" s="5">
        <v>2.01900052096E11</v>
      </c>
      <c r="B824" s="5" t="s">
        <v>919</v>
      </c>
      <c r="C824" s="5">
        <v>51955338419</v>
      </c>
      <c r="D824" s="5" t="s">
        <v>38</v>
      </c>
      <c r="E824" s="5">
        <v>8.7547393E7</v>
      </c>
      <c r="F824" s="5" t="s">
        <v>14</v>
      </c>
      <c r="G824" s="5" t="s">
        <v>15</v>
      </c>
      <c r="H824" s="5"/>
      <c r="I824" s="6" t="s">
        <v>63</v>
      </c>
      <c r="J824" s="7" t="s">
        <v>18</v>
      </c>
      <c r="K824" s="7" t="s">
        <v>19</v>
      </c>
      <c r="L824" s="8">
        <v>1.770941104229E12</v>
      </c>
      <c r="M824" s="9"/>
      <c r="N824" s="10"/>
      <c r="O824" s="10"/>
      <c r="P824" s="10"/>
      <c r="Q824" s="10"/>
      <c r="R824" s="10"/>
      <c r="S824" s="10"/>
      <c r="T824" s="10"/>
      <c r="U824" s="10"/>
      <c r="V824" s="10"/>
    </row>
    <row r="825" ht="22.5" customHeight="1">
      <c r="A825" s="5">
        <v>2.01914552113E11</v>
      </c>
      <c r="B825" s="5" t="s">
        <v>920</v>
      </c>
      <c r="C825" s="5">
        <v>51947243168</v>
      </c>
      <c r="D825" s="5" t="s">
        <v>13</v>
      </c>
      <c r="E825" s="5">
        <v>8.7547393E7</v>
      </c>
      <c r="F825" s="5" t="s">
        <v>510</v>
      </c>
      <c r="G825" s="5" t="s">
        <v>15</v>
      </c>
      <c r="H825" s="5" t="s">
        <v>24</v>
      </c>
      <c r="I825" s="6" t="s">
        <v>63</v>
      </c>
      <c r="J825" s="7" t="s">
        <v>58</v>
      </c>
      <c r="K825" s="11" t="s">
        <v>59</v>
      </c>
      <c r="L825" s="8">
        <v>1.770942087493E12</v>
      </c>
      <c r="M825" s="9"/>
      <c r="N825" s="10"/>
      <c r="O825" s="10"/>
      <c r="P825" s="10"/>
      <c r="Q825" s="10"/>
      <c r="R825" s="10"/>
      <c r="S825" s="10"/>
      <c r="T825" s="10"/>
      <c r="U825" s="10"/>
      <c r="V825" s="10"/>
    </row>
    <row r="826" ht="22.5" customHeight="1">
      <c r="A826" s="5">
        <v>2.01907129168E11</v>
      </c>
      <c r="B826" s="5" t="s">
        <v>921</v>
      </c>
      <c r="C826" s="5">
        <v>51967480790</v>
      </c>
      <c r="D826" s="5" t="s">
        <v>13</v>
      </c>
      <c r="E826" s="5">
        <v>8.0566583E7</v>
      </c>
      <c r="F826" s="5" t="s">
        <v>65</v>
      </c>
      <c r="G826" s="5" t="s">
        <v>15</v>
      </c>
      <c r="H826" s="5" t="s">
        <v>51</v>
      </c>
      <c r="I826" s="6" t="s">
        <v>63</v>
      </c>
      <c r="J826" s="7" t="s">
        <v>25</v>
      </c>
      <c r="K826" s="7" t="s">
        <v>501</v>
      </c>
      <c r="L826" s="8">
        <v>1.770942220929E12</v>
      </c>
      <c r="M826" s="9"/>
      <c r="N826" s="10"/>
      <c r="O826" s="10"/>
      <c r="P826" s="10"/>
      <c r="Q826" s="10"/>
      <c r="R826" s="10"/>
      <c r="S826" s="10"/>
      <c r="T826" s="10"/>
      <c r="U826" s="10"/>
      <c r="V826" s="10"/>
    </row>
    <row r="827" ht="22.5" customHeight="1">
      <c r="A827" s="5">
        <v>2.01904438856E11</v>
      </c>
      <c r="B827" s="5" t="s">
        <v>922</v>
      </c>
      <c r="C827" s="5">
        <v>51987568949</v>
      </c>
      <c r="D827" s="5" t="s">
        <v>13</v>
      </c>
      <c r="E827" s="5">
        <v>8.0566583E7</v>
      </c>
      <c r="F827" s="5" t="s">
        <v>714</v>
      </c>
      <c r="G827" s="5" t="s">
        <v>32</v>
      </c>
      <c r="H827" s="5" t="s">
        <v>66</v>
      </c>
      <c r="I827" s="6" t="s">
        <v>17</v>
      </c>
      <c r="J827" s="7" t="s">
        <v>18</v>
      </c>
      <c r="K827" s="7" t="s">
        <v>19</v>
      </c>
      <c r="L827" s="8">
        <v>1.770942393332E12</v>
      </c>
      <c r="M827" s="9"/>
      <c r="N827" s="10"/>
      <c r="O827" s="10"/>
      <c r="P827" s="10"/>
      <c r="Q827" s="10"/>
      <c r="R827" s="10"/>
      <c r="S827" s="10"/>
      <c r="T827" s="10"/>
      <c r="U827" s="10"/>
      <c r="V827" s="10"/>
    </row>
    <row r="828" ht="22.5" customHeight="1">
      <c r="A828" s="5">
        <v>2.01904469845E11</v>
      </c>
      <c r="B828" s="5" t="s">
        <v>923</v>
      </c>
      <c r="C828" s="5">
        <v>51947498017</v>
      </c>
      <c r="D828" s="5" t="s">
        <v>13</v>
      </c>
      <c r="E828" s="5">
        <v>8.0566583E7</v>
      </c>
      <c r="F828" s="5" t="s">
        <v>93</v>
      </c>
      <c r="G828" s="5" t="s">
        <v>15</v>
      </c>
      <c r="H828" s="5" t="s">
        <v>66</v>
      </c>
      <c r="I828" s="6" t="s">
        <v>17</v>
      </c>
      <c r="J828" s="7" t="s">
        <v>18</v>
      </c>
      <c r="K828" s="7" t="s">
        <v>19</v>
      </c>
      <c r="L828" s="8">
        <v>1.770942681355E12</v>
      </c>
      <c r="M828" s="9"/>
      <c r="N828" s="10"/>
      <c r="O828" s="10"/>
      <c r="P828" s="10"/>
      <c r="Q828" s="10"/>
      <c r="R828" s="10"/>
      <c r="S828" s="10"/>
      <c r="T828" s="10"/>
      <c r="U828" s="10"/>
      <c r="V828" s="10"/>
    </row>
    <row r="829" ht="22.5" customHeight="1">
      <c r="A829" s="5">
        <v>2.00171921304E11</v>
      </c>
      <c r="B829" s="5" t="s">
        <v>924</v>
      </c>
      <c r="C829" s="5">
        <v>525658340487</v>
      </c>
      <c r="D829" s="5" t="s">
        <v>13</v>
      </c>
      <c r="E829" s="5">
        <v>8.7547393E7</v>
      </c>
      <c r="F829" s="5" t="s">
        <v>28</v>
      </c>
      <c r="G829" s="5" t="s">
        <v>15</v>
      </c>
      <c r="H829" s="5" t="s">
        <v>51</v>
      </c>
      <c r="I829" s="6" t="s">
        <v>17</v>
      </c>
      <c r="J829" s="7" t="s">
        <v>34</v>
      </c>
      <c r="K829" s="7"/>
      <c r="L829" s="8">
        <v>1.770943622156E12</v>
      </c>
      <c r="M829" s="9"/>
      <c r="N829" s="10"/>
      <c r="O829" s="10"/>
      <c r="P829" s="10"/>
      <c r="Q829" s="10"/>
      <c r="R829" s="10"/>
      <c r="S829" s="10"/>
      <c r="T829" s="10"/>
      <c r="U829" s="10"/>
      <c r="V829" s="10"/>
    </row>
    <row r="830" ht="22.5" customHeight="1">
      <c r="A830" s="5">
        <v>2.01915003168E11</v>
      </c>
      <c r="B830" s="5" t="s">
        <v>925</v>
      </c>
      <c r="C830" s="5">
        <v>51930137352</v>
      </c>
      <c r="D830" s="5" t="s">
        <v>13</v>
      </c>
      <c r="E830" s="5">
        <v>8.0566583E7</v>
      </c>
      <c r="F830" s="5" t="s">
        <v>14</v>
      </c>
      <c r="G830" s="5" t="s">
        <v>15</v>
      </c>
      <c r="H830" s="5" t="s">
        <v>24</v>
      </c>
      <c r="I830" s="6" t="s">
        <v>17</v>
      </c>
      <c r="J830" s="7" t="s">
        <v>34</v>
      </c>
      <c r="K830" s="7"/>
      <c r="L830" s="8">
        <v>1.770945124379E12</v>
      </c>
      <c r="M830" s="9"/>
      <c r="N830" s="10"/>
      <c r="O830" s="10"/>
      <c r="P830" s="10"/>
      <c r="Q830" s="10"/>
      <c r="R830" s="10"/>
      <c r="S830" s="10"/>
      <c r="T830" s="10"/>
      <c r="U830" s="10"/>
      <c r="V830" s="10"/>
    </row>
    <row r="831" ht="22.5" customHeight="1">
      <c r="A831" s="5">
        <v>1.84645707838E11</v>
      </c>
      <c r="B831" s="5" t="s">
        <v>926</v>
      </c>
      <c r="C831" s="5">
        <v>51961774998</v>
      </c>
      <c r="D831" s="5" t="s">
        <v>38</v>
      </c>
      <c r="E831" s="5"/>
      <c r="F831" s="5"/>
      <c r="G831" s="5"/>
      <c r="H831" s="5"/>
      <c r="I831" s="6"/>
      <c r="J831" s="7" t="s">
        <v>34</v>
      </c>
      <c r="K831" s="7"/>
      <c r="L831" s="8">
        <v>1.770945655873E12</v>
      </c>
      <c r="M831" s="9"/>
      <c r="N831" s="10"/>
      <c r="O831" s="10"/>
      <c r="P831" s="10"/>
      <c r="Q831" s="10"/>
      <c r="R831" s="10"/>
      <c r="S831" s="10"/>
      <c r="T831" s="10"/>
      <c r="U831" s="10"/>
      <c r="V831" s="10"/>
    </row>
    <row r="832" ht="22.5" customHeight="1">
      <c r="A832" s="5">
        <v>1.84645707838E11</v>
      </c>
      <c r="B832" s="5" t="s">
        <v>926</v>
      </c>
      <c r="C832" s="5">
        <v>51961774998</v>
      </c>
      <c r="D832" s="5" t="s">
        <v>38</v>
      </c>
      <c r="E832" s="5"/>
      <c r="F832" s="5"/>
      <c r="G832" s="5"/>
      <c r="H832" s="5"/>
      <c r="I832" s="6"/>
      <c r="J832" s="7" t="s">
        <v>34</v>
      </c>
      <c r="K832" s="7"/>
      <c r="L832" s="8">
        <v>1.770945672524E12</v>
      </c>
      <c r="M832" s="9"/>
      <c r="N832" s="10"/>
      <c r="O832" s="10"/>
      <c r="P832" s="10"/>
      <c r="Q832" s="10"/>
      <c r="R832" s="10"/>
      <c r="S832" s="10"/>
      <c r="T832" s="10"/>
      <c r="U832" s="10"/>
      <c r="V832" s="10"/>
    </row>
    <row r="833" ht="22.5" customHeight="1">
      <c r="A833" s="5">
        <v>2.01914422192E11</v>
      </c>
      <c r="B833" s="5" t="s">
        <v>927</v>
      </c>
      <c r="C833" s="5">
        <v>523310970224</v>
      </c>
      <c r="D833" s="5" t="s">
        <v>38</v>
      </c>
      <c r="E833" s="5">
        <v>8.0566583E7</v>
      </c>
      <c r="F833" s="5"/>
      <c r="G833" s="5"/>
      <c r="H833" s="5"/>
      <c r="I833" s="6"/>
      <c r="J833" s="7" t="s">
        <v>18</v>
      </c>
      <c r="K833" s="7" t="s">
        <v>61</v>
      </c>
      <c r="L833" s="8">
        <v>1.770945854952E12</v>
      </c>
      <c r="M833" s="9"/>
      <c r="N833" s="10"/>
      <c r="O833" s="10"/>
      <c r="P833" s="10"/>
      <c r="Q833" s="10"/>
      <c r="R833" s="10"/>
      <c r="S833" s="10"/>
      <c r="T833" s="10"/>
      <c r="U833" s="10"/>
      <c r="V833" s="10"/>
    </row>
    <row r="834" ht="22.5" customHeight="1">
      <c r="A834" s="5">
        <v>2.01920858919E11</v>
      </c>
      <c r="B834" s="5" t="s">
        <v>928</v>
      </c>
      <c r="C834" s="5">
        <v>525580336974</v>
      </c>
      <c r="D834" s="5" t="s">
        <v>13</v>
      </c>
      <c r="E834" s="5">
        <v>8.0566583E7</v>
      </c>
      <c r="F834" s="5" t="s">
        <v>510</v>
      </c>
      <c r="G834" s="5" t="s">
        <v>44</v>
      </c>
      <c r="H834" s="5" t="s">
        <v>24</v>
      </c>
      <c r="I834" s="6" t="s">
        <v>17</v>
      </c>
      <c r="J834" s="7" t="s">
        <v>18</v>
      </c>
      <c r="K834" s="7" t="s">
        <v>61</v>
      </c>
      <c r="L834" s="8">
        <v>1.770946715107E12</v>
      </c>
      <c r="M834" s="9"/>
      <c r="N834" s="10"/>
      <c r="O834" s="10"/>
      <c r="P834" s="10"/>
      <c r="Q834" s="10"/>
      <c r="R834" s="10"/>
      <c r="S834" s="10"/>
      <c r="T834" s="10"/>
      <c r="U834" s="10"/>
      <c r="V834" s="10"/>
    </row>
    <row r="835" ht="22.5" customHeight="1">
      <c r="A835" s="5">
        <v>2.01921338755E11</v>
      </c>
      <c r="B835" s="5" t="s">
        <v>929</v>
      </c>
      <c r="C835" s="5">
        <v>51945537134</v>
      </c>
      <c r="D835" s="5"/>
      <c r="E835" s="5"/>
      <c r="F835" s="5" t="s">
        <v>39</v>
      </c>
      <c r="G835" s="5" t="s">
        <v>15</v>
      </c>
      <c r="H835" s="5" t="s">
        <v>51</v>
      </c>
      <c r="I835" s="6" t="s">
        <v>17</v>
      </c>
      <c r="J835" s="7" t="s">
        <v>34</v>
      </c>
      <c r="K835" s="7"/>
      <c r="L835" s="8">
        <v>1.770947576586E12</v>
      </c>
      <c r="M835" s="9"/>
      <c r="N835" s="10"/>
      <c r="O835" s="10"/>
      <c r="P835" s="10"/>
      <c r="Q835" s="10"/>
      <c r="R835" s="10"/>
      <c r="S835" s="10"/>
      <c r="T835" s="10"/>
      <c r="U835" s="10"/>
      <c r="V835" s="10"/>
    </row>
    <row r="836" ht="22.5" customHeight="1">
      <c r="A836" s="5">
        <v>2.01924295815E11</v>
      </c>
      <c r="B836" s="5" t="s">
        <v>930</v>
      </c>
      <c r="C836" s="5">
        <v>51904107358</v>
      </c>
      <c r="D836" s="5" t="s">
        <v>13</v>
      </c>
      <c r="E836" s="5">
        <v>8.7547393E7</v>
      </c>
      <c r="F836" s="5" t="s">
        <v>65</v>
      </c>
      <c r="G836" s="5" t="s">
        <v>15</v>
      </c>
      <c r="H836" s="5" t="s">
        <v>24</v>
      </c>
      <c r="I836" s="6"/>
      <c r="J836" s="7" t="s">
        <v>18</v>
      </c>
      <c r="K836" s="7" t="s">
        <v>19</v>
      </c>
      <c r="L836" s="8">
        <v>1.770948154728E12</v>
      </c>
      <c r="M836" s="9"/>
      <c r="N836" s="10"/>
      <c r="O836" s="10"/>
      <c r="P836" s="10"/>
      <c r="Q836" s="10"/>
      <c r="R836" s="10"/>
      <c r="S836" s="10"/>
      <c r="T836" s="10"/>
      <c r="U836" s="10"/>
      <c r="V836" s="10"/>
    </row>
    <row r="837" ht="22.5" customHeight="1">
      <c r="A837" s="5">
        <v>2.01925597463E11</v>
      </c>
      <c r="B837" s="5" t="s">
        <v>931</v>
      </c>
      <c r="C837" s="5">
        <v>522461211047</v>
      </c>
      <c r="D837" s="5" t="s">
        <v>13</v>
      </c>
      <c r="E837" s="5">
        <v>8.0566583E7</v>
      </c>
      <c r="F837" s="5" t="s">
        <v>28</v>
      </c>
      <c r="G837" s="5" t="s">
        <v>15</v>
      </c>
      <c r="H837" s="5" t="s">
        <v>16</v>
      </c>
      <c r="I837" s="6" t="s">
        <v>17</v>
      </c>
      <c r="J837" s="7" t="s">
        <v>18</v>
      </c>
      <c r="K837" s="7" t="s">
        <v>61</v>
      </c>
      <c r="L837" s="8">
        <v>1.770948169998E12</v>
      </c>
      <c r="M837" s="9"/>
      <c r="N837" s="10"/>
      <c r="O837" s="10"/>
      <c r="P837" s="10"/>
      <c r="Q837" s="10"/>
      <c r="R837" s="10"/>
      <c r="S837" s="10"/>
      <c r="T837" s="10"/>
      <c r="U837" s="10"/>
      <c r="V837" s="10"/>
    </row>
    <row r="838" ht="22.5" customHeight="1">
      <c r="A838" s="5">
        <v>2.01920338289E11</v>
      </c>
      <c r="B838" s="5" t="s">
        <v>932</v>
      </c>
      <c r="C838" s="5">
        <v>5594991065457</v>
      </c>
      <c r="D838" s="5" t="s">
        <v>22</v>
      </c>
      <c r="E838" s="5">
        <v>7.9360573E7</v>
      </c>
      <c r="F838" s="5" t="s">
        <v>28</v>
      </c>
      <c r="G838" s="5" t="s">
        <v>44</v>
      </c>
      <c r="H838" s="5" t="s">
        <v>128</v>
      </c>
      <c r="I838" s="6" t="s">
        <v>36</v>
      </c>
      <c r="J838" s="7" t="s">
        <v>34</v>
      </c>
      <c r="K838" s="7"/>
      <c r="L838" s="8">
        <v>1.770948762104E12</v>
      </c>
      <c r="M838" s="9"/>
      <c r="N838" s="10"/>
      <c r="O838" s="10"/>
      <c r="P838" s="10"/>
      <c r="Q838" s="10"/>
      <c r="R838" s="10"/>
      <c r="S838" s="10"/>
      <c r="T838" s="10"/>
      <c r="U838" s="10"/>
      <c r="V838" s="10"/>
    </row>
    <row r="839" ht="22.5" customHeight="1">
      <c r="A839" s="5">
        <v>2.01930314032E11</v>
      </c>
      <c r="B839" s="5" t="s">
        <v>933</v>
      </c>
      <c r="C839" s="5">
        <v>51912843685</v>
      </c>
      <c r="D839" s="5" t="s">
        <v>22</v>
      </c>
      <c r="E839" s="5">
        <v>8.7547393E7</v>
      </c>
      <c r="F839" s="5" t="s">
        <v>714</v>
      </c>
      <c r="G839" s="5" t="s">
        <v>44</v>
      </c>
      <c r="H839" s="5" t="s">
        <v>16</v>
      </c>
      <c r="I839" s="6" t="s">
        <v>17</v>
      </c>
      <c r="J839" s="7" t="s">
        <v>18</v>
      </c>
      <c r="K839" s="7" t="s">
        <v>19</v>
      </c>
      <c r="L839" s="8">
        <v>1.770949016936E12</v>
      </c>
      <c r="M839" s="9"/>
      <c r="N839" s="10"/>
      <c r="O839" s="10"/>
      <c r="P839" s="10"/>
      <c r="Q839" s="10"/>
      <c r="R839" s="10"/>
      <c r="S839" s="10"/>
      <c r="T839" s="10"/>
      <c r="U839" s="10"/>
      <c r="V839" s="10"/>
    </row>
    <row r="840" ht="22.5" customHeight="1">
      <c r="A840" s="5">
        <v>2.01923078656E11</v>
      </c>
      <c r="B840" s="5" t="s">
        <v>934</v>
      </c>
      <c r="C840" s="5">
        <v>5573981525816</v>
      </c>
      <c r="D840" s="5" t="s">
        <v>13</v>
      </c>
      <c r="E840" s="5">
        <v>7.9360573E7</v>
      </c>
      <c r="F840" s="5" t="s">
        <v>510</v>
      </c>
      <c r="G840" s="5">
        <v>50</v>
      </c>
      <c r="H840" s="5" t="s">
        <v>24</v>
      </c>
      <c r="I840" s="6" t="s">
        <v>36</v>
      </c>
      <c r="J840" s="7" t="s">
        <v>34</v>
      </c>
      <c r="K840" s="7"/>
      <c r="L840" s="8">
        <v>1.770949359959E12</v>
      </c>
      <c r="M840" s="9"/>
      <c r="N840" s="10"/>
      <c r="O840" s="10"/>
      <c r="P840" s="10"/>
      <c r="Q840" s="10"/>
      <c r="R840" s="10"/>
      <c r="S840" s="10"/>
      <c r="T840" s="10"/>
      <c r="U840" s="10"/>
      <c r="V840" s="10"/>
    </row>
    <row r="841" ht="22.5" customHeight="1">
      <c r="A841" s="5">
        <v>2.01942650457E11</v>
      </c>
      <c r="B841" s="5" t="s">
        <v>935</v>
      </c>
      <c r="C841" s="5">
        <v>5581992285093</v>
      </c>
      <c r="D841" s="5" t="s">
        <v>13</v>
      </c>
      <c r="E841" s="5">
        <v>7.9360573E7</v>
      </c>
      <c r="F841" s="5" t="s">
        <v>259</v>
      </c>
      <c r="G841" s="5" t="s">
        <v>32</v>
      </c>
      <c r="H841" s="5" t="s">
        <v>66</v>
      </c>
      <c r="I841" s="6" t="s">
        <v>17</v>
      </c>
      <c r="J841" s="7" t="s">
        <v>34</v>
      </c>
      <c r="K841" s="7"/>
      <c r="L841" s="8">
        <v>1.770949809089E12</v>
      </c>
      <c r="M841" s="9"/>
      <c r="N841" s="10"/>
      <c r="O841" s="10"/>
      <c r="P841" s="10"/>
      <c r="Q841" s="10"/>
      <c r="R841" s="10"/>
      <c r="S841" s="10"/>
      <c r="T841" s="10"/>
      <c r="U841" s="10"/>
      <c r="V841" s="10"/>
    </row>
    <row r="842" ht="22.5" customHeight="1">
      <c r="A842" s="5">
        <v>2.01928094069E11</v>
      </c>
      <c r="B842" s="5" t="s">
        <v>936</v>
      </c>
      <c r="C842" s="5">
        <v>51918546007</v>
      </c>
      <c r="D842" s="5" t="s">
        <v>38</v>
      </c>
      <c r="E842" s="5">
        <v>8.7547393E7</v>
      </c>
      <c r="F842" s="5"/>
      <c r="G842" s="5"/>
      <c r="H842" s="5"/>
      <c r="I842" s="6"/>
      <c r="J842" s="7" t="s">
        <v>18</v>
      </c>
      <c r="K842" s="7" t="s">
        <v>19</v>
      </c>
      <c r="L842" s="8">
        <v>1.770950028477E12</v>
      </c>
      <c r="M842" s="9"/>
      <c r="N842" s="10"/>
      <c r="O842" s="10"/>
      <c r="P842" s="10"/>
      <c r="Q842" s="10"/>
      <c r="R842" s="10"/>
      <c r="S842" s="10"/>
      <c r="T842" s="10"/>
      <c r="U842" s="10"/>
      <c r="V842" s="10"/>
    </row>
    <row r="843" ht="22.5" customHeight="1">
      <c r="A843" s="5">
        <v>2.01928575527E11</v>
      </c>
      <c r="B843" s="5" t="s">
        <v>937</v>
      </c>
      <c r="C843" s="5">
        <v>522281098042</v>
      </c>
      <c r="D843" s="5" t="s">
        <v>13</v>
      </c>
      <c r="E843" s="5">
        <v>8.7547393E7</v>
      </c>
      <c r="F843" s="5" t="s">
        <v>39</v>
      </c>
      <c r="G843" s="5" t="s">
        <v>15</v>
      </c>
      <c r="H843" s="5" t="s">
        <v>69</v>
      </c>
      <c r="I843" s="6" t="s">
        <v>17</v>
      </c>
      <c r="J843" s="7" t="s">
        <v>34</v>
      </c>
      <c r="K843" s="7"/>
      <c r="L843" s="8">
        <v>1.770951445509E12</v>
      </c>
      <c r="M843" s="9"/>
      <c r="N843" s="10"/>
      <c r="O843" s="10"/>
      <c r="P843" s="10"/>
      <c r="Q843" s="10"/>
      <c r="R843" s="10"/>
      <c r="S843" s="10"/>
      <c r="T843" s="10"/>
      <c r="U843" s="10"/>
      <c r="V843" s="10"/>
    </row>
    <row r="844" ht="22.5" customHeight="1">
      <c r="A844" s="5">
        <v>2.01932506144E11</v>
      </c>
      <c r="B844" s="5" t="s">
        <v>938</v>
      </c>
      <c r="C844" s="5">
        <v>526142858206</v>
      </c>
      <c r="D844" s="5" t="s">
        <v>13</v>
      </c>
      <c r="E844" s="5">
        <v>8.0566583E7</v>
      </c>
      <c r="F844" s="5" t="s">
        <v>28</v>
      </c>
      <c r="G844" s="5" t="s">
        <v>15</v>
      </c>
      <c r="H844" s="5" t="s">
        <v>29</v>
      </c>
      <c r="I844" s="6" t="s">
        <v>17</v>
      </c>
      <c r="J844" s="7" t="s">
        <v>18</v>
      </c>
      <c r="K844" s="7" t="s">
        <v>61</v>
      </c>
      <c r="L844" s="8">
        <v>1.770952035715E12</v>
      </c>
      <c r="M844" s="9"/>
      <c r="N844" s="10"/>
      <c r="O844" s="10"/>
      <c r="P844" s="10"/>
      <c r="Q844" s="10"/>
      <c r="R844" s="10"/>
      <c r="S844" s="10"/>
      <c r="T844" s="10"/>
      <c r="U844" s="10"/>
      <c r="V844" s="10"/>
    </row>
    <row r="845" ht="22.5" customHeight="1">
      <c r="A845" s="5">
        <v>1.92009066268E11</v>
      </c>
      <c r="B845" s="5" t="s">
        <v>939</v>
      </c>
      <c r="C845" s="5">
        <v>51970300168</v>
      </c>
      <c r="D845" s="5" t="s">
        <v>103</v>
      </c>
      <c r="E845" s="5"/>
      <c r="F845" s="5" t="s">
        <v>28</v>
      </c>
      <c r="G845" s="5" t="s">
        <v>79</v>
      </c>
      <c r="H845" s="5" t="s">
        <v>16</v>
      </c>
      <c r="I845" s="6" t="s">
        <v>17</v>
      </c>
      <c r="J845" s="7" t="s">
        <v>34</v>
      </c>
      <c r="K845" s="7"/>
      <c r="L845" s="8">
        <v>1.770952206072E12</v>
      </c>
      <c r="M845" s="9"/>
      <c r="N845" s="10"/>
      <c r="O845" s="10"/>
      <c r="P845" s="10"/>
      <c r="Q845" s="10"/>
      <c r="R845" s="10"/>
      <c r="S845" s="10"/>
      <c r="T845" s="10"/>
      <c r="U845" s="10"/>
      <c r="V845" s="10"/>
    </row>
    <row r="846" ht="22.5" customHeight="1">
      <c r="A846" s="5">
        <v>2.01943019589E11</v>
      </c>
      <c r="B846" s="5" t="s">
        <v>940</v>
      </c>
      <c r="C846" s="5">
        <v>51980507401</v>
      </c>
      <c r="D846" s="5" t="s">
        <v>13</v>
      </c>
      <c r="E846" s="5">
        <v>8.7547393E7</v>
      </c>
      <c r="F846" s="5" t="s">
        <v>42</v>
      </c>
      <c r="G846" s="5" t="s">
        <v>15</v>
      </c>
      <c r="H846" s="5" t="s">
        <v>51</v>
      </c>
      <c r="I846" s="6" t="s">
        <v>17</v>
      </c>
      <c r="J846" s="7" t="s">
        <v>18</v>
      </c>
      <c r="K846" s="7" t="s">
        <v>19</v>
      </c>
      <c r="L846" s="8">
        <v>1.770952675493E12</v>
      </c>
      <c r="M846" s="9"/>
      <c r="N846" s="10"/>
      <c r="O846" s="10"/>
      <c r="P846" s="10"/>
      <c r="Q846" s="10"/>
      <c r="R846" s="10"/>
      <c r="S846" s="10"/>
      <c r="T846" s="10"/>
      <c r="U846" s="10"/>
      <c r="V846" s="10"/>
    </row>
    <row r="847" ht="22.5" customHeight="1">
      <c r="A847" s="5">
        <v>2.0192736088E11</v>
      </c>
      <c r="B847" s="5" t="s">
        <v>941</v>
      </c>
      <c r="C847" s="5">
        <v>51921646005</v>
      </c>
      <c r="D847" s="5" t="s">
        <v>13</v>
      </c>
      <c r="E847" s="5">
        <v>8.7547393E7</v>
      </c>
      <c r="F847" s="5" t="s">
        <v>28</v>
      </c>
      <c r="G847" s="5" t="s">
        <v>15</v>
      </c>
      <c r="H847" s="5" t="s">
        <v>24</v>
      </c>
      <c r="I847" s="6" t="s">
        <v>17</v>
      </c>
      <c r="J847" s="7" t="s">
        <v>34</v>
      </c>
      <c r="K847" s="7"/>
      <c r="L847" s="8">
        <v>1.77095289182E12</v>
      </c>
      <c r="M847" s="9"/>
      <c r="N847" s="10"/>
      <c r="O847" s="10"/>
      <c r="P847" s="10"/>
      <c r="Q847" s="10"/>
      <c r="R847" s="10"/>
      <c r="S847" s="10"/>
      <c r="T847" s="10"/>
      <c r="U847" s="10"/>
      <c r="V847" s="10"/>
    </row>
    <row r="848" ht="22.5" customHeight="1">
      <c r="A848" s="5">
        <v>2.01946727E11</v>
      </c>
      <c r="B848" s="5" t="s">
        <v>942</v>
      </c>
      <c r="C848" s="5">
        <v>51901859333</v>
      </c>
      <c r="D848" s="5" t="s">
        <v>13</v>
      </c>
      <c r="E848" s="5">
        <v>8.0566583E7</v>
      </c>
      <c r="F848" s="5" t="s">
        <v>714</v>
      </c>
      <c r="G848" s="5" t="s">
        <v>15</v>
      </c>
      <c r="H848" s="5" t="s">
        <v>69</v>
      </c>
      <c r="I848" s="6" t="s">
        <v>17</v>
      </c>
      <c r="J848" s="7" t="s">
        <v>18</v>
      </c>
      <c r="K848" s="7" t="s">
        <v>19</v>
      </c>
      <c r="L848" s="8">
        <v>1.770955076422E12</v>
      </c>
      <c r="M848" s="9"/>
      <c r="N848" s="10"/>
      <c r="O848" s="10"/>
      <c r="P848" s="10"/>
      <c r="Q848" s="10"/>
      <c r="R848" s="10"/>
      <c r="S848" s="10"/>
      <c r="T848" s="10"/>
      <c r="U848" s="10"/>
      <c r="V848" s="10"/>
    </row>
    <row r="849" ht="22.5" customHeight="1">
      <c r="A849" s="5">
        <v>2.01948169881E11</v>
      </c>
      <c r="B849" s="5" t="s">
        <v>943</v>
      </c>
      <c r="C849" s="5">
        <v>51923745513</v>
      </c>
      <c r="D849" s="5" t="s">
        <v>13</v>
      </c>
      <c r="E849" s="5">
        <v>8.0566583E7</v>
      </c>
      <c r="F849" s="5" t="s">
        <v>259</v>
      </c>
      <c r="G849" s="5" t="s">
        <v>15</v>
      </c>
      <c r="H849" s="5" t="s">
        <v>24</v>
      </c>
      <c r="I849" s="6" t="s">
        <v>63</v>
      </c>
      <c r="J849" s="7" t="s">
        <v>18</v>
      </c>
      <c r="K849" s="7" t="s">
        <v>19</v>
      </c>
      <c r="L849" s="8">
        <v>1.770955328031E12</v>
      </c>
      <c r="M849" s="9"/>
      <c r="N849" s="10"/>
      <c r="O849" s="10"/>
      <c r="P849" s="10"/>
      <c r="Q849" s="10"/>
      <c r="R849" s="10"/>
      <c r="S849" s="10"/>
      <c r="T849" s="10"/>
      <c r="U849" s="10"/>
      <c r="V849" s="10"/>
    </row>
    <row r="850" ht="22.5" customHeight="1">
      <c r="A850" s="5">
        <v>2.01948307541E11</v>
      </c>
      <c r="B850" s="5" t="s">
        <v>944</v>
      </c>
      <c r="C850" s="5">
        <v>525647074456</v>
      </c>
      <c r="D850" s="5" t="s">
        <v>13</v>
      </c>
      <c r="E850" s="5">
        <v>8.0566583E7</v>
      </c>
      <c r="F850" s="5" t="s">
        <v>510</v>
      </c>
      <c r="G850" s="5" t="s">
        <v>44</v>
      </c>
      <c r="H850" s="5" t="s">
        <v>29</v>
      </c>
      <c r="I850" s="6" t="s">
        <v>17</v>
      </c>
      <c r="J850" s="7" t="s">
        <v>34</v>
      </c>
      <c r="K850" s="7"/>
      <c r="L850" s="8">
        <v>1.770955446262E12</v>
      </c>
      <c r="M850" s="9"/>
      <c r="N850" s="10"/>
      <c r="O850" s="10"/>
      <c r="P850" s="10"/>
      <c r="Q850" s="10"/>
      <c r="R850" s="10"/>
      <c r="S850" s="10"/>
      <c r="T850" s="10"/>
      <c r="U850" s="10"/>
      <c r="V850" s="10"/>
    </row>
    <row r="851" ht="22.5" customHeight="1">
      <c r="A851" s="5">
        <v>2.0194888917E11</v>
      </c>
      <c r="B851" s="5" t="s">
        <v>945</v>
      </c>
      <c r="C851" s="5">
        <v>51984004268</v>
      </c>
      <c r="D851" s="5" t="s">
        <v>13</v>
      </c>
      <c r="E851" s="5">
        <v>8.7547393E7</v>
      </c>
      <c r="F851" s="5" t="s">
        <v>714</v>
      </c>
      <c r="G851" s="5" t="s">
        <v>15</v>
      </c>
      <c r="H851" s="5" t="s">
        <v>66</v>
      </c>
      <c r="I851" s="6" t="s">
        <v>17</v>
      </c>
      <c r="J851" s="7" t="s">
        <v>18</v>
      </c>
      <c r="K851" s="7" t="s">
        <v>19</v>
      </c>
      <c r="L851" s="8">
        <v>1.770955663723E12</v>
      </c>
      <c r="M851" s="9"/>
      <c r="N851" s="10"/>
      <c r="O851" s="10"/>
      <c r="P851" s="10"/>
      <c r="Q851" s="10"/>
      <c r="R851" s="10"/>
      <c r="S851" s="10"/>
      <c r="T851" s="10"/>
      <c r="U851" s="10"/>
      <c r="V851" s="10"/>
    </row>
    <row r="852" ht="22.5" customHeight="1">
      <c r="A852" s="5">
        <v>1.728052352E11</v>
      </c>
      <c r="B852" s="5" t="s">
        <v>946</v>
      </c>
      <c r="C852" s="5">
        <v>51997867734</v>
      </c>
      <c r="D852" s="5" t="s">
        <v>38</v>
      </c>
      <c r="E852" s="5"/>
      <c r="F852" s="5" t="s">
        <v>510</v>
      </c>
      <c r="G852" s="5" t="s">
        <v>15</v>
      </c>
      <c r="H852" s="5" t="s">
        <v>51</v>
      </c>
      <c r="I852" s="6" t="s">
        <v>17</v>
      </c>
      <c r="J852" s="7" t="s">
        <v>18</v>
      </c>
      <c r="K852" s="7" t="s">
        <v>166</v>
      </c>
      <c r="L852" s="8">
        <v>1.770955964178E12</v>
      </c>
      <c r="M852" s="9"/>
      <c r="N852" s="10"/>
      <c r="O852" s="10"/>
      <c r="P852" s="10"/>
      <c r="Q852" s="10"/>
      <c r="R852" s="10"/>
      <c r="S852" s="10"/>
      <c r="T852" s="10"/>
      <c r="U852" s="10"/>
      <c r="V852" s="10"/>
    </row>
    <row r="853" ht="22.5" customHeight="1">
      <c r="A853" s="5">
        <v>1.64027430034E11</v>
      </c>
      <c r="B853" s="5" t="s">
        <v>947</v>
      </c>
      <c r="C853" s="5">
        <v>51906490654</v>
      </c>
      <c r="D853" s="5" t="s">
        <v>22</v>
      </c>
      <c r="E853" s="5"/>
      <c r="F853" s="5" t="s">
        <v>28</v>
      </c>
      <c r="G853" s="5" t="s">
        <v>15</v>
      </c>
      <c r="H853" s="5" t="s">
        <v>253</v>
      </c>
      <c r="I853" s="6" t="s">
        <v>17</v>
      </c>
      <c r="J853" s="7" t="s">
        <v>18</v>
      </c>
      <c r="K853" s="7" t="s">
        <v>116</v>
      </c>
      <c r="L853" s="8">
        <v>1.770955926133E12</v>
      </c>
      <c r="M853" s="9"/>
      <c r="N853" s="10"/>
      <c r="O853" s="10"/>
      <c r="P853" s="10"/>
      <c r="Q853" s="10"/>
      <c r="R853" s="10"/>
      <c r="S853" s="10"/>
      <c r="T853" s="10"/>
      <c r="U853" s="10"/>
      <c r="V853" s="10"/>
    </row>
    <row r="854" ht="22.5" customHeight="1">
      <c r="A854" s="5">
        <v>2.01947612561E11</v>
      </c>
      <c r="B854" s="5" t="s">
        <v>948</v>
      </c>
      <c r="C854" s="5">
        <v>51964317296</v>
      </c>
      <c r="D854" s="5" t="s">
        <v>13</v>
      </c>
      <c r="E854" s="5">
        <v>8.0566583E7</v>
      </c>
      <c r="F854" s="5" t="s">
        <v>510</v>
      </c>
      <c r="G854" s="5" t="s">
        <v>32</v>
      </c>
      <c r="H854" s="5" t="s">
        <v>16</v>
      </c>
      <c r="I854" s="6" t="s">
        <v>49</v>
      </c>
      <c r="J854" s="7" t="s">
        <v>34</v>
      </c>
      <c r="K854" s="7"/>
      <c r="L854" s="8">
        <v>1.770956559956E12</v>
      </c>
      <c r="M854" s="9"/>
      <c r="N854" s="10"/>
      <c r="O854" s="10"/>
      <c r="P854" s="10"/>
      <c r="Q854" s="10"/>
      <c r="R854" s="10"/>
      <c r="S854" s="10"/>
      <c r="T854" s="10"/>
      <c r="U854" s="10"/>
      <c r="V854" s="10"/>
    </row>
    <row r="855" ht="22.5" customHeight="1">
      <c r="A855" s="5">
        <v>2.01946613376E11</v>
      </c>
      <c r="B855" s="5" t="s">
        <v>949</v>
      </c>
      <c r="C855" s="5">
        <v>51950600629</v>
      </c>
      <c r="D855" s="5" t="s">
        <v>38</v>
      </c>
      <c r="E855" s="5">
        <v>8.7547393E7</v>
      </c>
      <c r="F855" s="5" t="s">
        <v>14</v>
      </c>
      <c r="G855" s="5" t="s">
        <v>15</v>
      </c>
      <c r="H855" s="5" t="s">
        <v>51</v>
      </c>
      <c r="I855" s="6" t="s">
        <v>17</v>
      </c>
      <c r="J855" s="7" t="s">
        <v>18</v>
      </c>
      <c r="K855" s="7" t="s">
        <v>19</v>
      </c>
      <c r="L855" s="8">
        <v>1.770957083263E12</v>
      </c>
      <c r="M855" s="9"/>
      <c r="N855" s="10"/>
      <c r="O855" s="10"/>
      <c r="P855" s="10"/>
      <c r="Q855" s="10"/>
      <c r="R855" s="10"/>
      <c r="S855" s="10"/>
      <c r="T855" s="10"/>
      <c r="U855" s="10"/>
      <c r="V855" s="10"/>
    </row>
    <row r="856" ht="22.5" customHeight="1">
      <c r="A856" s="5">
        <v>2.01938539101E11</v>
      </c>
      <c r="B856" s="5" t="s">
        <v>950</v>
      </c>
      <c r="C856" s="5">
        <v>51902827997</v>
      </c>
      <c r="D856" s="5" t="s">
        <v>13</v>
      </c>
      <c r="E856" s="5">
        <v>8.0566583E7</v>
      </c>
      <c r="F856" s="5" t="s">
        <v>39</v>
      </c>
      <c r="G856" s="5" t="s">
        <v>15</v>
      </c>
      <c r="H856" s="5" t="s">
        <v>16</v>
      </c>
      <c r="I856" s="6" t="s">
        <v>17</v>
      </c>
      <c r="J856" s="7" t="s">
        <v>25</v>
      </c>
      <c r="K856" s="7" t="s">
        <v>26</v>
      </c>
      <c r="L856" s="8">
        <v>1.770957835012E12</v>
      </c>
      <c r="M856" s="9"/>
      <c r="N856" s="10"/>
      <c r="O856" s="10"/>
      <c r="P856" s="10"/>
      <c r="Q856" s="10"/>
      <c r="R856" s="10"/>
      <c r="S856" s="10"/>
      <c r="T856" s="10"/>
      <c r="U856" s="10"/>
      <c r="V856" s="10"/>
    </row>
    <row r="857" ht="22.5" customHeight="1">
      <c r="A857" s="5">
        <v>2.01952486238E11</v>
      </c>
      <c r="B857" s="5" t="s">
        <v>951</v>
      </c>
      <c r="C857" s="5">
        <v>51918691102</v>
      </c>
      <c r="D857" s="5" t="s">
        <v>13</v>
      </c>
      <c r="E857" s="5">
        <v>8.0566583E7</v>
      </c>
      <c r="F857" s="5"/>
      <c r="G857" s="5" t="s">
        <v>15</v>
      </c>
      <c r="H857" s="5" t="s">
        <v>51</v>
      </c>
      <c r="I857" s="6" t="s">
        <v>17</v>
      </c>
      <c r="J857" s="7" t="s">
        <v>18</v>
      </c>
      <c r="K857" s="7" t="s">
        <v>19</v>
      </c>
      <c r="L857" s="8">
        <v>1.770962778811E12</v>
      </c>
      <c r="M857" s="9"/>
      <c r="N857" s="10"/>
      <c r="O857" s="10"/>
      <c r="P857" s="10"/>
      <c r="Q857" s="10"/>
      <c r="R857" s="10"/>
      <c r="S857" s="10"/>
      <c r="T857" s="10"/>
      <c r="U857" s="10"/>
      <c r="V857" s="10"/>
    </row>
    <row r="858" ht="22.5" customHeight="1">
      <c r="A858" s="5">
        <v>2.01952341592E11</v>
      </c>
      <c r="B858" s="5" t="s">
        <v>952</v>
      </c>
      <c r="C858" s="5">
        <v>524777334213</v>
      </c>
      <c r="D858" s="5" t="s">
        <v>13</v>
      </c>
      <c r="E858" s="5">
        <v>8.7547393E7</v>
      </c>
      <c r="F858" s="5" t="s">
        <v>39</v>
      </c>
      <c r="G858" s="5" t="s">
        <v>15</v>
      </c>
      <c r="H858" s="5" t="s">
        <v>66</v>
      </c>
      <c r="I858" s="6" t="s">
        <v>17</v>
      </c>
      <c r="J858" s="7" t="s">
        <v>18</v>
      </c>
      <c r="K858" s="7" t="s">
        <v>61</v>
      </c>
      <c r="L858" s="8">
        <v>1.770963492989E12</v>
      </c>
      <c r="M858" s="9"/>
      <c r="N858" s="10"/>
      <c r="O858" s="10"/>
      <c r="P858" s="10"/>
      <c r="Q858" s="10"/>
      <c r="R858" s="10"/>
      <c r="S858" s="10"/>
      <c r="T858" s="10"/>
      <c r="U858" s="10"/>
      <c r="V858" s="10"/>
    </row>
    <row r="859" ht="22.5" customHeight="1">
      <c r="A859" s="5">
        <v>2.01958702624E11</v>
      </c>
      <c r="B859" s="5" t="s">
        <v>953</v>
      </c>
      <c r="C859" s="5">
        <v>528112526349</v>
      </c>
      <c r="D859" s="5" t="s">
        <v>13</v>
      </c>
      <c r="E859" s="5">
        <v>8.0566583E7</v>
      </c>
      <c r="F859" s="5" t="s">
        <v>28</v>
      </c>
      <c r="G859" s="5" t="s">
        <v>15</v>
      </c>
      <c r="H859" s="5" t="s">
        <v>16</v>
      </c>
      <c r="I859" s="6" t="s">
        <v>17</v>
      </c>
      <c r="J859" s="7" t="s">
        <v>34</v>
      </c>
      <c r="K859" s="7"/>
      <c r="L859" s="8">
        <v>1.770966270673E12</v>
      </c>
      <c r="M859" s="9"/>
      <c r="N859" s="10"/>
      <c r="O859" s="10"/>
      <c r="P859" s="10"/>
      <c r="Q859" s="10"/>
      <c r="R859" s="10"/>
      <c r="S859" s="10"/>
      <c r="T859" s="10"/>
      <c r="U859" s="10"/>
      <c r="V859" s="10"/>
    </row>
    <row r="860" ht="22.5" customHeight="1">
      <c r="A860" s="5">
        <v>2.01957210636E11</v>
      </c>
      <c r="B860" s="5" t="s">
        <v>954</v>
      </c>
      <c r="C860" s="5">
        <v>51949516405</v>
      </c>
      <c r="D860" s="5" t="s">
        <v>38</v>
      </c>
      <c r="E860" s="5">
        <v>8.0566583E7</v>
      </c>
      <c r="F860" s="5"/>
      <c r="G860" s="5"/>
      <c r="H860" s="5"/>
      <c r="I860" s="6"/>
      <c r="J860" s="7" t="s">
        <v>18</v>
      </c>
      <c r="K860" s="7" t="s">
        <v>19</v>
      </c>
      <c r="L860" s="8">
        <v>1.770967746156E12</v>
      </c>
      <c r="M860" s="9"/>
      <c r="N860" s="10"/>
      <c r="O860" s="10"/>
      <c r="P860" s="10"/>
      <c r="Q860" s="10"/>
      <c r="R860" s="10"/>
      <c r="S860" s="10"/>
      <c r="T860" s="10"/>
      <c r="U860" s="10"/>
      <c r="V860" s="10"/>
    </row>
    <row r="861" ht="22.5" customHeight="1">
      <c r="A861" s="5">
        <v>2.01958989401E11</v>
      </c>
      <c r="B861" s="5" t="s">
        <v>955</v>
      </c>
      <c r="C861" s="5">
        <v>51906686124</v>
      </c>
      <c r="D861" s="5" t="s">
        <v>103</v>
      </c>
      <c r="E861" s="5">
        <v>8.0566583E7</v>
      </c>
      <c r="F861" s="5" t="s">
        <v>14</v>
      </c>
      <c r="G861" s="5" t="s">
        <v>79</v>
      </c>
      <c r="H861" s="5" t="s">
        <v>112</v>
      </c>
      <c r="I861" s="6" t="s">
        <v>17</v>
      </c>
      <c r="J861" s="7" t="s">
        <v>58</v>
      </c>
      <c r="K861" s="11" t="s">
        <v>59</v>
      </c>
      <c r="L861" s="8">
        <v>1.770968719776E12</v>
      </c>
      <c r="M861" s="9"/>
      <c r="N861" s="10"/>
      <c r="O861" s="10"/>
      <c r="P861" s="10"/>
      <c r="Q861" s="10"/>
      <c r="R861" s="10"/>
      <c r="S861" s="10"/>
      <c r="T861" s="10"/>
      <c r="U861" s="10"/>
      <c r="V861" s="10"/>
    </row>
    <row r="862" ht="22.5" customHeight="1">
      <c r="A862" s="5">
        <v>2.01975018417E11</v>
      </c>
      <c r="B862" s="5" t="s">
        <v>956</v>
      </c>
      <c r="C862" s="5">
        <v>526643884373</v>
      </c>
      <c r="D862" s="5" t="s">
        <v>13</v>
      </c>
      <c r="E862" s="5">
        <v>8.7547393E7</v>
      </c>
      <c r="F862" s="5" t="s">
        <v>28</v>
      </c>
      <c r="G862" s="5" t="s">
        <v>15</v>
      </c>
      <c r="H862" s="5" t="s">
        <v>51</v>
      </c>
      <c r="I862" s="6" t="s">
        <v>17</v>
      </c>
      <c r="J862" s="7" t="s">
        <v>34</v>
      </c>
      <c r="K862" s="7"/>
      <c r="L862" s="8">
        <v>1.770970639237E12</v>
      </c>
      <c r="M862" s="9"/>
      <c r="N862" s="10"/>
      <c r="O862" s="10"/>
      <c r="P862" s="10"/>
      <c r="Q862" s="10"/>
      <c r="R862" s="10"/>
      <c r="S862" s="10"/>
      <c r="T862" s="10"/>
      <c r="U862" s="10"/>
      <c r="V862" s="10"/>
    </row>
    <row r="863" ht="22.5" customHeight="1">
      <c r="A863" s="5">
        <v>1.72707222115E11</v>
      </c>
      <c r="B863" s="5" t="s">
        <v>957</v>
      </c>
      <c r="C863" s="5">
        <v>51998183440</v>
      </c>
      <c r="D863" s="5" t="s">
        <v>22</v>
      </c>
      <c r="E863" s="5"/>
      <c r="F863" s="5" t="s">
        <v>39</v>
      </c>
      <c r="G863" s="5" t="s">
        <v>44</v>
      </c>
      <c r="H863" s="5" t="s">
        <v>80</v>
      </c>
      <c r="I863" s="6" t="s">
        <v>17</v>
      </c>
      <c r="J863" s="7" t="s">
        <v>18</v>
      </c>
      <c r="K863" s="7" t="s">
        <v>19</v>
      </c>
      <c r="L863" s="8">
        <v>1.770979136131E12</v>
      </c>
      <c r="M863" s="9"/>
      <c r="N863" s="10"/>
      <c r="O863" s="10"/>
      <c r="P863" s="10"/>
      <c r="Q863" s="10"/>
      <c r="R863" s="10"/>
      <c r="S863" s="10"/>
      <c r="T863" s="10"/>
      <c r="U863" s="10"/>
      <c r="V863" s="10"/>
    </row>
    <row r="864" ht="22.5" customHeight="1">
      <c r="A864" s="5">
        <v>2.02011801871E11</v>
      </c>
      <c r="B864" s="5" t="s">
        <v>958</v>
      </c>
      <c r="C864" s="5">
        <v>51915240573</v>
      </c>
      <c r="D864" s="5" t="s">
        <v>103</v>
      </c>
      <c r="E864" s="5">
        <v>8.0566583E7</v>
      </c>
      <c r="F864" s="5" t="s">
        <v>65</v>
      </c>
      <c r="G864" s="5" t="s">
        <v>79</v>
      </c>
      <c r="H864" s="5" t="s">
        <v>24</v>
      </c>
      <c r="I864" s="6" t="s">
        <v>36</v>
      </c>
      <c r="J864" s="7" t="s">
        <v>18</v>
      </c>
      <c r="K864" s="7" t="s">
        <v>19</v>
      </c>
      <c r="L864" s="8">
        <v>1.770982180349E12</v>
      </c>
      <c r="M864" s="9"/>
      <c r="N864" s="10"/>
      <c r="O864" s="10"/>
      <c r="P864" s="10"/>
      <c r="Q864" s="10"/>
      <c r="R864" s="10"/>
      <c r="S864" s="10"/>
      <c r="T864" s="10"/>
      <c r="U864" s="10"/>
      <c r="V864" s="10"/>
    </row>
    <row r="865" ht="22.5" customHeight="1">
      <c r="A865" s="5">
        <v>2.020115662E11</v>
      </c>
      <c r="B865" s="5" t="s">
        <v>959</v>
      </c>
      <c r="C865" s="5">
        <v>51952490411</v>
      </c>
      <c r="D865" s="5" t="s">
        <v>13</v>
      </c>
      <c r="E865" s="5">
        <v>8.0566583E7</v>
      </c>
      <c r="F865" s="5" t="s">
        <v>714</v>
      </c>
      <c r="G865" s="5" t="s">
        <v>15</v>
      </c>
      <c r="H865" s="5" t="s">
        <v>114</v>
      </c>
      <c r="I865" s="6" t="s">
        <v>17</v>
      </c>
      <c r="J865" s="7" t="s">
        <v>34</v>
      </c>
      <c r="K865" s="7"/>
      <c r="L865" s="8">
        <v>1.770982474208E12</v>
      </c>
      <c r="M865" s="9"/>
      <c r="N865" s="10"/>
      <c r="O865" s="10"/>
      <c r="P865" s="10"/>
      <c r="Q865" s="10"/>
      <c r="R865" s="10"/>
      <c r="S865" s="10"/>
      <c r="T865" s="10"/>
      <c r="U865" s="10"/>
      <c r="V865" s="10"/>
    </row>
    <row r="866" ht="22.5" customHeight="1">
      <c r="A866" s="5">
        <v>2.02015052892E11</v>
      </c>
      <c r="B866" s="5" t="s">
        <v>960</v>
      </c>
      <c r="C866" s="5">
        <v>51917255215</v>
      </c>
      <c r="D866" s="5" t="s">
        <v>38</v>
      </c>
      <c r="E866" s="5">
        <v>8.0566583E7</v>
      </c>
      <c r="F866" s="5"/>
      <c r="G866" s="5"/>
      <c r="H866" s="5"/>
      <c r="I866" s="6"/>
      <c r="J866" s="7" t="s">
        <v>18</v>
      </c>
      <c r="K866" s="7" t="s">
        <v>19</v>
      </c>
      <c r="L866" s="8">
        <v>1.77098337872E12</v>
      </c>
      <c r="M866" s="9"/>
      <c r="N866" s="10"/>
      <c r="O866" s="10"/>
      <c r="P866" s="10"/>
      <c r="Q866" s="10"/>
      <c r="R866" s="10"/>
      <c r="S866" s="10"/>
      <c r="T866" s="10"/>
      <c r="U866" s="10"/>
      <c r="V866" s="10"/>
    </row>
    <row r="867" ht="22.5" customHeight="1">
      <c r="A867" s="5">
        <v>2.02017068932E11</v>
      </c>
      <c r="B867" s="5" t="s">
        <v>961</v>
      </c>
      <c r="C867" s="5">
        <v>524499606030</v>
      </c>
      <c r="D867" s="5" t="s">
        <v>13</v>
      </c>
      <c r="E867" s="5">
        <v>8.7547393E7</v>
      </c>
      <c r="F867" s="5" t="s">
        <v>510</v>
      </c>
      <c r="G867" s="5" t="s">
        <v>15</v>
      </c>
      <c r="H867" s="5" t="s">
        <v>16</v>
      </c>
      <c r="I867" s="6" t="s">
        <v>17</v>
      </c>
      <c r="J867" s="7" t="s">
        <v>34</v>
      </c>
      <c r="K867" s="7"/>
      <c r="L867" s="8">
        <v>1.770984557883E12</v>
      </c>
      <c r="M867" s="9"/>
      <c r="N867" s="10"/>
      <c r="O867" s="10"/>
      <c r="P867" s="10"/>
      <c r="Q867" s="10"/>
      <c r="R867" s="10"/>
      <c r="S867" s="10"/>
      <c r="T867" s="10"/>
      <c r="U867" s="10"/>
      <c r="V867" s="10"/>
    </row>
    <row r="868" ht="22.5" customHeight="1">
      <c r="A868" s="5">
        <v>2.02018501225E11</v>
      </c>
      <c r="B868" s="5" t="s">
        <v>962</v>
      </c>
      <c r="C868" s="5">
        <v>51959380614</v>
      </c>
      <c r="D868" s="5" t="s">
        <v>13</v>
      </c>
      <c r="E868" s="5">
        <v>8.7547393E7</v>
      </c>
      <c r="F868" s="5" t="s">
        <v>28</v>
      </c>
      <c r="G868" s="5" t="s">
        <v>15</v>
      </c>
      <c r="H868" s="5" t="s">
        <v>16</v>
      </c>
      <c r="I868" s="6" t="s">
        <v>49</v>
      </c>
      <c r="J868" s="7" t="s">
        <v>18</v>
      </c>
      <c r="K868" s="7" t="s">
        <v>19</v>
      </c>
      <c r="L868" s="8">
        <v>1.770986916056E12</v>
      </c>
      <c r="M868" s="9"/>
      <c r="N868" s="10"/>
      <c r="O868" s="10"/>
      <c r="P868" s="10"/>
      <c r="Q868" s="10"/>
      <c r="R868" s="10"/>
      <c r="S868" s="10"/>
      <c r="T868" s="10"/>
      <c r="U868" s="10"/>
      <c r="V868" s="10"/>
    </row>
    <row r="869" ht="22.5" customHeight="1">
      <c r="A869" s="5">
        <v>2.02036814952E11</v>
      </c>
      <c r="B869" s="5" t="s">
        <v>963</v>
      </c>
      <c r="C869" s="5">
        <v>51998859153</v>
      </c>
      <c r="D869" s="5" t="s">
        <v>13</v>
      </c>
      <c r="E869" s="5">
        <v>8.0566583E7</v>
      </c>
      <c r="F869" s="5" t="s">
        <v>39</v>
      </c>
      <c r="G869" s="5" t="s">
        <v>15</v>
      </c>
      <c r="H869" s="5" t="s">
        <v>51</v>
      </c>
      <c r="I869" s="6" t="s">
        <v>17</v>
      </c>
      <c r="J869" s="7" t="s">
        <v>18</v>
      </c>
      <c r="K869" s="7" t="s">
        <v>19</v>
      </c>
      <c r="L869" s="8">
        <v>1.770988275425E12</v>
      </c>
      <c r="M869" s="9"/>
      <c r="N869" s="10"/>
      <c r="O869" s="10"/>
      <c r="P869" s="10"/>
      <c r="Q869" s="10"/>
      <c r="R869" s="10"/>
      <c r="S869" s="10"/>
      <c r="T869" s="10"/>
      <c r="U869" s="10"/>
      <c r="V869" s="10"/>
    </row>
    <row r="870" ht="22.5" customHeight="1">
      <c r="A870" s="5">
        <v>2.02038308448E11</v>
      </c>
      <c r="B870" s="5" t="s">
        <v>964</v>
      </c>
      <c r="C870" s="5">
        <v>5565993489059</v>
      </c>
      <c r="D870" s="5" t="s">
        <v>13</v>
      </c>
      <c r="E870" s="5">
        <v>7.9360573E7</v>
      </c>
      <c r="F870" s="5" t="s">
        <v>28</v>
      </c>
      <c r="G870" s="5" t="s">
        <v>15</v>
      </c>
      <c r="H870" s="5" t="s">
        <v>24</v>
      </c>
      <c r="I870" s="6"/>
      <c r="J870" s="7" t="s">
        <v>34</v>
      </c>
      <c r="K870" s="7"/>
      <c r="L870" s="8">
        <v>1.770988637826E12</v>
      </c>
      <c r="M870" s="9"/>
      <c r="N870" s="10"/>
      <c r="O870" s="10"/>
      <c r="P870" s="10"/>
      <c r="Q870" s="10"/>
      <c r="R870" s="10"/>
      <c r="S870" s="10"/>
      <c r="T870" s="10"/>
      <c r="U870" s="10"/>
      <c r="V870" s="10"/>
    </row>
    <row r="871" ht="22.5" customHeight="1">
      <c r="A871" s="5">
        <v>1.97522773534E11</v>
      </c>
      <c r="B871" s="5" t="s">
        <v>965</v>
      </c>
      <c r="C871" s="5">
        <v>51999999999</v>
      </c>
      <c r="D871" s="5" t="s">
        <v>38</v>
      </c>
      <c r="E871" s="5"/>
      <c r="F871" s="5"/>
      <c r="G871" s="5"/>
      <c r="H871" s="5"/>
      <c r="I871" s="6"/>
      <c r="J871" s="7" t="s">
        <v>403</v>
      </c>
      <c r="K871" s="7" t="s">
        <v>966</v>
      </c>
      <c r="L871" s="8">
        <v>1.770989765449E12</v>
      </c>
      <c r="M871" s="9"/>
      <c r="N871" s="10"/>
      <c r="O871" s="10"/>
      <c r="P871" s="10"/>
      <c r="Q871" s="10"/>
      <c r="R871" s="10"/>
      <c r="S871" s="10"/>
      <c r="T871" s="10"/>
      <c r="U871" s="10"/>
      <c r="V871" s="10"/>
    </row>
    <row r="872" ht="22.5" customHeight="1">
      <c r="A872" s="5">
        <v>2.02037825313E11</v>
      </c>
      <c r="B872" s="5" t="s">
        <v>967</v>
      </c>
      <c r="C872" s="5">
        <v>51949361078</v>
      </c>
      <c r="D872" s="5" t="s">
        <v>22</v>
      </c>
      <c r="E872" s="5">
        <v>8.7547393E7</v>
      </c>
      <c r="F872" s="5" t="s">
        <v>82</v>
      </c>
      <c r="G872" s="5" t="s">
        <v>44</v>
      </c>
      <c r="H872" s="5" t="s">
        <v>80</v>
      </c>
      <c r="I872" s="6" t="s">
        <v>17</v>
      </c>
      <c r="J872" s="7" t="s">
        <v>34</v>
      </c>
      <c r="K872" s="7"/>
      <c r="L872" s="8">
        <v>1.770990911245E12</v>
      </c>
      <c r="M872" s="9"/>
      <c r="N872" s="10"/>
      <c r="O872" s="10"/>
      <c r="P872" s="10"/>
      <c r="Q872" s="10"/>
      <c r="R872" s="10"/>
      <c r="S872" s="10"/>
      <c r="T872" s="10"/>
      <c r="U872" s="10"/>
      <c r="V872" s="10"/>
    </row>
    <row r="873" ht="22.5" customHeight="1">
      <c r="A873" s="5">
        <v>2.0202784212E11</v>
      </c>
      <c r="B873" s="5" t="s">
        <v>968</v>
      </c>
      <c r="C873" s="5">
        <v>5511989629857</v>
      </c>
      <c r="D873" s="5" t="s">
        <v>13</v>
      </c>
      <c r="E873" s="5">
        <v>7.9360573E7</v>
      </c>
      <c r="F873" s="5" t="s">
        <v>28</v>
      </c>
      <c r="G873" s="5" t="s">
        <v>32</v>
      </c>
      <c r="H873" s="5" t="s">
        <v>16</v>
      </c>
      <c r="I873" s="6" t="s">
        <v>17</v>
      </c>
      <c r="J873" s="7" t="s">
        <v>34</v>
      </c>
      <c r="K873" s="7"/>
      <c r="L873" s="8">
        <v>1.770990919265E12</v>
      </c>
      <c r="M873" s="9"/>
      <c r="N873" s="10"/>
      <c r="O873" s="10"/>
      <c r="P873" s="10"/>
      <c r="Q873" s="10"/>
      <c r="R873" s="10"/>
      <c r="S873" s="10"/>
      <c r="T873" s="10"/>
      <c r="U873" s="10"/>
      <c r="V873" s="10"/>
    </row>
    <row r="874" ht="22.5" customHeight="1">
      <c r="A874" s="5">
        <v>1.58296963962E11</v>
      </c>
      <c r="B874" s="5" t="s">
        <v>969</v>
      </c>
      <c r="C874" s="5">
        <v>5533999456098</v>
      </c>
      <c r="D874" s="5" t="s">
        <v>22</v>
      </c>
      <c r="E874" s="5">
        <v>7.9360573E7</v>
      </c>
      <c r="F874" s="5" t="s">
        <v>28</v>
      </c>
      <c r="G874" s="5" t="s">
        <v>829</v>
      </c>
      <c r="H874" s="5" t="s">
        <v>114</v>
      </c>
      <c r="I874" s="6" t="s">
        <v>49</v>
      </c>
      <c r="J874" s="7" t="s">
        <v>34</v>
      </c>
      <c r="K874" s="7"/>
      <c r="L874" s="8">
        <v>1.77099168657E12</v>
      </c>
      <c r="M874" s="9"/>
      <c r="N874" s="10"/>
      <c r="O874" s="10"/>
      <c r="P874" s="10"/>
      <c r="Q874" s="10"/>
      <c r="R874" s="10"/>
      <c r="S874" s="10"/>
      <c r="T874" s="10"/>
      <c r="U874" s="10"/>
      <c r="V874" s="10"/>
    </row>
    <row r="875" ht="22.5" customHeight="1">
      <c r="A875" s="5">
        <v>2.02041369505E11</v>
      </c>
      <c r="B875" s="5" t="s">
        <v>970</v>
      </c>
      <c r="C875" s="5">
        <v>527227621205</v>
      </c>
      <c r="D875" s="5" t="s">
        <v>38</v>
      </c>
      <c r="E875" s="5">
        <v>8.0566583E7</v>
      </c>
      <c r="F875" s="5"/>
      <c r="G875" s="5"/>
      <c r="H875" s="5"/>
      <c r="I875" s="6"/>
      <c r="J875" s="7" t="s">
        <v>34</v>
      </c>
      <c r="K875" s="7"/>
      <c r="L875" s="8">
        <v>1.770992044297E12</v>
      </c>
      <c r="M875" s="9"/>
      <c r="N875" s="10"/>
      <c r="O875" s="10"/>
      <c r="P875" s="10"/>
      <c r="Q875" s="10"/>
      <c r="R875" s="10"/>
      <c r="S875" s="10"/>
      <c r="T875" s="10"/>
      <c r="U875" s="10"/>
      <c r="V875" s="10"/>
    </row>
    <row r="876" ht="22.5" customHeight="1">
      <c r="A876" s="5">
        <v>2.02039332926E11</v>
      </c>
      <c r="B876" s="5" t="s">
        <v>971</v>
      </c>
      <c r="C876" s="5">
        <v>526568216796</v>
      </c>
      <c r="D876" s="5" t="s">
        <v>13</v>
      </c>
      <c r="E876" s="5">
        <v>8.7547393E7</v>
      </c>
      <c r="F876" s="5" t="s">
        <v>714</v>
      </c>
      <c r="G876" s="5" t="s">
        <v>15</v>
      </c>
      <c r="H876" s="5" t="s">
        <v>66</v>
      </c>
      <c r="I876" s="6" t="s">
        <v>17</v>
      </c>
      <c r="J876" s="7" t="s">
        <v>18</v>
      </c>
      <c r="K876" s="7" t="s">
        <v>61</v>
      </c>
      <c r="L876" s="8">
        <v>1.770992272552E12</v>
      </c>
      <c r="M876" s="9"/>
      <c r="N876" s="10"/>
      <c r="O876" s="10"/>
      <c r="P876" s="10"/>
      <c r="Q876" s="10"/>
      <c r="R876" s="10"/>
      <c r="S876" s="10"/>
      <c r="T876" s="10"/>
      <c r="U876" s="10"/>
      <c r="V876" s="10"/>
    </row>
    <row r="877" ht="22.5" customHeight="1">
      <c r="A877" s="5">
        <v>2.02043998339E11</v>
      </c>
      <c r="B877" s="5" t="s">
        <v>972</v>
      </c>
      <c r="C877" s="5">
        <v>51917401373</v>
      </c>
      <c r="D877" s="5" t="s">
        <v>38</v>
      </c>
      <c r="E877" s="5">
        <v>8.0566583E7</v>
      </c>
      <c r="F877" s="5"/>
      <c r="G877" s="5"/>
      <c r="H877" s="5"/>
      <c r="I877" s="6"/>
      <c r="J877" s="7" t="s">
        <v>18</v>
      </c>
      <c r="K877" s="7" t="s">
        <v>19</v>
      </c>
      <c r="L877" s="8">
        <v>1.770993204294E12</v>
      </c>
      <c r="M877" s="9"/>
      <c r="N877" s="10"/>
      <c r="O877" s="10"/>
      <c r="P877" s="10"/>
      <c r="Q877" s="10"/>
      <c r="R877" s="10"/>
      <c r="S877" s="10"/>
      <c r="T877" s="10"/>
      <c r="U877" s="10"/>
      <c r="V877" s="10"/>
    </row>
    <row r="878" ht="22.5" customHeight="1">
      <c r="A878" s="5">
        <v>2.02054651454E11</v>
      </c>
      <c r="B878" s="5" t="s">
        <v>973</v>
      </c>
      <c r="C878" s="5">
        <v>51963039651</v>
      </c>
      <c r="D878" s="5" t="s">
        <v>13</v>
      </c>
      <c r="E878" s="5">
        <v>8.7547393E7</v>
      </c>
      <c r="F878" s="5" t="s">
        <v>259</v>
      </c>
      <c r="G878" s="5" t="s">
        <v>32</v>
      </c>
      <c r="H878" s="5" t="s">
        <v>66</v>
      </c>
      <c r="I878" s="6" t="s">
        <v>17</v>
      </c>
      <c r="J878" s="7" t="s">
        <v>34</v>
      </c>
      <c r="K878" s="7"/>
      <c r="L878" s="8">
        <v>1.770993791805E12</v>
      </c>
      <c r="M878" s="9"/>
      <c r="N878" s="10"/>
      <c r="O878" s="10"/>
      <c r="P878" s="10"/>
      <c r="Q878" s="10"/>
      <c r="R878" s="10"/>
      <c r="S878" s="10"/>
      <c r="T878" s="10"/>
      <c r="U878" s="10"/>
      <c r="V878" s="10"/>
    </row>
    <row r="879" ht="22.5" customHeight="1">
      <c r="A879" s="5">
        <v>2.02072730008E11</v>
      </c>
      <c r="B879" s="5" t="s">
        <v>974</v>
      </c>
      <c r="C879" s="5">
        <v>51960588849</v>
      </c>
      <c r="D879" s="5" t="s">
        <v>13</v>
      </c>
      <c r="E879" s="5">
        <v>8.0566583E7</v>
      </c>
      <c r="F879" s="5" t="s">
        <v>510</v>
      </c>
      <c r="G879" s="5" t="s">
        <v>15</v>
      </c>
      <c r="H879" s="5" t="s">
        <v>51</v>
      </c>
      <c r="I879" s="6" t="s">
        <v>17</v>
      </c>
      <c r="J879" s="7" t="s">
        <v>18</v>
      </c>
      <c r="K879" s="7" t="s">
        <v>116</v>
      </c>
      <c r="L879" s="8">
        <v>1.770995447519E12</v>
      </c>
      <c r="M879" s="9"/>
      <c r="N879" s="10"/>
      <c r="O879" s="10"/>
      <c r="P879" s="10"/>
      <c r="Q879" s="10"/>
      <c r="R879" s="10"/>
      <c r="S879" s="10"/>
      <c r="T879" s="10"/>
      <c r="U879" s="10"/>
      <c r="V879" s="10"/>
    </row>
    <row r="880" ht="22.5" customHeight="1">
      <c r="A880" s="5">
        <v>2.02072449335E11</v>
      </c>
      <c r="B880" s="5" t="s">
        <v>975</v>
      </c>
      <c r="C880" s="5">
        <v>51941164783</v>
      </c>
      <c r="D880" s="5" t="s">
        <v>13</v>
      </c>
      <c r="E880" s="5">
        <v>8.7547393E7</v>
      </c>
      <c r="F880" s="5" t="s">
        <v>259</v>
      </c>
      <c r="G880" s="5" t="s">
        <v>15</v>
      </c>
      <c r="H880" s="5" t="s">
        <v>51</v>
      </c>
      <c r="I880" s="6" t="s">
        <v>17</v>
      </c>
      <c r="J880" s="7" t="s">
        <v>18</v>
      </c>
      <c r="K880" s="7" t="s">
        <v>19</v>
      </c>
      <c r="L880" s="8">
        <v>1.770995524731E12</v>
      </c>
      <c r="M880" s="9"/>
      <c r="N880" s="10"/>
      <c r="O880" s="10"/>
      <c r="P880" s="10"/>
      <c r="Q880" s="10"/>
      <c r="R880" s="10"/>
      <c r="S880" s="10"/>
      <c r="T880" s="10"/>
      <c r="U880" s="10"/>
      <c r="V880" s="10"/>
    </row>
    <row r="881" ht="22.5" customHeight="1">
      <c r="A881" s="5">
        <v>2.02073079107E11</v>
      </c>
      <c r="B881" s="5" t="s">
        <v>976</v>
      </c>
      <c r="C881" s="5">
        <v>524776932150</v>
      </c>
      <c r="D881" s="5" t="s">
        <v>13</v>
      </c>
      <c r="E881" s="5">
        <v>8.7547393E7</v>
      </c>
      <c r="F881" s="5" t="s">
        <v>39</v>
      </c>
      <c r="G881" s="5" t="s">
        <v>32</v>
      </c>
      <c r="H881" s="5" t="s">
        <v>114</v>
      </c>
      <c r="I881" s="6" t="s">
        <v>17</v>
      </c>
      <c r="J881" s="7" t="s">
        <v>58</v>
      </c>
      <c r="K881" s="11" t="s">
        <v>59</v>
      </c>
      <c r="L881" s="8">
        <v>1.77099605133E12</v>
      </c>
      <c r="M881" s="9"/>
      <c r="N881" s="10"/>
      <c r="O881" s="10"/>
      <c r="P881" s="10"/>
      <c r="Q881" s="10"/>
      <c r="R881" s="10"/>
      <c r="S881" s="10"/>
      <c r="T881" s="10"/>
      <c r="U881" s="10"/>
      <c r="V881" s="10"/>
    </row>
    <row r="882" ht="22.5" customHeight="1">
      <c r="A882" s="5">
        <v>2.01536484502E11</v>
      </c>
      <c r="B882" s="5" t="s">
        <v>977</v>
      </c>
      <c r="C882" s="5">
        <v>51977508439</v>
      </c>
      <c r="D882" s="5" t="s">
        <v>13</v>
      </c>
      <c r="E882" s="5">
        <v>8.7547393E7</v>
      </c>
      <c r="F882" s="5" t="s">
        <v>28</v>
      </c>
      <c r="G882" s="5" t="s">
        <v>15</v>
      </c>
      <c r="H882" s="5" t="s">
        <v>69</v>
      </c>
      <c r="I882" s="6" t="s">
        <v>17</v>
      </c>
      <c r="J882" s="7" t="s">
        <v>18</v>
      </c>
      <c r="K882" s="7" t="s">
        <v>19</v>
      </c>
      <c r="L882" s="8">
        <v>1.7709971109E12</v>
      </c>
      <c r="M882" s="9"/>
      <c r="N882" s="10"/>
      <c r="O882" s="10"/>
      <c r="P882" s="10"/>
      <c r="Q882" s="10"/>
      <c r="R882" s="10"/>
      <c r="S882" s="10"/>
      <c r="T882" s="10"/>
      <c r="U882" s="10"/>
      <c r="V882" s="10"/>
    </row>
    <row r="883" ht="22.5" customHeight="1">
      <c r="A883" s="5">
        <v>2.01875416993E11</v>
      </c>
      <c r="B883" s="5" t="s">
        <v>978</v>
      </c>
      <c r="C883" s="5">
        <v>527227848183</v>
      </c>
      <c r="D883" s="5" t="s">
        <v>13</v>
      </c>
      <c r="E883" s="5">
        <v>8.0566583E7</v>
      </c>
      <c r="F883" s="5" t="s">
        <v>28</v>
      </c>
      <c r="G883" s="5" t="s">
        <v>15</v>
      </c>
      <c r="H883" s="5" t="s">
        <v>51</v>
      </c>
      <c r="I883" s="6" t="s">
        <v>63</v>
      </c>
      <c r="J883" s="7" t="s">
        <v>18</v>
      </c>
      <c r="K883" s="7" t="s">
        <v>61</v>
      </c>
      <c r="L883" s="8">
        <v>1.770998473083E12</v>
      </c>
      <c r="M883" s="9"/>
      <c r="N883" s="10"/>
      <c r="O883" s="10"/>
      <c r="P883" s="10"/>
      <c r="Q883" s="10"/>
      <c r="R883" s="10"/>
      <c r="S883" s="10"/>
      <c r="T883" s="10"/>
      <c r="U883" s="10"/>
      <c r="V883" s="10"/>
    </row>
    <row r="884" ht="22.5" customHeight="1">
      <c r="A884" s="5">
        <v>2.0204788418E11</v>
      </c>
      <c r="B884" s="5" t="s">
        <v>979</v>
      </c>
      <c r="C884" s="5">
        <v>5579998842777</v>
      </c>
      <c r="D884" s="5" t="s">
        <v>38</v>
      </c>
      <c r="E884" s="5">
        <v>7.9360573E7</v>
      </c>
      <c r="F884" s="5"/>
      <c r="G884" s="5"/>
      <c r="H884" s="5"/>
      <c r="I884" s="6"/>
      <c r="J884" s="7" t="s">
        <v>18</v>
      </c>
      <c r="K884" s="7" t="s">
        <v>45</v>
      </c>
      <c r="L884" s="8">
        <v>1.770999180672E12</v>
      </c>
      <c r="M884" s="9"/>
      <c r="N884" s="10"/>
      <c r="O884" s="10"/>
      <c r="P884" s="10"/>
      <c r="Q884" s="10"/>
      <c r="R884" s="10"/>
      <c r="S884" s="10"/>
      <c r="T884" s="10"/>
      <c r="U884" s="10"/>
      <c r="V884" s="10"/>
    </row>
    <row r="885" ht="22.5" customHeight="1">
      <c r="A885" s="5">
        <v>2.0209897662E11</v>
      </c>
      <c r="B885" s="5" t="s">
        <v>980</v>
      </c>
      <c r="C885" s="5">
        <v>528445079638</v>
      </c>
      <c r="D885" s="5" t="s">
        <v>13</v>
      </c>
      <c r="E885" s="5">
        <v>8.0566583E7</v>
      </c>
      <c r="F885" s="5" t="s">
        <v>14</v>
      </c>
      <c r="G885" s="5" t="s">
        <v>15</v>
      </c>
      <c r="H885" s="5" t="s">
        <v>51</v>
      </c>
      <c r="I885" s="6" t="s">
        <v>17</v>
      </c>
      <c r="J885" s="7" t="s">
        <v>18</v>
      </c>
      <c r="K885" s="7" t="s">
        <v>61</v>
      </c>
      <c r="L885" s="8">
        <v>1.770999434057E12</v>
      </c>
      <c r="M885" s="9"/>
      <c r="N885" s="10"/>
      <c r="O885" s="10"/>
      <c r="P885" s="10"/>
      <c r="Q885" s="10"/>
      <c r="R885" s="10"/>
      <c r="S885" s="10"/>
      <c r="T885" s="10"/>
      <c r="U885" s="10"/>
      <c r="V885" s="10"/>
    </row>
    <row r="886" ht="22.5" customHeight="1">
      <c r="A886" s="5">
        <v>2.02103932249E11</v>
      </c>
      <c r="B886" s="5" t="s">
        <v>981</v>
      </c>
      <c r="C886" s="5">
        <v>523317585469</v>
      </c>
      <c r="D886" s="5" t="s">
        <v>38</v>
      </c>
      <c r="E886" s="5">
        <v>8.0566583E7</v>
      </c>
      <c r="F886" s="5" t="s">
        <v>93</v>
      </c>
      <c r="G886" s="5" t="s">
        <v>32</v>
      </c>
      <c r="H886" s="5" t="s">
        <v>16</v>
      </c>
      <c r="I886" s="6" t="s">
        <v>17</v>
      </c>
      <c r="J886" s="7" t="s">
        <v>18</v>
      </c>
      <c r="K886" s="7" t="s">
        <v>61</v>
      </c>
      <c r="L886" s="8">
        <v>1.771000310253E12</v>
      </c>
      <c r="M886" s="9"/>
      <c r="N886" s="10"/>
      <c r="O886" s="10"/>
      <c r="P886" s="10"/>
      <c r="Q886" s="10"/>
      <c r="R886" s="10"/>
      <c r="S886" s="10"/>
      <c r="T886" s="10"/>
      <c r="U886" s="10"/>
      <c r="V886" s="10"/>
    </row>
    <row r="887" ht="22.5" customHeight="1">
      <c r="A887" s="5">
        <v>2.0213198146E11</v>
      </c>
      <c r="B887" s="5" t="s">
        <v>982</v>
      </c>
      <c r="C887" s="5">
        <v>525620460884</v>
      </c>
      <c r="D887" s="5" t="s">
        <v>13</v>
      </c>
      <c r="E887" s="5">
        <v>8.0566583E7</v>
      </c>
      <c r="F887" s="5" t="s">
        <v>714</v>
      </c>
      <c r="G887" s="5" t="s">
        <v>15</v>
      </c>
      <c r="H887" s="5" t="s">
        <v>51</v>
      </c>
      <c r="I887" s="6" t="s">
        <v>17</v>
      </c>
      <c r="J887" s="7" t="s">
        <v>34</v>
      </c>
      <c r="K887" s="7"/>
      <c r="L887" s="8">
        <v>1.771000930089E12</v>
      </c>
      <c r="M887" s="9"/>
      <c r="N887" s="10"/>
      <c r="O887" s="10"/>
      <c r="P887" s="10"/>
      <c r="Q887" s="10"/>
      <c r="R887" s="10"/>
      <c r="S887" s="10"/>
      <c r="T887" s="10"/>
      <c r="U887" s="10"/>
      <c r="V887" s="10"/>
    </row>
    <row r="888" ht="22.5" customHeight="1">
      <c r="A888" s="5">
        <v>1.93193248828E11</v>
      </c>
      <c r="B888" s="5" t="s">
        <v>983</v>
      </c>
      <c r="C888" s="5">
        <v>51944467568</v>
      </c>
      <c r="D888" s="5" t="s">
        <v>13</v>
      </c>
      <c r="E888" s="5">
        <v>8.0566583E7</v>
      </c>
      <c r="F888" s="5" t="s">
        <v>65</v>
      </c>
      <c r="G888" s="5" t="s">
        <v>32</v>
      </c>
      <c r="H888" s="5" t="s">
        <v>24</v>
      </c>
      <c r="I888" s="6" t="s">
        <v>17</v>
      </c>
      <c r="J888" s="7" t="s">
        <v>18</v>
      </c>
      <c r="K888" s="7" t="s">
        <v>19</v>
      </c>
      <c r="L888" s="8">
        <v>1.771001202251E12</v>
      </c>
      <c r="M888" s="9"/>
      <c r="N888" s="10"/>
      <c r="O888" s="10"/>
      <c r="P888" s="10"/>
      <c r="Q888" s="10"/>
      <c r="R888" s="10"/>
      <c r="S888" s="10"/>
      <c r="T888" s="10"/>
      <c r="U888" s="10"/>
      <c r="V888" s="10"/>
    </row>
    <row r="889" ht="22.5" customHeight="1">
      <c r="A889" s="5">
        <v>1.73976475163E11</v>
      </c>
      <c r="B889" s="5" t="s">
        <v>984</v>
      </c>
      <c r="C889" s="5">
        <v>51949178402</v>
      </c>
      <c r="D889" s="5" t="s">
        <v>13</v>
      </c>
      <c r="E889" s="5">
        <v>8.7547393E7</v>
      </c>
      <c r="F889" s="5" t="s">
        <v>65</v>
      </c>
      <c r="G889" s="5" t="s">
        <v>32</v>
      </c>
      <c r="H889" s="5" t="s">
        <v>16</v>
      </c>
      <c r="I889" s="6" t="s">
        <v>17</v>
      </c>
      <c r="J889" s="7" t="s">
        <v>18</v>
      </c>
      <c r="K889" s="7" t="s">
        <v>116</v>
      </c>
      <c r="L889" s="8">
        <v>1.771003756151E12</v>
      </c>
      <c r="M889" s="9"/>
      <c r="N889" s="10"/>
      <c r="O889" s="10"/>
      <c r="P889" s="10"/>
      <c r="Q889" s="10"/>
      <c r="R889" s="10"/>
      <c r="S889" s="10"/>
      <c r="T889" s="10"/>
      <c r="U889" s="10"/>
      <c r="V889" s="10"/>
    </row>
    <row r="890" ht="22.5" customHeight="1">
      <c r="A890" s="5">
        <v>1.85195423494E11</v>
      </c>
      <c r="B890" s="5" t="s">
        <v>985</v>
      </c>
      <c r="C890" s="5">
        <v>523222372633</v>
      </c>
      <c r="D890" s="5" t="s">
        <v>13</v>
      </c>
      <c r="E890" s="5">
        <v>8.7547393E7</v>
      </c>
      <c r="F890" s="5" t="s">
        <v>259</v>
      </c>
      <c r="G890" s="5" t="s">
        <v>15</v>
      </c>
      <c r="H890" s="5" t="s">
        <v>51</v>
      </c>
      <c r="I890" s="6" t="s">
        <v>17</v>
      </c>
      <c r="J890" s="7" t="s">
        <v>18</v>
      </c>
      <c r="K890" s="7" t="s">
        <v>61</v>
      </c>
      <c r="L890" s="8">
        <v>1.771005313018E12</v>
      </c>
      <c r="M890" s="9"/>
      <c r="N890" s="10"/>
      <c r="O890" s="10"/>
      <c r="P890" s="10"/>
      <c r="Q890" s="10"/>
      <c r="R890" s="10"/>
      <c r="S890" s="10"/>
      <c r="T890" s="10"/>
      <c r="U890" s="10"/>
      <c r="V890" s="10"/>
    </row>
    <row r="891" ht="22.5" customHeight="1">
      <c r="A891" s="5">
        <v>2.01865869194E11</v>
      </c>
      <c r="B891" s="5" t="s">
        <v>986</v>
      </c>
      <c r="C891" s="5">
        <v>51937058717</v>
      </c>
      <c r="D891" s="5" t="s">
        <v>13</v>
      </c>
      <c r="E891" s="5">
        <v>8.7547393E7</v>
      </c>
      <c r="F891" s="5" t="s">
        <v>28</v>
      </c>
      <c r="G891" s="5"/>
      <c r="H891" s="5"/>
      <c r="I891" s="6"/>
      <c r="J891" s="7" t="s">
        <v>34</v>
      </c>
      <c r="K891" s="7"/>
      <c r="L891" s="8">
        <v>1.771005777956E12</v>
      </c>
      <c r="M891" s="9"/>
      <c r="N891" s="10"/>
      <c r="O891" s="10"/>
      <c r="P891" s="10"/>
      <c r="Q891" s="10"/>
      <c r="R891" s="10"/>
      <c r="S891" s="10"/>
      <c r="T891" s="10"/>
      <c r="U891" s="10"/>
      <c r="V891" s="10"/>
    </row>
    <row r="892" ht="22.5" customHeight="1">
      <c r="A892" s="5">
        <v>1.6518448859E11</v>
      </c>
      <c r="B892" s="5" t="s">
        <v>987</v>
      </c>
      <c r="C892" s="5">
        <v>51978616342</v>
      </c>
      <c r="D892" s="5" t="s">
        <v>13</v>
      </c>
      <c r="E892" s="5">
        <v>8.7547393E7</v>
      </c>
      <c r="F892" s="5" t="s">
        <v>259</v>
      </c>
      <c r="G892" s="5" t="s">
        <v>15</v>
      </c>
      <c r="H892" s="5" t="s">
        <v>33</v>
      </c>
      <c r="I892" s="6" t="s">
        <v>17</v>
      </c>
      <c r="J892" s="7" t="s">
        <v>18</v>
      </c>
      <c r="K892" s="7" t="s">
        <v>116</v>
      </c>
      <c r="L892" s="8">
        <v>1.771006924234E12</v>
      </c>
      <c r="M892" s="9"/>
      <c r="N892" s="10"/>
      <c r="O892" s="10"/>
      <c r="P892" s="10"/>
      <c r="Q892" s="10"/>
      <c r="R892" s="10"/>
      <c r="S892" s="10"/>
      <c r="T892" s="10"/>
      <c r="U892" s="10"/>
      <c r="V892" s="10"/>
    </row>
    <row r="893" ht="22.5" customHeight="1">
      <c r="A893" s="5">
        <v>2.02167725863E11</v>
      </c>
      <c r="B893" s="5" t="s">
        <v>988</v>
      </c>
      <c r="C893" s="5">
        <v>51959383867</v>
      </c>
      <c r="D893" s="5" t="s">
        <v>22</v>
      </c>
      <c r="E893" s="5">
        <v>8.0566583E7</v>
      </c>
      <c r="F893" s="5" t="s">
        <v>39</v>
      </c>
      <c r="G893" s="5" t="s">
        <v>32</v>
      </c>
      <c r="H893" s="5" t="s">
        <v>33</v>
      </c>
      <c r="I893" s="6" t="s">
        <v>17</v>
      </c>
      <c r="J893" s="7" t="s">
        <v>34</v>
      </c>
      <c r="K893" s="7"/>
      <c r="L893" s="8">
        <v>1.771007619602E12</v>
      </c>
      <c r="M893" s="9"/>
      <c r="N893" s="10"/>
      <c r="O893" s="10"/>
      <c r="P893" s="10"/>
      <c r="Q893" s="10"/>
      <c r="R893" s="10"/>
      <c r="S893" s="10"/>
      <c r="T893" s="10"/>
      <c r="U893" s="10"/>
      <c r="V893" s="10"/>
    </row>
    <row r="894" ht="22.5" customHeight="1">
      <c r="A894" s="5">
        <v>2.02171212888E11</v>
      </c>
      <c r="B894" s="5" t="s">
        <v>989</v>
      </c>
      <c r="C894" s="5">
        <v>51940242998</v>
      </c>
      <c r="D894" s="5" t="s">
        <v>13</v>
      </c>
      <c r="E894" s="5">
        <v>8.0566583E7</v>
      </c>
      <c r="F894" s="5" t="s">
        <v>14</v>
      </c>
      <c r="G894" s="5">
        <v>50</v>
      </c>
      <c r="H894" s="5" t="s">
        <v>24</v>
      </c>
      <c r="I894" s="6" t="s">
        <v>17</v>
      </c>
      <c r="J894" s="7" t="s">
        <v>18</v>
      </c>
      <c r="K894" s="7" t="s">
        <v>19</v>
      </c>
      <c r="L894" s="8">
        <v>1.771007831318E12</v>
      </c>
      <c r="M894" s="9"/>
      <c r="N894" s="10"/>
      <c r="O894" s="10"/>
      <c r="P894" s="10"/>
      <c r="Q894" s="10"/>
      <c r="R894" s="10"/>
      <c r="S894" s="10"/>
      <c r="T894" s="10"/>
      <c r="U894" s="10"/>
      <c r="V894" s="10"/>
    </row>
    <row r="895" ht="22.5" customHeight="1">
      <c r="A895" s="5">
        <v>2.02172929367E11</v>
      </c>
      <c r="B895" s="5" t="s">
        <v>990</v>
      </c>
      <c r="C895" s="5">
        <v>573013148659</v>
      </c>
      <c r="D895" s="5" t="s">
        <v>13</v>
      </c>
      <c r="E895" s="5">
        <v>8.0566583E7</v>
      </c>
      <c r="F895" s="5" t="s">
        <v>39</v>
      </c>
      <c r="G895" s="5" t="s">
        <v>15</v>
      </c>
      <c r="H895" s="5" t="s">
        <v>24</v>
      </c>
      <c r="I895" s="6" t="s">
        <v>49</v>
      </c>
      <c r="J895" s="7" t="s">
        <v>34</v>
      </c>
      <c r="K895" s="7"/>
      <c r="L895" s="8">
        <v>1.771009132898E12</v>
      </c>
      <c r="M895" s="9"/>
      <c r="N895" s="10"/>
      <c r="O895" s="10"/>
      <c r="P895" s="10"/>
      <c r="Q895" s="10"/>
      <c r="R895" s="10"/>
      <c r="S895" s="10"/>
      <c r="T895" s="10"/>
      <c r="U895" s="10"/>
      <c r="V895" s="10"/>
    </row>
    <row r="896" ht="22.5" customHeight="1">
      <c r="A896" s="5">
        <v>2.02226382205E11</v>
      </c>
      <c r="B896" s="5" t="s">
        <v>991</v>
      </c>
      <c r="C896" s="5">
        <v>529995589787</v>
      </c>
      <c r="D896" s="5" t="s">
        <v>13</v>
      </c>
      <c r="E896" s="5">
        <v>8.7547393E7</v>
      </c>
      <c r="F896" s="5" t="s">
        <v>259</v>
      </c>
      <c r="G896" s="5" t="s">
        <v>15</v>
      </c>
      <c r="H896" s="5" t="s">
        <v>51</v>
      </c>
      <c r="I896" s="6" t="s">
        <v>17</v>
      </c>
      <c r="J896" s="7" t="s">
        <v>18</v>
      </c>
      <c r="K896" s="7" t="s">
        <v>61</v>
      </c>
      <c r="L896" s="8">
        <v>1.771010294808E12</v>
      </c>
      <c r="M896" s="9"/>
      <c r="N896" s="10"/>
      <c r="O896" s="10"/>
      <c r="P896" s="10"/>
      <c r="Q896" s="10"/>
      <c r="R896" s="10"/>
      <c r="S896" s="10"/>
      <c r="T896" s="10"/>
      <c r="U896" s="10"/>
      <c r="V896" s="10"/>
    </row>
    <row r="897" ht="22.5" customHeight="1">
      <c r="A897" s="5">
        <v>1.7663820705E11</v>
      </c>
      <c r="B897" s="5" t="s">
        <v>992</v>
      </c>
      <c r="C897" s="5">
        <v>51907507743</v>
      </c>
      <c r="D897" s="5" t="s">
        <v>22</v>
      </c>
      <c r="E897" s="5">
        <v>8.0566583E7</v>
      </c>
      <c r="F897" s="5" t="s">
        <v>39</v>
      </c>
      <c r="G897" s="5" t="s">
        <v>44</v>
      </c>
      <c r="H897" s="5" t="s">
        <v>24</v>
      </c>
      <c r="I897" s="6" t="s">
        <v>17</v>
      </c>
      <c r="J897" s="7" t="s">
        <v>34</v>
      </c>
      <c r="K897" s="7"/>
      <c r="L897" s="8">
        <v>1.771013769917E12</v>
      </c>
      <c r="M897" s="9"/>
      <c r="N897" s="10"/>
      <c r="O897" s="10"/>
      <c r="P897" s="10"/>
      <c r="Q897" s="10"/>
      <c r="R897" s="10"/>
      <c r="S897" s="10"/>
      <c r="T897" s="10"/>
      <c r="U897" s="10"/>
      <c r="V897" s="10"/>
    </row>
    <row r="898" ht="22.5" customHeight="1">
      <c r="A898" s="5">
        <v>1.97810462087E11</v>
      </c>
      <c r="B898" s="5" t="s">
        <v>993</v>
      </c>
      <c r="C898" s="5">
        <v>51946846114</v>
      </c>
      <c r="D898" s="5" t="s">
        <v>13</v>
      </c>
      <c r="E898" s="5">
        <v>8.7547393E7</v>
      </c>
      <c r="F898" s="5" t="s">
        <v>14</v>
      </c>
      <c r="G898" s="5">
        <v>50</v>
      </c>
      <c r="H898" s="5" t="s">
        <v>24</v>
      </c>
      <c r="I898" s="6" t="s">
        <v>36</v>
      </c>
      <c r="J898" s="7" t="s">
        <v>34</v>
      </c>
      <c r="K898" s="7"/>
      <c r="L898" s="8">
        <v>1.771014214073E12</v>
      </c>
      <c r="M898" s="9"/>
      <c r="N898" s="10"/>
      <c r="O898" s="10"/>
      <c r="P898" s="10"/>
      <c r="Q898" s="10"/>
      <c r="R898" s="10"/>
      <c r="S898" s="10"/>
      <c r="T898" s="10"/>
      <c r="U898" s="10"/>
      <c r="V898" s="10"/>
    </row>
    <row r="899" ht="22.5" customHeight="1">
      <c r="A899" s="5">
        <v>2.02232255603E11</v>
      </c>
      <c r="B899" s="5" t="s">
        <v>994</v>
      </c>
      <c r="C899" s="5">
        <v>51987255464</v>
      </c>
      <c r="D899" s="5" t="s">
        <v>13</v>
      </c>
      <c r="E899" s="5">
        <v>8.0566583E7</v>
      </c>
      <c r="F899" s="5" t="s">
        <v>259</v>
      </c>
      <c r="G899" s="5" t="s">
        <v>32</v>
      </c>
      <c r="H899" s="5" t="s">
        <v>16</v>
      </c>
      <c r="I899" s="6" t="s">
        <v>17</v>
      </c>
      <c r="J899" s="7" t="s">
        <v>34</v>
      </c>
      <c r="K899" s="7"/>
      <c r="L899" s="8">
        <v>1.771014836921E12</v>
      </c>
      <c r="M899" s="9"/>
      <c r="N899" s="10"/>
      <c r="O899" s="10"/>
      <c r="P899" s="10"/>
      <c r="Q899" s="10"/>
      <c r="R899" s="10"/>
      <c r="S899" s="10"/>
      <c r="T899" s="10"/>
      <c r="U899" s="10"/>
      <c r="V899" s="10"/>
    </row>
    <row r="900" ht="22.5" customHeight="1">
      <c r="A900" s="5">
        <v>2.02228300953E11</v>
      </c>
      <c r="B900" s="5" t="s">
        <v>995</v>
      </c>
      <c r="C900" s="5">
        <v>5585992573207</v>
      </c>
      <c r="D900" s="5" t="s">
        <v>13</v>
      </c>
      <c r="E900" s="5">
        <v>7.9360573E7</v>
      </c>
      <c r="F900" s="5" t="s">
        <v>28</v>
      </c>
      <c r="G900" s="5"/>
      <c r="H900" s="5" t="s">
        <v>16</v>
      </c>
      <c r="I900" s="6" t="s">
        <v>17</v>
      </c>
      <c r="J900" s="7" t="s">
        <v>34</v>
      </c>
      <c r="K900" s="7"/>
      <c r="L900" s="8">
        <v>1.771014850724E12</v>
      </c>
      <c r="M900" s="9"/>
      <c r="N900" s="10"/>
      <c r="O900" s="10"/>
      <c r="P900" s="10"/>
      <c r="Q900" s="10"/>
      <c r="R900" s="10"/>
      <c r="S900" s="10"/>
      <c r="T900" s="10"/>
      <c r="U900" s="10"/>
      <c r="V900" s="10"/>
    </row>
    <row r="901" ht="22.5" customHeight="1">
      <c r="A901" s="5">
        <v>2.02181307395E11</v>
      </c>
      <c r="B901" s="5" t="s">
        <v>996</v>
      </c>
      <c r="C901" s="5">
        <v>527811097997</v>
      </c>
      <c r="D901" s="5" t="s">
        <v>22</v>
      </c>
      <c r="E901" s="5">
        <v>8.7547393E7</v>
      </c>
      <c r="F901" s="5" t="s">
        <v>259</v>
      </c>
      <c r="G901" s="5" t="s">
        <v>44</v>
      </c>
      <c r="H901" s="5" t="s">
        <v>997</v>
      </c>
      <c r="I901" s="6" t="s">
        <v>17</v>
      </c>
      <c r="J901" s="7" t="s">
        <v>18</v>
      </c>
      <c r="K901" s="7" t="s">
        <v>61</v>
      </c>
      <c r="L901" s="8">
        <v>1.77101584951E12</v>
      </c>
      <c r="M901" s="9"/>
      <c r="N901" s="10"/>
      <c r="O901" s="10"/>
      <c r="P901" s="10"/>
      <c r="Q901" s="10"/>
      <c r="R901" s="10"/>
      <c r="S901" s="10"/>
      <c r="T901" s="10"/>
      <c r="U901" s="10"/>
      <c r="V901" s="10"/>
    </row>
    <row r="902" ht="22.5" customHeight="1">
      <c r="A902" s="5">
        <v>2.00210667577E11</v>
      </c>
      <c r="B902" s="5" t="s">
        <v>998</v>
      </c>
      <c r="C902" s="5">
        <v>527224457991</v>
      </c>
      <c r="D902" s="5" t="s">
        <v>13</v>
      </c>
      <c r="E902" s="5">
        <v>8.0566583E7</v>
      </c>
      <c r="F902" s="5" t="s">
        <v>82</v>
      </c>
      <c r="G902" s="5" t="s">
        <v>15</v>
      </c>
      <c r="H902" s="5" t="s">
        <v>128</v>
      </c>
      <c r="I902" s="6" t="s">
        <v>17</v>
      </c>
      <c r="J902" s="7" t="s">
        <v>34</v>
      </c>
      <c r="K902" s="7"/>
      <c r="L902" s="8">
        <v>1.771016078302E12</v>
      </c>
      <c r="M902" s="9"/>
      <c r="N902" s="10"/>
      <c r="O902" s="10"/>
      <c r="P902" s="10"/>
      <c r="Q902" s="10"/>
      <c r="R902" s="10"/>
      <c r="S902" s="10"/>
      <c r="T902" s="10"/>
      <c r="U902" s="10"/>
      <c r="V902" s="10"/>
    </row>
    <row r="903" ht="22.5" customHeight="1">
      <c r="A903" s="5">
        <v>1.71334455044E11</v>
      </c>
      <c r="B903" s="5" t="s">
        <v>999</v>
      </c>
      <c r="C903" s="5">
        <v>51990090194</v>
      </c>
      <c r="D903" s="5" t="s">
        <v>38</v>
      </c>
      <c r="E903" s="5"/>
      <c r="F903" s="5" t="s">
        <v>259</v>
      </c>
      <c r="G903" s="5" t="s">
        <v>15</v>
      </c>
      <c r="H903" s="5" t="s">
        <v>180</v>
      </c>
      <c r="I903" s="6" t="s">
        <v>17</v>
      </c>
      <c r="J903" s="7" t="s">
        <v>34</v>
      </c>
      <c r="K903" s="7"/>
      <c r="L903" s="8">
        <v>1.771016431884E12</v>
      </c>
      <c r="M903" s="9"/>
      <c r="N903" s="10"/>
      <c r="O903" s="10"/>
      <c r="P903" s="10"/>
      <c r="Q903" s="10"/>
      <c r="R903" s="10"/>
      <c r="S903" s="10"/>
      <c r="T903" s="10"/>
      <c r="U903" s="10"/>
      <c r="V903" s="10"/>
    </row>
    <row r="904" ht="22.5" customHeight="1">
      <c r="A904" s="5">
        <v>2.02198772838E11</v>
      </c>
      <c r="B904" s="5" t="s">
        <v>1000</v>
      </c>
      <c r="C904" s="5">
        <v>51930698461</v>
      </c>
      <c r="D904" s="5" t="s">
        <v>38</v>
      </c>
      <c r="E904" s="5">
        <v>8.7547393E7</v>
      </c>
      <c r="F904" s="5" t="s">
        <v>28</v>
      </c>
      <c r="G904" s="5" t="s">
        <v>15</v>
      </c>
      <c r="H904" s="5" t="s">
        <v>66</v>
      </c>
      <c r="I904" s="6" t="s">
        <v>17</v>
      </c>
      <c r="J904" s="7" t="s">
        <v>18</v>
      </c>
      <c r="K904" s="7" t="s">
        <v>19</v>
      </c>
      <c r="L904" s="8">
        <v>1.771017433197E12</v>
      </c>
      <c r="M904" s="9"/>
      <c r="N904" s="10"/>
      <c r="O904" s="10"/>
      <c r="P904" s="10"/>
      <c r="Q904" s="10"/>
      <c r="R904" s="10"/>
      <c r="S904" s="10"/>
      <c r="T904" s="10"/>
      <c r="U904" s="10"/>
      <c r="V904" s="10"/>
    </row>
    <row r="905" ht="22.5" customHeight="1">
      <c r="A905" s="5">
        <v>2.01958947948E11</v>
      </c>
      <c r="B905" s="5" t="s">
        <v>1001</v>
      </c>
      <c r="C905" s="5">
        <v>51950012052</v>
      </c>
      <c r="D905" s="5" t="s">
        <v>38</v>
      </c>
      <c r="E905" s="5">
        <v>8.0566583E7</v>
      </c>
      <c r="F905" s="5"/>
      <c r="G905" s="5"/>
      <c r="H905" s="5"/>
      <c r="I905" s="6"/>
      <c r="J905" s="7" t="s">
        <v>124</v>
      </c>
      <c r="K905" s="7" t="s">
        <v>1002</v>
      </c>
      <c r="L905" s="8">
        <v>1.771017883453E12</v>
      </c>
      <c r="M905" s="9"/>
      <c r="N905" s="10"/>
      <c r="O905" s="10"/>
      <c r="P905" s="10"/>
      <c r="Q905" s="10"/>
      <c r="R905" s="10"/>
      <c r="S905" s="10"/>
      <c r="T905" s="10"/>
      <c r="U905" s="10"/>
      <c r="V905" s="10"/>
    </row>
    <row r="906" ht="22.5" customHeight="1">
      <c r="A906" s="5">
        <v>2.02201338789E11</v>
      </c>
      <c r="B906" s="5" t="s">
        <v>1003</v>
      </c>
      <c r="C906" s="5">
        <v>51977898878</v>
      </c>
      <c r="D906" s="5" t="s">
        <v>22</v>
      </c>
      <c r="E906" s="5">
        <v>8.7547393E7</v>
      </c>
      <c r="F906" s="5" t="s">
        <v>93</v>
      </c>
      <c r="G906" s="5" t="s">
        <v>32</v>
      </c>
      <c r="H906" s="5" t="s">
        <v>33</v>
      </c>
      <c r="I906" s="6" t="s">
        <v>17</v>
      </c>
      <c r="J906" s="7" t="s">
        <v>18</v>
      </c>
      <c r="K906" s="7" t="s">
        <v>19</v>
      </c>
      <c r="L906" s="8">
        <v>1.771018139529E12</v>
      </c>
      <c r="M906" s="9"/>
      <c r="N906" s="10"/>
      <c r="O906" s="10"/>
      <c r="P906" s="10"/>
      <c r="Q906" s="10"/>
      <c r="R906" s="10"/>
      <c r="S906" s="10"/>
      <c r="T906" s="10"/>
      <c r="U906" s="10"/>
      <c r="V906" s="10"/>
    </row>
    <row r="907" ht="22.5" customHeight="1">
      <c r="A907" s="5">
        <v>2.02250472855E11</v>
      </c>
      <c r="B907" s="5" t="s">
        <v>1004</v>
      </c>
      <c r="C907" s="5">
        <v>51983050150</v>
      </c>
      <c r="D907" s="5" t="s">
        <v>13</v>
      </c>
      <c r="E907" s="5">
        <v>8.0566583E7</v>
      </c>
      <c r="F907" s="5" t="s">
        <v>65</v>
      </c>
      <c r="G907" s="5" t="s">
        <v>32</v>
      </c>
      <c r="H907" s="5" t="s">
        <v>1005</v>
      </c>
      <c r="I907" s="6" t="s">
        <v>63</v>
      </c>
      <c r="J907" s="7" t="s">
        <v>34</v>
      </c>
      <c r="K907" s="7"/>
      <c r="L907" s="8">
        <v>1.771021528691E12</v>
      </c>
      <c r="M907" s="9"/>
      <c r="N907" s="10"/>
      <c r="O907" s="10"/>
      <c r="P907" s="10"/>
      <c r="Q907" s="10"/>
      <c r="R907" s="10"/>
      <c r="S907" s="10"/>
      <c r="T907" s="10"/>
      <c r="U907" s="10"/>
      <c r="V907" s="10"/>
    </row>
    <row r="908" ht="22.5" customHeight="1">
      <c r="A908" s="5">
        <v>2.02205698069E11</v>
      </c>
      <c r="B908" s="5" t="s">
        <v>1006</v>
      </c>
      <c r="C908" s="5">
        <v>51954935690</v>
      </c>
      <c r="D908" s="5" t="s">
        <v>38</v>
      </c>
      <c r="E908" s="5">
        <v>8.0566583E7</v>
      </c>
      <c r="F908" s="5"/>
      <c r="G908" s="5"/>
      <c r="H908" s="5"/>
      <c r="I908" s="6"/>
      <c r="J908" s="7" t="s">
        <v>18</v>
      </c>
      <c r="K908" s="7" t="s">
        <v>19</v>
      </c>
      <c r="L908" s="8">
        <v>1.771022494276E12</v>
      </c>
      <c r="M908" s="9"/>
      <c r="N908" s="10"/>
      <c r="O908" s="10"/>
      <c r="P908" s="10"/>
      <c r="Q908" s="10"/>
      <c r="R908" s="10"/>
      <c r="S908" s="10"/>
      <c r="T908" s="10"/>
      <c r="U908" s="10"/>
      <c r="V908" s="10"/>
    </row>
    <row r="909" ht="22.5" customHeight="1">
      <c r="A909" s="5">
        <v>2.02250907567E11</v>
      </c>
      <c r="B909" s="5" t="s">
        <v>1007</v>
      </c>
      <c r="C909" s="5">
        <v>51977805526</v>
      </c>
      <c r="D909" s="5" t="s">
        <v>22</v>
      </c>
      <c r="E909" s="5">
        <v>8.7547393E7</v>
      </c>
      <c r="F909" s="5" t="s">
        <v>93</v>
      </c>
      <c r="G909" s="5" t="s">
        <v>44</v>
      </c>
      <c r="H909" s="5" t="s">
        <v>188</v>
      </c>
      <c r="I909" s="6" t="s">
        <v>17</v>
      </c>
      <c r="J909" s="7" t="s">
        <v>18</v>
      </c>
      <c r="K909" s="7" t="s">
        <v>19</v>
      </c>
      <c r="L909" s="8">
        <v>1.771024060905E12</v>
      </c>
      <c r="M909" s="9"/>
      <c r="N909" s="10"/>
      <c r="O909" s="10"/>
      <c r="P909" s="10"/>
      <c r="Q909" s="10"/>
      <c r="R909" s="10"/>
      <c r="S909" s="10"/>
      <c r="T909" s="10"/>
      <c r="U909" s="10"/>
      <c r="V909" s="10"/>
    </row>
    <row r="910" ht="22.5" customHeight="1">
      <c r="A910" s="5">
        <v>2.02251752476E11</v>
      </c>
      <c r="B910" s="5" t="s">
        <v>1008</v>
      </c>
      <c r="C910" s="5">
        <v>528135806963</v>
      </c>
      <c r="D910" s="5" t="s">
        <v>13</v>
      </c>
      <c r="E910" s="5">
        <v>8.0566583E7</v>
      </c>
      <c r="F910" s="5" t="s">
        <v>65</v>
      </c>
      <c r="G910" s="5" t="s">
        <v>15</v>
      </c>
      <c r="H910" s="5" t="s">
        <v>807</v>
      </c>
      <c r="I910" s="6" t="s">
        <v>17</v>
      </c>
      <c r="J910" s="7" t="s">
        <v>34</v>
      </c>
      <c r="K910" s="7"/>
      <c r="L910" s="8">
        <v>1.771024095054E12</v>
      </c>
      <c r="M910" s="9"/>
      <c r="N910" s="10"/>
      <c r="O910" s="10"/>
      <c r="P910" s="10"/>
      <c r="Q910" s="10"/>
      <c r="R910" s="10"/>
      <c r="S910" s="10"/>
      <c r="T910" s="10"/>
      <c r="U910" s="10"/>
      <c r="V910" s="10"/>
    </row>
    <row r="911" ht="22.5" customHeight="1">
      <c r="A911" s="5">
        <v>2.02251752476E11</v>
      </c>
      <c r="B911" s="5" t="s">
        <v>1008</v>
      </c>
      <c r="C911" s="5">
        <v>528135806963</v>
      </c>
      <c r="D911" s="5" t="s">
        <v>13</v>
      </c>
      <c r="E911" s="5">
        <v>8.0566583E7</v>
      </c>
      <c r="F911" s="5" t="s">
        <v>65</v>
      </c>
      <c r="G911" s="5" t="s">
        <v>15</v>
      </c>
      <c r="H911" s="5" t="s">
        <v>807</v>
      </c>
      <c r="I911" s="6" t="s">
        <v>17</v>
      </c>
      <c r="J911" s="7" t="s">
        <v>34</v>
      </c>
      <c r="K911" s="7"/>
      <c r="L911" s="8">
        <v>1.771024201986E12</v>
      </c>
      <c r="M911" s="9"/>
      <c r="N911" s="10"/>
      <c r="O911" s="10"/>
      <c r="P911" s="10"/>
      <c r="Q911" s="10"/>
      <c r="R911" s="10"/>
      <c r="S911" s="10"/>
      <c r="T911" s="10"/>
      <c r="U911" s="10"/>
      <c r="V911" s="10"/>
    </row>
    <row r="912" ht="22.5" customHeight="1">
      <c r="A912" s="5">
        <v>1.89762638462E11</v>
      </c>
      <c r="B912" s="5" t="s">
        <v>1009</v>
      </c>
      <c r="C912" s="5">
        <v>51910873515</v>
      </c>
      <c r="D912" s="5" t="s">
        <v>38</v>
      </c>
      <c r="E912" s="5"/>
      <c r="F912" s="5"/>
      <c r="G912" s="5"/>
      <c r="H912" s="5"/>
      <c r="I912" s="6"/>
      <c r="J912" s="7" t="s">
        <v>34</v>
      </c>
      <c r="K912" s="7"/>
      <c r="L912" s="8">
        <v>1.77102706945E12</v>
      </c>
      <c r="M912" s="9"/>
      <c r="N912" s="10"/>
      <c r="O912" s="10"/>
      <c r="P912" s="10"/>
      <c r="Q912" s="10"/>
      <c r="R912" s="10"/>
      <c r="S912" s="10"/>
      <c r="T912" s="10"/>
      <c r="U912" s="10"/>
      <c r="V912" s="10"/>
    </row>
    <row r="913" ht="22.5" customHeight="1">
      <c r="A913" s="5">
        <v>2.02214871383E11</v>
      </c>
      <c r="B913" s="5" t="s">
        <v>1010</v>
      </c>
      <c r="C913" s="5">
        <v>526694651318</v>
      </c>
      <c r="D913" s="5" t="s">
        <v>22</v>
      </c>
      <c r="E913" s="5">
        <v>8.7547393E7</v>
      </c>
      <c r="F913" s="5" t="s">
        <v>82</v>
      </c>
      <c r="G913" s="5" t="s">
        <v>79</v>
      </c>
      <c r="H913" s="5" t="s">
        <v>16</v>
      </c>
      <c r="I913" s="6" t="s">
        <v>17</v>
      </c>
      <c r="J913" s="7" t="s">
        <v>34</v>
      </c>
      <c r="K913" s="7"/>
      <c r="L913" s="8">
        <v>1.771027590872E12</v>
      </c>
      <c r="M913" s="9"/>
      <c r="N913" s="10"/>
      <c r="O913" s="10"/>
      <c r="P913" s="10"/>
      <c r="Q913" s="10"/>
      <c r="R913" s="10"/>
      <c r="S913" s="10"/>
      <c r="T913" s="10"/>
      <c r="U913" s="10"/>
      <c r="V913" s="10"/>
    </row>
    <row r="914" ht="22.5" customHeight="1">
      <c r="A914" s="5">
        <v>2.00847066725E11</v>
      </c>
      <c r="B914" s="5" t="s">
        <v>1011</v>
      </c>
      <c r="C914" s="5">
        <v>527716244802</v>
      </c>
      <c r="D914" s="5" t="s">
        <v>13</v>
      </c>
      <c r="E914" s="5">
        <v>8.0566583E7</v>
      </c>
      <c r="F914" s="5" t="s">
        <v>259</v>
      </c>
      <c r="G914" s="5" t="s">
        <v>15</v>
      </c>
      <c r="H914" s="5" t="s">
        <v>51</v>
      </c>
      <c r="I914" s="6"/>
      <c r="J914" s="7" t="s">
        <v>34</v>
      </c>
      <c r="K914" s="7"/>
      <c r="L914" s="8">
        <v>1.77102787441E12</v>
      </c>
      <c r="M914" s="9"/>
      <c r="N914" s="10"/>
      <c r="O914" s="10"/>
      <c r="P914" s="10"/>
      <c r="Q914" s="10"/>
      <c r="R914" s="10"/>
      <c r="S914" s="10"/>
      <c r="T914" s="10"/>
      <c r="U914" s="10"/>
      <c r="V914" s="10"/>
    </row>
    <row r="915" ht="22.5" customHeight="1">
      <c r="A915" s="5">
        <v>2.02258676854E11</v>
      </c>
      <c r="B915" s="5" t="s">
        <v>1012</v>
      </c>
      <c r="C915" s="5">
        <v>51916482844</v>
      </c>
      <c r="D915" s="5" t="s">
        <v>13</v>
      </c>
      <c r="E915" s="5">
        <v>8.7547393E7</v>
      </c>
      <c r="F915" s="5" t="s">
        <v>39</v>
      </c>
      <c r="G915" s="5" t="s">
        <v>15</v>
      </c>
      <c r="H915" s="5" t="s">
        <v>16</v>
      </c>
      <c r="I915" s="6" t="s">
        <v>17</v>
      </c>
      <c r="J915" s="7" t="s">
        <v>18</v>
      </c>
      <c r="K915" s="7" t="s">
        <v>19</v>
      </c>
      <c r="L915" s="8">
        <v>1.771030613148E12</v>
      </c>
      <c r="M915" s="9"/>
      <c r="N915" s="10"/>
      <c r="O915" s="10"/>
      <c r="P915" s="10"/>
      <c r="Q915" s="10"/>
      <c r="R915" s="10"/>
      <c r="S915" s="10"/>
      <c r="T915" s="10"/>
      <c r="U915" s="10"/>
      <c r="V915" s="10"/>
    </row>
    <row r="916" ht="22.5" customHeight="1">
      <c r="A916" s="5">
        <v>1.98885610678E11</v>
      </c>
      <c r="B916" s="5" t="s">
        <v>1013</v>
      </c>
      <c r="C916" s="5">
        <v>51962814231</v>
      </c>
      <c r="D916" s="5" t="s">
        <v>38</v>
      </c>
      <c r="E916" s="5">
        <v>8.0566583E7</v>
      </c>
      <c r="F916" s="5" t="s">
        <v>510</v>
      </c>
      <c r="G916" s="5" t="s">
        <v>15</v>
      </c>
      <c r="H916" s="5" t="s">
        <v>51</v>
      </c>
      <c r="I916" s="6" t="s">
        <v>17</v>
      </c>
      <c r="J916" s="7" t="s">
        <v>18</v>
      </c>
      <c r="K916" s="7" t="s">
        <v>19</v>
      </c>
      <c r="L916" s="8">
        <v>1.771031652336E12</v>
      </c>
      <c r="M916" s="9"/>
      <c r="N916" s="10"/>
      <c r="O916" s="10"/>
      <c r="P916" s="10"/>
      <c r="Q916" s="10"/>
      <c r="R916" s="10"/>
      <c r="S916" s="10"/>
      <c r="T916" s="10"/>
      <c r="U916" s="10"/>
      <c r="V916" s="10"/>
    </row>
    <row r="917" ht="22.5" customHeight="1">
      <c r="A917" s="5">
        <v>1.85009469722E11</v>
      </c>
      <c r="B917" s="5" t="s">
        <v>1014</v>
      </c>
      <c r="C917" s="5">
        <v>51950397578</v>
      </c>
      <c r="D917" s="5" t="s">
        <v>38</v>
      </c>
      <c r="E917" s="5"/>
      <c r="F917" s="5" t="s">
        <v>28</v>
      </c>
      <c r="G917" s="5" t="s">
        <v>15</v>
      </c>
      <c r="H917" s="5" t="s">
        <v>24</v>
      </c>
      <c r="I917" s="6" t="s">
        <v>36</v>
      </c>
      <c r="J917" s="7" t="s">
        <v>18</v>
      </c>
      <c r="K917" s="7" t="s">
        <v>19</v>
      </c>
      <c r="L917" s="8">
        <v>1.771033102353E12</v>
      </c>
      <c r="M917" s="9"/>
      <c r="N917" s="10"/>
      <c r="O917" s="10"/>
      <c r="P917" s="10"/>
      <c r="Q917" s="10"/>
      <c r="R917" s="10"/>
      <c r="S917" s="10"/>
      <c r="T917" s="10"/>
      <c r="U917" s="10"/>
      <c r="V917" s="10"/>
    </row>
    <row r="918" ht="22.5" customHeight="1">
      <c r="A918" s="5">
        <v>2.02222835826E11</v>
      </c>
      <c r="B918" s="5" t="s">
        <v>1015</v>
      </c>
      <c r="C918" s="5">
        <v>5594984517772</v>
      </c>
      <c r="D918" s="5" t="s">
        <v>13</v>
      </c>
      <c r="E918" s="5">
        <v>7.9360573E7</v>
      </c>
      <c r="F918" s="5" t="s">
        <v>28</v>
      </c>
      <c r="G918" s="5" t="s">
        <v>15</v>
      </c>
      <c r="H918" s="5" t="s">
        <v>66</v>
      </c>
      <c r="I918" s="6" t="s">
        <v>17</v>
      </c>
      <c r="J918" s="7" t="s">
        <v>34</v>
      </c>
      <c r="K918" s="7"/>
      <c r="L918" s="8">
        <v>1.771034605275E12</v>
      </c>
      <c r="M918" s="9"/>
      <c r="N918" s="10"/>
      <c r="O918" s="10"/>
      <c r="P918" s="10"/>
      <c r="Q918" s="10"/>
      <c r="R918" s="10"/>
      <c r="S918" s="10"/>
      <c r="T918" s="10"/>
      <c r="U918" s="10"/>
      <c r="V918" s="10"/>
    </row>
    <row r="919" ht="22.5" customHeight="1">
      <c r="A919" s="5">
        <v>2.02223095216E11</v>
      </c>
      <c r="B919" s="5" t="s">
        <v>1016</v>
      </c>
      <c r="C919" s="5">
        <v>526676027203</v>
      </c>
      <c r="D919" s="5" t="s">
        <v>13</v>
      </c>
      <c r="E919" s="5">
        <v>8.0566583E7</v>
      </c>
      <c r="F919" s="5" t="s">
        <v>28</v>
      </c>
      <c r="G919" s="5" t="s">
        <v>15</v>
      </c>
      <c r="H919" s="5" t="s">
        <v>114</v>
      </c>
      <c r="I919" s="6" t="s">
        <v>17</v>
      </c>
      <c r="J919" s="7" t="s">
        <v>34</v>
      </c>
      <c r="K919" s="7"/>
      <c r="L919" s="8">
        <v>1.771035417495E12</v>
      </c>
      <c r="M919" s="9"/>
      <c r="N919" s="10"/>
      <c r="O919" s="10"/>
      <c r="P919" s="10"/>
      <c r="Q919" s="10"/>
      <c r="R919" s="10"/>
      <c r="S919" s="10"/>
      <c r="T919" s="10"/>
      <c r="U919" s="10"/>
      <c r="V919" s="10"/>
    </row>
    <row r="920" ht="22.5" customHeight="1">
      <c r="A920" s="5">
        <v>2.02271272882E11</v>
      </c>
      <c r="B920" s="5" t="s">
        <v>1017</v>
      </c>
      <c r="C920" s="5">
        <v>51984158466</v>
      </c>
      <c r="D920" s="5" t="s">
        <v>38</v>
      </c>
      <c r="E920" s="5">
        <v>8.7547393E7</v>
      </c>
      <c r="F920" s="5"/>
      <c r="G920" s="5"/>
      <c r="H920" s="5"/>
      <c r="I920" s="6"/>
      <c r="J920" s="7" t="s">
        <v>18</v>
      </c>
      <c r="K920" s="7" t="s">
        <v>19</v>
      </c>
      <c r="L920" s="8">
        <v>1.771035981114E12</v>
      </c>
      <c r="M920" s="9"/>
      <c r="N920" s="10"/>
      <c r="O920" s="10"/>
      <c r="P920" s="10"/>
      <c r="Q920" s="10"/>
      <c r="R920" s="10"/>
      <c r="S920" s="10"/>
      <c r="T920" s="10"/>
      <c r="U920" s="10"/>
      <c r="V920" s="10"/>
    </row>
    <row r="921" ht="22.5" customHeight="1">
      <c r="A921" s="5">
        <v>2.02271272882E11</v>
      </c>
      <c r="B921" s="5" t="s">
        <v>1017</v>
      </c>
      <c r="C921" s="5">
        <v>51984158466</v>
      </c>
      <c r="D921" s="5" t="s">
        <v>38</v>
      </c>
      <c r="E921" s="5">
        <v>8.7547393E7</v>
      </c>
      <c r="F921" s="5"/>
      <c r="G921" s="5"/>
      <c r="H921" s="5"/>
      <c r="I921" s="6"/>
      <c r="J921" s="7" t="s">
        <v>18</v>
      </c>
      <c r="K921" s="7" t="s">
        <v>19</v>
      </c>
      <c r="L921" s="8">
        <v>1.771036077598E12</v>
      </c>
      <c r="M921" s="9"/>
      <c r="N921" s="10"/>
      <c r="O921" s="10"/>
      <c r="P921" s="10"/>
      <c r="Q921" s="10"/>
      <c r="R921" s="10"/>
      <c r="S921" s="10"/>
      <c r="T921" s="10"/>
      <c r="U921" s="10"/>
      <c r="V921" s="10"/>
    </row>
    <row r="922" ht="22.5" customHeight="1">
      <c r="A922" s="5">
        <v>2.02270425225E11</v>
      </c>
      <c r="B922" s="5" t="s">
        <v>1018</v>
      </c>
      <c r="C922" s="5">
        <v>51931125880</v>
      </c>
      <c r="D922" s="5" t="s">
        <v>38</v>
      </c>
      <c r="E922" s="5">
        <v>8.0566583E7</v>
      </c>
      <c r="F922" s="5"/>
      <c r="G922" s="5"/>
      <c r="H922" s="5"/>
      <c r="I922" s="6"/>
      <c r="J922" s="7" t="s">
        <v>18</v>
      </c>
      <c r="K922" s="7" t="s">
        <v>19</v>
      </c>
      <c r="L922" s="8">
        <v>1.771036397998E12</v>
      </c>
      <c r="M922" s="9"/>
      <c r="N922" s="10"/>
      <c r="O922" s="10"/>
      <c r="P922" s="10"/>
      <c r="Q922" s="10"/>
      <c r="R922" s="10"/>
      <c r="S922" s="10"/>
      <c r="T922" s="10"/>
      <c r="U922" s="10"/>
      <c r="V922" s="10"/>
    </row>
    <row r="923" ht="22.5" customHeight="1">
      <c r="A923" s="5">
        <v>2.02222490008E11</v>
      </c>
      <c r="B923" s="5" t="s">
        <v>1019</v>
      </c>
      <c r="C923" s="5">
        <v>51931022649</v>
      </c>
      <c r="D923" s="5" t="s">
        <v>13</v>
      </c>
      <c r="E923" s="5">
        <v>8.7547393E7</v>
      </c>
      <c r="F923" s="5" t="s">
        <v>14</v>
      </c>
      <c r="G923" s="5" t="s">
        <v>15</v>
      </c>
      <c r="H923" s="5" t="s">
        <v>16</v>
      </c>
      <c r="I923" s="6" t="s">
        <v>17</v>
      </c>
      <c r="J923" s="7" t="s">
        <v>34</v>
      </c>
      <c r="K923" s="7"/>
      <c r="L923" s="8">
        <v>1.771036632949E12</v>
      </c>
      <c r="M923" s="9"/>
      <c r="N923" s="10"/>
      <c r="O923" s="10"/>
      <c r="P923" s="10"/>
      <c r="Q923" s="10"/>
      <c r="R923" s="10"/>
      <c r="S923" s="10"/>
      <c r="T923" s="10"/>
      <c r="U923" s="10"/>
      <c r="V923" s="10"/>
    </row>
    <row r="924" ht="22.5" customHeight="1">
      <c r="A924" s="5">
        <v>2.0222012425E11</v>
      </c>
      <c r="B924" s="5" t="s">
        <v>1020</v>
      </c>
      <c r="C924" s="5">
        <v>523141024780</v>
      </c>
      <c r="D924" s="5" t="s">
        <v>13</v>
      </c>
      <c r="E924" s="5">
        <v>8.0566583E7</v>
      </c>
      <c r="F924" s="5" t="s">
        <v>28</v>
      </c>
      <c r="G924" s="5" t="s">
        <v>15</v>
      </c>
      <c r="H924" s="5" t="s">
        <v>66</v>
      </c>
      <c r="I924" s="6" t="s">
        <v>36</v>
      </c>
      <c r="J924" s="7" t="s">
        <v>18</v>
      </c>
      <c r="K924" s="7" t="s">
        <v>61</v>
      </c>
      <c r="L924" s="8">
        <v>1.771036633014E12</v>
      </c>
      <c r="M924" s="9"/>
      <c r="N924" s="10"/>
      <c r="O924" s="10"/>
      <c r="P924" s="10"/>
      <c r="Q924" s="10"/>
      <c r="R924" s="10"/>
      <c r="S924" s="10"/>
      <c r="T924" s="10"/>
      <c r="U924" s="10"/>
      <c r="V924" s="10"/>
    </row>
    <row r="925" ht="22.5" customHeight="1">
      <c r="A925" s="5">
        <v>2.0227216103E11</v>
      </c>
      <c r="B925" s="5" t="s">
        <v>1021</v>
      </c>
      <c r="C925" s="5">
        <v>51944653401</v>
      </c>
      <c r="D925" s="5" t="s">
        <v>13</v>
      </c>
      <c r="E925" s="5">
        <v>8.0566583E7</v>
      </c>
      <c r="F925" s="5" t="s">
        <v>39</v>
      </c>
      <c r="G925" s="5" t="s">
        <v>15</v>
      </c>
      <c r="H925" s="5" t="s">
        <v>66</v>
      </c>
      <c r="I925" s="6" t="s">
        <v>17</v>
      </c>
      <c r="J925" s="7" t="s">
        <v>18</v>
      </c>
      <c r="K925" s="7" t="s">
        <v>19</v>
      </c>
      <c r="L925" s="8">
        <v>1.771038106805E12</v>
      </c>
      <c r="M925" s="9"/>
      <c r="N925" s="10"/>
      <c r="O925" s="10"/>
      <c r="P925" s="10"/>
      <c r="Q925" s="10"/>
      <c r="R925" s="10"/>
      <c r="S925" s="10"/>
      <c r="T925" s="10"/>
      <c r="U925" s="10"/>
      <c r="V925" s="10"/>
    </row>
    <row r="926" ht="22.5" customHeight="1">
      <c r="A926" s="5">
        <v>2.02266879253E11</v>
      </c>
      <c r="B926" s="5" t="s">
        <v>1022</v>
      </c>
      <c r="C926" s="5">
        <v>51952382973</v>
      </c>
      <c r="D926" s="5" t="s">
        <v>13</v>
      </c>
      <c r="E926" s="5">
        <v>8.0566583E7</v>
      </c>
      <c r="F926" s="5" t="s">
        <v>42</v>
      </c>
      <c r="G926" s="5" t="s">
        <v>15</v>
      </c>
      <c r="H926" s="5" t="s">
        <v>24</v>
      </c>
      <c r="I926" s="6" t="s">
        <v>17</v>
      </c>
      <c r="J926" s="7" t="s">
        <v>25</v>
      </c>
      <c r="K926" s="7"/>
      <c r="L926" s="8">
        <v>1.771039578196E12</v>
      </c>
      <c r="M926" s="9"/>
      <c r="N926" s="10"/>
      <c r="O926" s="10"/>
      <c r="P926" s="10"/>
      <c r="Q926" s="10"/>
      <c r="R926" s="10"/>
      <c r="S926" s="10"/>
      <c r="T926" s="10"/>
      <c r="U926" s="10"/>
      <c r="V926" s="10"/>
    </row>
    <row r="927" ht="22.5" customHeight="1">
      <c r="A927" s="5">
        <v>2.0227563358E11</v>
      </c>
      <c r="B927" s="5" t="s">
        <v>1023</v>
      </c>
      <c r="C927" s="5">
        <v>51980969293</v>
      </c>
      <c r="D927" s="5" t="s">
        <v>13</v>
      </c>
      <c r="E927" s="5">
        <v>8.7547393E7</v>
      </c>
      <c r="F927" s="5" t="s">
        <v>14</v>
      </c>
      <c r="G927" s="5" t="s">
        <v>15</v>
      </c>
      <c r="H927" s="5" t="s">
        <v>24</v>
      </c>
      <c r="I927" s="6"/>
      <c r="J927" s="7" t="s">
        <v>18</v>
      </c>
      <c r="K927" s="7" t="s">
        <v>19</v>
      </c>
      <c r="L927" s="8">
        <v>1.771042565015E12</v>
      </c>
      <c r="M927" s="9"/>
      <c r="N927" s="10"/>
      <c r="O927" s="10"/>
      <c r="P927" s="10"/>
      <c r="Q927" s="10"/>
      <c r="R927" s="10"/>
      <c r="S927" s="10"/>
      <c r="T927" s="10"/>
      <c r="U927" s="10"/>
      <c r="V927" s="10"/>
    </row>
    <row r="928" ht="22.5" customHeight="1">
      <c r="A928" s="5">
        <v>2.02277213207E11</v>
      </c>
      <c r="B928" s="5" t="s">
        <v>1024</v>
      </c>
      <c r="C928" s="5">
        <v>51921367410</v>
      </c>
      <c r="D928" s="5" t="s">
        <v>13</v>
      </c>
      <c r="E928" s="5">
        <v>8.7547393E7</v>
      </c>
      <c r="F928" s="5" t="s">
        <v>28</v>
      </c>
      <c r="G928" s="5" t="s">
        <v>15</v>
      </c>
      <c r="H928" s="5" t="s">
        <v>66</v>
      </c>
      <c r="I928" s="6" t="s">
        <v>36</v>
      </c>
      <c r="J928" s="7" t="s">
        <v>18</v>
      </c>
      <c r="K928" s="7" t="s">
        <v>19</v>
      </c>
      <c r="L928" s="8">
        <v>1.771042720419E12</v>
      </c>
      <c r="M928" s="9"/>
      <c r="N928" s="10"/>
      <c r="O928" s="10"/>
      <c r="P928" s="10"/>
      <c r="Q928" s="10"/>
      <c r="R928" s="10"/>
      <c r="S928" s="10"/>
      <c r="T928" s="10"/>
      <c r="U928" s="10"/>
      <c r="V928" s="10"/>
    </row>
    <row r="929" ht="22.5" customHeight="1">
      <c r="A929" s="5">
        <v>2.02279422905E11</v>
      </c>
      <c r="B929" s="5" t="s">
        <v>1025</v>
      </c>
      <c r="C929" s="5">
        <v>5535998632886</v>
      </c>
      <c r="D929" s="5" t="s">
        <v>13</v>
      </c>
      <c r="E929" s="5">
        <v>7.9360573E7</v>
      </c>
      <c r="F929" s="5" t="s">
        <v>259</v>
      </c>
      <c r="G929" s="5" t="s">
        <v>15</v>
      </c>
      <c r="H929" s="5" t="s">
        <v>16</v>
      </c>
      <c r="I929" s="6" t="s">
        <v>17</v>
      </c>
      <c r="J929" s="7" t="s">
        <v>34</v>
      </c>
      <c r="K929" s="7"/>
      <c r="L929" s="8">
        <v>1.771044717792E12</v>
      </c>
      <c r="M929" s="9"/>
      <c r="N929" s="10"/>
      <c r="O929" s="10"/>
      <c r="P929" s="10"/>
      <c r="Q929" s="10"/>
      <c r="R929" s="10"/>
      <c r="S929" s="10"/>
      <c r="T929" s="10"/>
      <c r="U929" s="10"/>
      <c r="V929" s="10"/>
    </row>
    <row r="930" ht="22.5" customHeight="1">
      <c r="A930" s="5">
        <v>2.02277489063E11</v>
      </c>
      <c r="B930" s="5" t="s">
        <v>1026</v>
      </c>
      <c r="C930" s="5">
        <v>525527273937</v>
      </c>
      <c r="D930" s="5" t="s">
        <v>22</v>
      </c>
      <c r="E930" s="5">
        <v>8.0566583E7</v>
      </c>
      <c r="F930" s="5" t="s">
        <v>93</v>
      </c>
      <c r="G930" s="5" t="s">
        <v>32</v>
      </c>
      <c r="H930" s="5" t="s">
        <v>16</v>
      </c>
      <c r="I930" s="6" t="s">
        <v>17</v>
      </c>
      <c r="J930" s="7" t="s">
        <v>18</v>
      </c>
      <c r="K930" s="7" t="s">
        <v>61</v>
      </c>
      <c r="L930" s="8">
        <v>1.771045027043E12</v>
      </c>
      <c r="M930" s="9"/>
      <c r="N930" s="10"/>
      <c r="O930" s="10"/>
      <c r="P930" s="10"/>
      <c r="Q930" s="10"/>
      <c r="R930" s="10"/>
      <c r="S930" s="10"/>
      <c r="T930" s="10"/>
      <c r="U930" s="10"/>
      <c r="V930" s="10"/>
    </row>
    <row r="931" ht="22.5" customHeight="1">
      <c r="A931" s="5">
        <v>2.02293186186E11</v>
      </c>
      <c r="B931" s="5" t="s">
        <v>1027</v>
      </c>
      <c r="C931" s="5">
        <v>526632132340</v>
      </c>
      <c r="D931" s="5" t="s">
        <v>13</v>
      </c>
      <c r="E931" s="5">
        <v>8.7547393E7</v>
      </c>
      <c r="F931" s="5" t="s">
        <v>39</v>
      </c>
      <c r="G931" s="5" t="s">
        <v>15</v>
      </c>
      <c r="H931" s="5" t="s">
        <v>51</v>
      </c>
      <c r="I931" s="6" t="s">
        <v>17</v>
      </c>
      <c r="J931" s="7" t="s">
        <v>18</v>
      </c>
      <c r="K931" s="7" t="s">
        <v>61</v>
      </c>
      <c r="L931" s="8">
        <v>1.771046327347E12</v>
      </c>
      <c r="M931" s="9"/>
      <c r="N931" s="10"/>
      <c r="O931" s="10"/>
      <c r="P931" s="10"/>
      <c r="Q931" s="10"/>
      <c r="R931" s="10"/>
      <c r="S931" s="10"/>
      <c r="T931" s="10"/>
      <c r="U931" s="10"/>
      <c r="V931" s="10"/>
    </row>
    <row r="932" ht="22.5" customHeight="1">
      <c r="A932" s="5">
        <v>2.0229491134E11</v>
      </c>
      <c r="B932" s="5" t="s">
        <v>1028</v>
      </c>
      <c r="C932" s="5">
        <v>525613019732</v>
      </c>
      <c r="D932" s="5" t="s">
        <v>13</v>
      </c>
      <c r="E932" s="5">
        <v>8.7547393E7</v>
      </c>
      <c r="F932" s="5" t="s">
        <v>14</v>
      </c>
      <c r="G932" s="5" t="s">
        <v>15</v>
      </c>
      <c r="H932" s="5" t="s">
        <v>51</v>
      </c>
      <c r="I932" s="6" t="s">
        <v>17</v>
      </c>
      <c r="J932" s="7" t="s">
        <v>34</v>
      </c>
      <c r="K932" s="7"/>
      <c r="L932" s="8">
        <v>1.771047936791E12</v>
      </c>
      <c r="M932" s="9"/>
      <c r="N932" s="10"/>
      <c r="O932" s="10"/>
      <c r="P932" s="10"/>
      <c r="Q932" s="10"/>
      <c r="R932" s="10"/>
      <c r="S932" s="10"/>
      <c r="T932" s="10"/>
      <c r="U932" s="10"/>
      <c r="V932" s="10"/>
    </row>
    <row r="933" ht="22.5" customHeight="1">
      <c r="A933" s="5">
        <v>2.02294420148E11</v>
      </c>
      <c r="B933" s="5" t="s">
        <v>1029</v>
      </c>
      <c r="C933" s="5">
        <v>51992253417</v>
      </c>
      <c r="D933" s="5" t="s">
        <v>22</v>
      </c>
      <c r="E933" s="5">
        <v>8.7547393E7</v>
      </c>
      <c r="F933" s="5" t="s">
        <v>259</v>
      </c>
      <c r="G933" s="5" t="s">
        <v>44</v>
      </c>
      <c r="H933" s="5" t="s">
        <v>74</v>
      </c>
      <c r="I933" s="6" t="s">
        <v>89</v>
      </c>
      <c r="J933" s="7" t="s">
        <v>18</v>
      </c>
      <c r="K933" s="7" t="s">
        <v>19</v>
      </c>
      <c r="L933" s="8">
        <v>1.771047968312E12</v>
      </c>
      <c r="M933" s="9"/>
      <c r="N933" s="10"/>
      <c r="O933" s="10"/>
      <c r="P933" s="10"/>
      <c r="Q933" s="10"/>
      <c r="R933" s="10"/>
      <c r="S933" s="10"/>
      <c r="T933" s="10"/>
      <c r="U933" s="10"/>
      <c r="V933" s="10"/>
    </row>
    <row r="934" ht="22.5" customHeight="1">
      <c r="A934" s="5">
        <v>2.02294419293E11</v>
      </c>
      <c r="B934" s="5" t="s">
        <v>1030</v>
      </c>
      <c r="C934" s="5">
        <v>526469478539</v>
      </c>
      <c r="D934" s="5" t="s">
        <v>38</v>
      </c>
      <c r="E934" s="5">
        <v>8.0566583E7</v>
      </c>
      <c r="F934" s="5" t="s">
        <v>28</v>
      </c>
      <c r="G934" s="5" t="s">
        <v>32</v>
      </c>
      <c r="H934" s="5" t="s">
        <v>16</v>
      </c>
      <c r="I934" s="6" t="s">
        <v>17</v>
      </c>
      <c r="J934" s="7" t="s">
        <v>18</v>
      </c>
      <c r="K934" s="7" t="s">
        <v>61</v>
      </c>
      <c r="L934" s="8">
        <v>1.771048135397E12</v>
      </c>
      <c r="M934" s="9"/>
      <c r="N934" s="10"/>
      <c r="O934" s="10"/>
      <c r="P934" s="10"/>
      <c r="Q934" s="10"/>
      <c r="R934" s="10"/>
      <c r="S934" s="10"/>
      <c r="T934" s="10"/>
      <c r="U934" s="10"/>
      <c r="V934" s="10"/>
    </row>
    <row r="935" ht="22.5" customHeight="1">
      <c r="A935" s="5">
        <v>1.8898565972E11</v>
      </c>
      <c r="B935" s="5" t="s">
        <v>1031</v>
      </c>
      <c r="C935" s="5">
        <v>51942756354</v>
      </c>
      <c r="D935" s="5" t="s">
        <v>13</v>
      </c>
      <c r="E935" s="5">
        <v>8.0566583E7</v>
      </c>
      <c r="F935" s="5" t="s">
        <v>28</v>
      </c>
      <c r="G935" s="5" t="s">
        <v>32</v>
      </c>
      <c r="H935" s="5" t="s">
        <v>24</v>
      </c>
      <c r="I935" s="6" t="s">
        <v>17</v>
      </c>
      <c r="J935" s="7" t="s">
        <v>18</v>
      </c>
      <c r="K935" s="7" t="s">
        <v>19</v>
      </c>
      <c r="L935" s="8">
        <v>1.771048543223E12</v>
      </c>
      <c r="M935" s="9"/>
      <c r="N935" s="10"/>
      <c r="O935" s="10"/>
      <c r="P935" s="10"/>
      <c r="Q935" s="10"/>
      <c r="R935" s="10"/>
      <c r="S935" s="10"/>
      <c r="T935" s="10"/>
      <c r="U935" s="10"/>
      <c r="V935" s="10"/>
    </row>
    <row r="936" ht="22.5" customHeight="1">
      <c r="A936" s="5">
        <v>2.02281553328E11</v>
      </c>
      <c r="B936" s="5" t="s">
        <v>1032</v>
      </c>
      <c r="C936" s="5">
        <v>526564610445</v>
      </c>
      <c r="D936" s="5" t="s">
        <v>103</v>
      </c>
      <c r="E936" s="5">
        <v>8.0566583E7</v>
      </c>
      <c r="F936" s="5" t="s">
        <v>39</v>
      </c>
      <c r="G936" s="5" t="s">
        <v>104</v>
      </c>
      <c r="H936" s="5" t="s">
        <v>114</v>
      </c>
      <c r="I936" s="6" t="s">
        <v>17</v>
      </c>
      <c r="J936" s="7" t="s">
        <v>34</v>
      </c>
      <c r="K936" s="7"/>
      <c r="L936" s="8">
        <v>1.771048599446E12</v>
      </c>
      <c r="M936" s="9"/>
      <c r="N936" s="10"/>
      <c r="O936" s="10"/>
      <c r="P936" s="10"/>
      <c r="Q936" s="10"/>
      <c r="R936" s="10"/>
      <c r="S936" s="10"/>
      <c r="T936" s="10"/>
      <c r="U936" s="10"/>
      <c r="V936" s="10"/>
    </row>
    <row r="937" ht="22.5" customHeight="1">
      <c r="A937" s="5">
        <v>2.02281553328E11</v>
      </c>
      <c r="B937" s="5" t="s">
        <v>1032</v>
      </c>
      <c r="C937" s="5">
        <v>526564610445</v>
      </c>
      <c r="D937" s="5" t="s">
        <v>103</v>
      </c>
      <c r="E937" s="5">
        <v>8.0566583E7</v>
      </c>
      <c r="F937" s="5" t="s">
        <v>39</v>
      </c>
      <c r="G937" s="5" t="s">
        <v>104</v>
      </c>
      <c r="H937" s="5" t="s">
        <v>114</v>
      </c>
      <c r="I937" s="6" t="s">
        <v>17</v>
      </c>
      <c r="J937" s="7" t="s">
        <v>34</v>
      </c>
      <c r="K937" s="7"/>
      <c r="L937" s="8">
        <v>1.771049050646E12</v>
      </c>
      <c r="M937" s="9"/>
      <c r="N937" s="10"/>
      <c r="O937" s="10"/>
      <c r="P937" s="10"/>
      <c r="Q937" s="10"/>
      <c r="R937" s="10"/>
      <c r="S937" s="10"/>
      <c r="T937" s="10"/>
      <c r="U937" s="10"/>
      <c r="V937" s="10"/>
    </row>
    <row r="938" ht="22.5" customHeight="1">
      <c r="A938" s="5">
        <v>2.02282220897E11</v>
      </c>
      <c r="B938" s="5" t="s">
        <v>1033</v>
      </c>
      <c r="C938" s="5">
        <v>51989519170</v>
      </c>
      <c r="D938" s="5" t="s">
        <v>38</v>
      </c>
      <c r="E938" s="5">
        <v>8.7547393E7</v>
      </c>
      <c r="F938" s="5"/>
      <c r="G938" s="5"/>
      <c r="H938" s="5"/>
      <c r="I938" s="6"/>
      <c r="J938" s="7" t="s">
        <v>25</v>
      </c>
      <c r="K938" s="7" t="s">
        <v>26</v>
      </c>
      <c r="L938" s="8">
        <v>1.771049502308E12</v>
      </c>
      <c r="M938" s="9"/>
      <c r="N938" s="10"/>
      <c r="O938" s="10"/>
      <c r="P938" s="10"/>
      <c r="Q938" s="10"/>
      <c r="R938" s="10"/>
      <c r="S938" s="10"/>
      <c r="T938" s="10"/>
      <c r="U938" s="10"/>
      <c r="V938" s="10"/>
    </row>
    <row r="939" ht="22.5" customHeight="1">
      <c r="A939" s="5">
        <v>2.02281898828E11</v>
      </c>
      <c r="B939" s="5" t="s">
        <v>1034</v>
      </c>
      <c r="C939" s="5">
        <v>523171089635</v>
      </c>
      <c r="D939" s="5" t="s">
        <v>13</v>
      </c>
      <c r="E939" s="5">
        <v>8.7547393E7</v>
      </c>
      <c r="F939" s="5" t="s">
        <v>39</v>
      </c>
      <c r="G939" s="5" t="s">
        <v>15</v>
      </c>
      <c r="H939" s="5" t="s">
        <v>16</v>
      </c>
      <c r="I939" s="6" t="s">
        <v>17</v>
      </c>
      <c r="J939" s="7" t="s">
        <v>18</v>
      </c>
      <c r="K939" s="7" t="s">
        <v>61</v>
      </c>
      <c r="L939" s="8">
        <v>1.771049599538E12</v>
      </c>
      <c r="M939" s="9"/>
      <c r="N939" s="10"/>
      <c r="O939" s="10"/>
      <c r="P939" s="10"/>
      <c r="Q939" s="10"/>
      <c r="R939" s="10"/>
      <c r="S939" s="10"/>
      <c r="T939" s="10"/>
      <c r="U939" s="10"/>
      <c r="V939" s="10"/>
    </row>
    <row r="940" ht="22.5" customHeight="1">
      <c r="A940" s="5">
        <v>2.0228143386E11</v>
      </c>
      <c r="B940" s="5" t="s">
        <v>1035</v>
      </c>
      <c r="C940" s="5">
        <v>522241069367</v>
      </c>
      <c r="D940" s="5" t="s">
        <v>13</v>
      </c>
      <c r="E940" s="5">
        <v>8.0566583E7</v>
      </c>
      <c r="F940" s="5" t="s">
        <v>39</v>
      </c>
      <c r="G940" s="5" t="s">
        <v>15</v>
      </c>
      <c r="H940" s="5" t="s">
        <v>69</v>
      </c>
      <c r="I940" s="6" t="s">
        <v>63</v>
      </c>
      <c r="J940" s="7" t="s">
        <v>34</v>
      </c>
      <c r="K940" s="7"/>
      <c r="L940" s="8">
        <v>1.771049660556E12</v>
      </c>
      <c r="M940" s="9"/>
      <c r="N940" s="10"/>
      <c r="O940" s="10"/>
      <c r="P940" s="10"/>
      <c r="Q940" s="10"/>
      <c r="R940" s="10"/>
      <c r="S940" s="10"/>
      <c r="T940" s="10"/>
      <c r="U940" s="10"/>
      <c r="V940" s="10"/>
    </row>
    <row r="941" ht="22.5" customHeight="1">
      <c r="A941" s="5">
        <v>2.02298025615E11</v>
      </c>
      <c r="B941" s="5" t="s">
        <v>1036</v>
      </c>
      <c r="C941" s="5">
        <v>51941073667</v>
      </c>
      <c r="D941" s="5" t="s">
        <v>13</v>
      </c>
      <c r="E941" s="5">
        <v>8.0566583E7</v>
      </c>
      <c r="F941" s="5" t="s">
        <v>510</v>
      </c>
      <c r="G941" s="5" t="s">
        <v>32</v>
      </c>
      <c r="H941" s="5" t="s">
        <v>66</v>
      </c>
      <c r="I941" s="6" t="s">
        <v>63</v>
      </c>
      <c r="J941" s="7" t="s">
        <v>18</v>
      </c>
      <c r="K941" s="7" t="s">
        <v>19</v>
      </c>
      <c r="L941" s="8">
        <v>1.771056395043E12</v>
      </c>
      <c r="M941" s="9"/>
      <c r="N941" s="10"/>
      <c r="O941" s="10"/>
      <c r="P941" s="10"/>
      <c r="Q941" s="10"/>
      <c r="R941" s="10"/>
      <c r="S941" s="10"/>
      <c r="T941" s="10"/>
      <c r="U941" s="10"/>
      <c r="V941" s="10"/>
    </row>
    <row r="942" ht="22.5" customHeight="1">
      <c r="A942" s="5">
        <v>2.02329609849E11</v>
      </c>
      <c r="B942" s="5" t="s">
        <v>1037</v>
      </c>
      <c r="C942" s="5">
        <v>51930749471</v>
      </c>
      <c r="D942" s="5" t="s">
        <v>22</v>
      </c>
      <c r="E942" s="5">
        <v>8.0566583E7</v>
      </c>
      <c r="F942" s="5" t="s">
        <v>259</v>
      </c>
      <c r="G942" s="5" t="s">
        <v>44</v>
      </c>
      <c r="H942" s="5" t="s">
        <v>24</v>
      </c>
      <c r="I942" s="6" t="s">
        <v>17</v>
      </c>
      <c r="J942" s="7" t="s">
        <v>18</v>
      </c>
      <c r="K942" s="7" t="s">
        <v>19</v>
      </c>
      <c r="L942" s="8">
        <v>1.771057978319E12</v>
      </c>
      <c r="M942" s="9"/>
      <c r="N942" s="10"/>
      <c r="O942" s="10"/>
      <c r="P942" s="10"/>
      <c r="Q942" s="10"/>
      <c r="R942" s="10"/>
      <c r="S942" s="10"/>
      <c r="T942" s="10"/>
      <c r="U942" s="10"/>
      <c r="V942" s="10"/>
    </row>
    <row r="943" ht="22.5" customHeight="1">
      <c r="A943" s="5">
        <v>2.02337854242E11</v>
      </c>
      <c r="B943" s="5" t="s">
        <v>1038</v>
      </c>
      <c r="C943" s="5">
        <v>525514919251</v>
      </c>
      <c r="D943" s="5" t="s">
        <v>13</v>
      </c>
      <c r="E943" s="5">
        <v>8.0566583E7</v>
      </c>
      <c r="F943" s="5" t="s">
        <v>39</v>
      </c>
      <c r="G943" s="5" t="s">
        <v>15</v>
      </c>
      <c r="H943" s="5" t="s">
        <v>16</v>
      </c>
      <c r="I943" s="6" t="s">
        <v>17</v>
      </c>
      <c r="J943" s="7" t="s">
        <v>34</v>
      </c>
      <c r="K943" s="7"/>
      <c r="L943" s="8">
        <v>1.771058832117E12</v>
      </c>
      <c r="M943" s="9"/>
      <c r="N943" s="10"/>
      <c r="O943" s="10"/>
      <c r="P943" s="10"/>
      <c r="Q943" s="10"/>
      <c r="R943" s="10"/>
      <c r="S943" s="10"/>
      <c r="T943" s="10"/>
      <c r="U943" s="10"/>
      <c r="V943" s="10"/>
    </row>
    <row r="944" ht="22.5" customHeight="1">
      <c r="A944" s="5">
        <v>2.0233810541E11</v>
      </c>
      <c r="B944" s="5" t="s">
        <v>1039</v>
      </c>
      <c r="C944" s="5">
        <v>523320133622</v>
      </c>
      <c r="D944" s="5" t="s">
        <v>13</v>
      </c>
      <c r="E944" s="5">
        <v>8.0566583E7</v>
      </c>
      <c r="F944" s="5" t="s">
        <v>42</v>
      </c>
      <c r="G944" s="5" t="s">
        <v>15</v>
      </c>
      <c r="H944" s="5" t="s">
        <v>66</v>
      </c>
      <c r="I944" s="6" t="s">
        <v>17</v>
      </c>
      <c r="J944" s="7" t="s">
        <v>34</v>
      </c>
      <c r="K944" s="7"/>
      <c r="L944" s="8">
        <v>1.771061141988E12</v>
      </c>
      <c r="M944" s="9"/>
      <c r="N944" s="10"/>
      <c r="O944" s="10"/>
      <c r="P944" s="10"/>
      <c r="Q944" s="10"/>
      <c r="R944" s="10"/>
      <c r="S944" s="10"/>
      <c r="T944" s="10"/>
      <c r="U944" s="10"/>
      <c r="V944" s="10"/>
    </row>
    <row r="945" ht="22.5" customHeight="1">
      <c r="A945" s="5">
        <v>1.90042982497E11</v>
      </c>
      <c r="B945" s="5" t="s">
        <v>1040</v>
      </c>
      <c r="C945" s="5">
        <v>51962342518</v>
      </c>
      <c r="D945" s="5" t="s">
        <v>13</v>
      </c>
      <c r="E945" s="5">
        <v>8.7547393E7</v>
      </c>
      <c r="F945" s="5" t="s">
        <v>28</v>
      </c>
      <c r="G945" s="5" t="s">
        <v>15</v>
      </c>
      <c r="H945" s="5" t="s">
        <v>51</v>
      </c>
      <c r="I945" s="6" t="s">
        <v>17</v>
      </c>
      <c r="J945" s="7" t="s">
        <v>18</v>
      </c>
      <c r="K945" s="7" t="s">
        <v>19</v>
      </c>
      <c r="L945" s="8">
        <v>1.771065534562E12</v>
      </c>
      <c r="M945" s="9"/>
      <c r="N945" s="10"/>
      <c r="O945" s="10"/>
      <c r="P945" s="10"/>
      <c r="Q945" s="10"/>
      <c r="R945" s="10"/>
      <c r="S945" s="10"/>
      <c r="T945" s="10"/>
      <c r="U945" s="10"/>
      <c r="V945" s="10"/>
    </row>
    <row r="946" ht="22.5" customHeight="1">
      <c r="A946" s="5">
        <v>2.02373679433E11</v>
      </c>
      <c r="B946" s="5" t="s">
        <v>1041</v>
      </c>
      <c r="C946" s="5">
        <v>51925094456</v>
      </c>
      <c r="D946" s="5" t="s">
        <v>22</v>
      </c>
      <c r="E946" s="5">
        <v>8.7547393E7</v>
      </c>
      <c r="F946" s="5" t="s">
        <v>93</v>
      </c>
      <c r="G946" s="5">
        <v>50</v>
      </c>
      <c r="H946" s="5" t="s">
        <v>112</v>
      </c>
      <c r="I946" s="6" t="s">
        <v>148</v>
      </c>
      <c r="J946" s="7" t="s">
        <v>124</v>
      </c>
      <c r="K946" s="7" t="s">
        <v>125</v>
      </c>
      <c r="L946" s="8">
        <v>1.771066740148E12</v>
      </c>
      <c r="M946" s="9"/>
      <c r="N946" s="10"/>
      <c r="O946" s="10"/>
      <c r="P946" s="10"/>
      <c r="Q946" s="10"/>
      <c r="R946" s="10"/>
      <c r="S946" s="10"/>
      <c r="T946" s="10"/>
      <c r="U946" s="10"/>
      <c r="V946" s="10"/>
    </row>
    <row r="947" ht="22.5" customHeight="1">
      <c r="A947" s="5">
        <v>2.02383701923E11</v>
      </c>
      <c r="B947" s="5" t="s">
        <v>1042</v>
      </c>
      <c r="C947" s="5">
        <v>51923461431</v>
      </c>
      <c r="D947" s="5" t="s">
        <v>38</v>
      </c>
      <c r="E947" s="5">
        <v>8.0566583E7</v>
      </c>
      <c r="F947" s="5" t="s">
        <v>93</v>
      </c>
      <c r="G947" s="5" t="s">
        <v>15</v>
      </c>
      <c r="H947" s="5" t="s">
        <v>51</v>
      </c>
      <c r="I947" s="6" t="s">
        <v>17</v>
      </c>
      <c r="J947" s="7" t="s">
        <v>34</v>
      </c>
      <c r="K947" s="7"/>
      <c r="L947" s="8">
        <v>1.771067809145E12</v>
      </c>
      <c r="M947" s="9"/>
      <c r="N947" s="10"/>
      <c r="O947" s="10"/>
      <c r="P947" s="10"/>
      <c r="Q947" s="10"/>
      <c r="R947" s="10"/>
      <c r="S947" s="10"/>
      <c r="T947" s="10"/>
      <c r="U947" s="10"/>
      <c r="V947" s="10"/>
    </row>
    <row r="948" ht="22.5" customHeight="1">
      <c r="A948" s="5">
        <v>2.02393067531E11</v>
      </c>
      <c r="B948" s="5" t="s">
        <v>1043</v>
      </c>
      <c r="C948" s="5">
        <v>5524999996746</v>
      </c>
      <c r="D948" s="5" t="s">
        <v>13</v>
      </c>
      <c r="E948" s="5">
        <v>7.9360573E7</v>
      </c>
      <c r="F948" s="5" t="s">
        <v>259</v>
      </c>
      <c r="G948" s="5" t="s">
        <v>15</v>
      </c>
      <c r="H948" s="5" t="s">
        <v>112</v>
      </c>
      <c r="I948" s="6" t="s">
        <v>17</v>
      </c>
      <c r="J948" s="7" t="s">
        <v>34</v>
      </c>
      <c r="K948" s="7"/>
      <c r="L948" s="8">
        <v>1.77107015427E12</v>
      </c>
      <c r="M948" s="9"/>
      <c r="N948" s="10"/>
      <c r="O948" s="10"/>
      <c r="P948" s="10"/>
      <c r="Q948" s="10"/>
      <c r="R948" s="10"/>
      <c r="S948" s="10"/>
      <c r="T948" s="10"/>
      <c r="U948" s="10"/>
      <c r="V948" s="10"/>
    </row>
    <row r="949" ht="22.5" customHeight="1">
      <c r="A949" s="5">
        <v>1.95653130112E11</v>
      </c>
      <c r="B949" s="5" t="s">
        <v>1044</v>
      </c>
      <c r="C949" s="5">
        <v>51942167137</v>
      </c>
      <c r="D949" s="5" t="s">
        <v>13</v>
      </c>
      <c r="E949" s="5">
        <v>8.0566583E7</v>
      </c>
      <c r="F949" s="5" t="s">
        <v>14</v>
      </c>
      <c r="G949" s="5" t="s">
        <v>15</v>
      </c>
      <c r="H949" s="5" t="s">
        <v>51</v>
      </c>
      <c r="I949" s="6" t="s">
        <v>17</v>
      </c>
      <c r="J949" s="7" t="s">
        <v>18</v>
      </c>
      <c r="K949" s="7" t="s">
        <v>19</v>
      </c>
      <c r="L949" s="8">
        <v>1.771071441135E12</v>
      </c>
      <c r="M949" s="9"/>
      <c r="N949" s="10"/>
      <c r="O949" s="10"/>
      <c r="P949" s="10"/>
      <c r="Q949" s="10"/>
      <c r="R949" s="10"/>
      <c r="S949" s="10"/>
      <c r="T949" s="10"/>
      <c r="U949" s="10"/>
      <c r="V949" s="10"/>
    </row>
    <row r="950" ht="22.5" customHeight="1">
      <c r="A950" s="5">
        <v>2.02398766454E11</v>
      </c>
      <c r="B950" s="5" t="s">
        <v>1045</v>
      </c>
      <c r="C950" s="5">
        <v>51982038375</v>
      </c>
      <c r="D950" s="5" t="s">
        <v>13</v>
      </c>
      <c r="E950" s="5">
        <v>8.7547393E7</v>
      </c>
      <c r="F950" s="5" t="s">
        <v>39</v>
      </c>
      <c r="G950" s="5" t="s">
        <v>15</v>
      </c>
      <c r="H950" s="5" t="s">
        <v>51</v>
      </c>
      <c r="I950" s="6" t="s">
        <v>17</v>
      </c>
      <c r="J950" s="7" t="s">
        <v>18</v>
      </c>
      <c r="K950" s="7" t="s">
        <v>19</v>
      </c>
      <c r="L950" s="8">
        <v>1.771071827483E12</v>
      </c>
      <c r="M950" s="9"/>
      <c r="N950" s="10"/>
      <c r="O950" s="10"/>
      <c r="P950" s="10"/>
      <c r="Q950" s="10"/>
      <c r="R950" s="10"/>
      <c r="S950" s="10"/>
      <c r="T950" s="10"/>
      <c r="U950" s="10"/>
      <c r="V950" s="10"/>
    </row>
    <row r="951" ht="22.5" customHeight="1">
      <c r="A951" s="5">
        <v>2.02402867552E11</v>
      </c>
      <c r="B951" s="5" t="s">
        <v>1046</v>
      </c>
      <c r="C951" s="5">
        <v>5524998557758</v>
      </c>
      <c r="D951" s="5" t="s">
        <v>13</v>
      </c>
      <c r="E951" s="5">
        <v>7.9360573E7</v>
      </c>
      <c r="F951" s="5" t="s">
        <v>259</v>
      </c>
      <c r="G951" s="5" t="s">
        <v>15</v>
      </c>
      <c r="H951" s="5" t="s">
        <v>51</v>
      </c>
      <c r="I951" s="6" t="s">
        <v>17</v>
      </c>
      <c r="J951" s="7" t="s">
        <v>34</v>
      </c>
      <c r="K951" s="7"/>
      <c r="L951" s="8">
        <v>1.771071851698E12</v>
      </c>
      <c r="M951" s="9"/>
      <c r="N951" s="10"/>
      <c r="O951" s="10"/>
      <c r="P951" s="10"/>
      <c r="Q951" s="10"/>
      <c r="R951" s="10"/>
      <c r="S951" s="10"/>
      <c r="T951" s="10"/>
      <c r="U951" s="10"/>
      <c r="V951" s="10"/>
    </row>
    <row r="952" ht="22.5" customHeight="1">
      <c r="A952" s="5">
        <v>2.02301556769E11</v>
      </c>
      <c r="B952" s="5" t="s">
        <v>1047</v>
      </c>
      <c r="C952" s="5">
        <v>525637487328</v>
      </c>
      <c r="D952" s="5" t="s">
        <v>13</v>
      </c>
      <c r="E952" s="5">
        <v>8.0566583E7</v>
      </c>
      <c r="F952" s="5" t="s">
        <v>28</v>
      </c>
      <c r="G952" s="5" t="s">
        <v>15</v>
      </c>
      <c r="H952" s="5" t="s">
        <v>24</v>
      </c>
      <c r="I952" s="6" t="s">
        <v>17</v>
      </c>
      <c r="J952" s="7" t="s">
        <v>18</v>
      </c>
      <c r="K952" s="7" t="s">
        <v>61</v>
      </c>
      <c r="L952" s="8">
        <v>1.771072112154E12</v>
      </c>
      <c r="M952" s="9"/>
      <c r="N952" s="10"/>
      <c r="O952" s="10"/>
      <c r="P952" s="10"/>
      <c r="Q952" s="10"/>
      <c r="R952" s="10"/>
      <c r="S952" s="10"/>
      <c r="T952" s="10"/>
      <c r="U952" s="10"/>
      <c r="V952" s="10"/>
    </row>
    <row r="953" ht="22.5" customHeight="1">
      <c r="A953" s="5">
        <v>2.0230320735E11</v>
      </c>
      <c r="B953" s="5" t="s">
        <v>1048</v>
      </c>
      <c r="C953" s="5">
        <v>51943683180</v>
      </c>
      <c r="D953" s="5" t="s">
        <v>13</v>
      </c>
      <c r="E953" s="5">
        <v>8.7547393E7</v>
      </c>
      <c r="F953" s="5"/>
      <c r="G953" s="5" t="s">
        <v>15</v>
      </c>
      <c r="H953" s="5" t="s">
        <v>51</v>
      </c>
      <c r="I953" s="6" t="s">
        <v>17</v>
      </c>
      <c r="J953" s="7" t="s">
        <v>34</v>
      </c>
      <c r="K953" s="7"/>
      <c r="L953" s="8">
        <v>1.771073858704E12</v>
      </c>
      <c r="M953" s="9"/>
      <c r="N953" s="10"/>
      <c r="O953" s="10"/>
      <c r="P953" s="10"/>
      <c r="Q953" s="10"/>
      <c r="R953" s="10"/>
      <c r="S953" s="10"/>
      <c r="T953" s="10"/>
      <c r="U953" s="10"/>
      <c r="V953" s="10"/>
    </row>
    <row r="954" ht="22.5" customHeight="1">
      <c r="A954" s="5">
        <v>2.0230730478E11</v>
      </c>
      <c r="B954" s="5" t="s">
        <v>1049</v>
      </c>
      <c r="C954" s="5">
        <v>528181379902</v>
      </c>
      <c r="D954" s="5" t="s">
        <v>22</v>
      </c>
      <c r="E954" s="5">
        <v>8.0566583E7</v>
      </c>
      <c r="F954" s="5" t="s">
        <v>28</v>
      </c>
      <c r="G954" s="5">
        <v>50</v>
      </c>
      <c r="H954" s="5" t="s">
        <v>16</v>
      </c>
      <c r="I954" s="6" t="s">
        <v>17</v>
      </c>
      <c r="J954" s="7" t="s">
        <v>58</v>
      </c>
      <c r="K954" s="11" t="s">
        <v>59</v>
      </c>
      <c r="L954" s="8">
        <v>1.771076514627E12</v>
      </c>
      <c r="M954" s="9"/>
      <c r="N954" s="10"/>
      <c r="O954" s="10"/>
      <c r="P954" s="10"/>
      <c r="Q954" s="10"/>
      <c r="R954" s="10"/>
      <c r="S954" s="10"/>
      <c r="T954" s="10"/>
      <c r="U954" s="10"/>
      <c r="V954" s="10"/>
    </row>
    <row r="955" ht="22.5" customHeight="1">
      <c r="A955" s="5">
        <v>2.02412494634E11</v>
      </c>
      <c r="B955" s="5" t="s">
        <v>1050</v>
      </c>
      <c r="C955" s="5">
        <v>525643927186</v>
      </c>
      <c r="D955" s="5" t="s">
        <v>13</v>
      </c>
      <c r="E955" s="5">
        <v>8.7547393E7</v>
      </c>
      <c r="F955" s="5" t="s">
        <v>42</v>
      </c>
      <c r="G955" s="5" t="s">
        <v>32</v>
      </c>
      <c r="H955" s="5" t="s">
        <v>66</v>
      </c>
      <c r="I955" s="6" t="s">
        <v>17</v>
      </c>
      <c r="J955" s="7" t="s">
        <v>18</v>
      </c>
      <c r="K955" s="7" t="s">
        <v>61</v>
      </c>
      <c r="L955" s="8">
        <v>1.771077917982E12</v>
      </c>
      <c r="M955" s="9"/>
      <c r="N955" s="10"/>
      <c r="O955" s="10"/>
      <c r="P955" s="10"/>
      <c r="Q955" s="10"/>
      <c r="R955" s="10"/>
      <c r="S955" s="10"/>
      <c r="T955" s="10"/>
      <c r="U955" s="10"/>
      <c r="V955" s="10"/>
    </row>
    <row r="956" ht="22.5" customHeight="1">
      <c r="A956" s="5">
        <v>2.0230694847E11</v>
      </c>
      <c r="B956" s="5" t="s">
        <v>1051</v>
      </c>
      <c r="C956" s="5">
        <v>51925886889</v>
      </c>
      <c r="D956" s="5" t="s">
        <v>13</v>
      </c>
      <c r="E956" s="5">
        <v>8.0566583E7</v>
      </c>
      <c r="F956" s="5" t="s">
        <v>65</v>
      </c>
      <c r="G956" s="5" t="s">
        <v>15</v>
      </c>
      <c r="H956" s="5" t="s">
        <v>66</v>
      </c>
      <c r="I956" s="6" t="s">
        <v>17</v>
      </c>
      <c r="J956" s="7" t="s">
        <v>18</v>
      </c>
      <c r="K956" s="7" t="s">
        <v>19</v>
      </c>
      <c r="L956" s="8">
        <v>1.771077938309E12</v>
      </c>
      <c r="M956" s="9"/>
      <c r="N956" s="10"/>
      <c r="O956" s="10"/>
      <c r="P956" s="10"/>
      <c r="Q956" s="10"/>
      <c r="R956" s="10"/>
      <c r="S956" s="10"/>
      <c r="T956" s="10"/>
      <c r="U956" s="10"/>
      <c r="V956" s="10"/>
    </row>
    <row r="957" ht="22.5" customHeight="1">
      <c r="A957" s="5">
        <v>2.02404611246E11</v>
      </c>
      <c r="B957" s="5" t="s">
        <v>1052</v>
      </c>
      <c r="C957" s="5">
        <v>528132479924</v>
      </c>
      <c r="D957" s="5" t="s">
        <v>38</v>
      </c>
      <c r="E957" s="5">
        <v>8.0566583E7</v>
      </c>
      <c r="F957" s="5"/>
      <c r="G957" s="5"/>
      <c r="H957" s="5"/>
      <c r="I957" s="6"/>
      <c r="J957" s="7" t="s">
        <v>34</v>
      </c>
      <c r="K957" s="7"/>
      <c r="L957" s="8">
        <v>1.771077975023E12</v>
      </c>
      <c r="M957" s="9"/>
      <c r="N957" s="10"/>
      <c r="O957" s="10"/>
      <c r="P957" s="10"/>
      <c r="Q957" s="10"/>
      <c r="R957" s="10"/>
      <c r="S957" s="10"/>
      <c r="T957" s="10"/>
      <c r="U957" s="10"/>
      <c r="V957" s="10"/>
    </row>
    <row r="958" ht="22.5" customHeight="1">
      <c r="A958" s="5">
        <v>1.79871025573E11</v>
      </c>
      <c r="B958" s="5" t="s">
        <v>1053</v>
      </c>
      <c r="C958" s="5">
        <v>51978637971</v>
      </c>
      <c r="D958" s="5" t="s">
        <v>13</v>
      </c>
      <c r="E958" s="5">
        <v>8.7547393E7</v>
      </c>
      <c r="F958" s="5" t="s">
        <v>259</v>
      </c>
      <c r="G958" s="5" t="s">
        <v>15</v>
      </c>
      <c r="H958" s="5" t="s">
        <v>16</v>
      </c>
      <c r="I958" s="6" t="s">
        <v>17</v>
      </c>
      <c r="J958" s="7" t="s">
        <v>34</v>
      </c>
      <c r="K958" s="7"/>
      <c r="L958" s="8">
        <v>1.771078608865E12</v>
      </c>
      <c r="M958" s="9"/>
      <c r="N958" s="10"/>
      <c r="O958" s="10"/>
      <c r="P958" s="10"/>
      <c r="Q958" s="10"/>
      <c r="R958" s="10"/>
      <c r="S958" s="10"/>
      <c r="T958" s="10"/>
      <c r="U958" s="10"/>
      <c r="V958" s="10"/>
    </row>
    <row r="959" ht="22.5" customHeight="1">
      <c r="A959" s="5">
        <v>2.02415842428E11</v>
      </c>
      <c r="B959" s="5" t="s">
        <v>1054</v>
      </c>
      <c r="C959" s="5">
        <v>528661155591</v>
      </c>
      <c r="D959" s="5" t="s">
        <v>38</v>
      </c>
      <c r="E959" s="5">
        <v>8.7547393E7</v>
      </c>
      <c r="F959" s="5" t="s">
        <v>28</v>
      </c>
      <c r="G959" s="5" t="s">
        <v>15</v>
      </c>
      <c r="H959" s="5" t="s">
        <v>165</v>
      </c>
      <c r="I959" s="6" t="s">
        <v>17</v>
      </c>
      <c r="J959" s="7" t="s">
        <v>124</v>
      </c>
      <c r="K959" s="7" t="s">
        <v>125</v>
      </c>
      <c r="L959" s="8">
        <v>1.771079139281E12</v>
      </c>
      <c r="M959" s="9"/>
      <c r="N959" s="10"/>
      <c r="O959" s="10"/>
      <c r="P959" s="10"/>
      <c r="Q959" s="10"/>
      <c r="R959" s="10"/>
      <c r="S959" s="10"/>
      <c r="T959" s="10"/>
      <c r="U959" s="10"/>
      <c r="V959" s="10"/>
    </row>
    <row r="960" ht="22.5" customHeight="1">
      <c r="A960" s="5">
        <v>2.02418436457E11</v>
      </c>
      <c r="B960" s="5" t="s">
        <v>1055</v>
      </c>
      <c r="C960" s="5">
        <v>528332511577</v>
      </c>
      <c r="D960" s="5" t="s">
        <v>13</v>
      </c>
      <c r="E960" s="5">
        <v>8.7547393E7</v>
      </c>
      <c r="F960" s="5"/>
      <c r="G960" s="5" t="s">
        <v>32</v>
      </c>
      <c r="H960" s="5" t="s">
        <v>24</v>
      </c>
      <c r="I960" s="6" t="s">
        <v>17</v>
      </c>
      <c r="J960" s="7" t="s">
        <v>18</v>
      </c>
      <c r="K960" s="7" t="s">
        <v>61</v>
      </c>
      <c r="L960" s="8">
        <v>1.771079827233E12</v>
      </c>
      <c r="M960" s="9"/>
      <c r="N960" s="10"/>
      <c r="O960" s="10"/>
      <c r="P960" s="10"/>
      <c r="Q960" s="10"/>
      <c r="R960" s="10"/>
      <c r="S960" s="10"/>
      <c r="T960" s="10"/>
      <c r="U960" s="10"/>
      <c r="V960" s="10"/>
    </row>
    <row r="961" ht="22.5" customHeight="1">
      <c r="A961" s="5">
        <v>2.02311990828E11</v>
      </c>
      <c r="B961" s="5" t="s">
        <v>1056</v>
      </c>
      <c r="C961" s="5">
        <v>573113253615</v>
      </c>
      <c r="D961" s="5" t="s">
        <v>103</v>
      </c>
      <c r="E961" s="5">
        <v>8.0566583E7</v>
      </c>
      <c r="F961" s="5" t="s">
        <v>39</v>
      </c>
      <c r="G961" s="5" t="s">
        <v>79</v>
      </c>
      <c r="H961" s="5" t="s">
        <v>16</v>
      </c>
      <c r="I961" s="6" t="s">
        <v>36</v>
      </c>
      <c r="J961" s="7" t="s">
        <v>34</v>
      </c>
      <c r="K961" s="7"/>
      <c r="L961" s="8">
        <v>1.771080677848E12</v>
      </c>
      <c r="M961" s="9"/>
      <c r="N961" s="10"/>
      <c r="O961" s="10"/>
      <c r="P961" s="10"/>
      <c r="Q961" s="10"/>
      <c r="R961" s="10"/>
      <c r="S961" s="10"/>
      <c r="T961" s="10"/>
      <c r="U961" s="10"/>
      <c r="V961" s="10"/>
    </row>
    <row r="962" ht="22.5" customHeight="1">
      <c r="A962" s="5">
        <v>2.02311334419E11</v>
      </c>
      <c r="B962" s="5" t="s">
        <v>1057</v>
      </c>
      <c r="C962" s="5">
        <v>5562994836068</v>
      </c>
      <c r="D962" s="5" t="s">
        <v>103</v>
      </c>
      <c r="E962" s="5">
        <v>7.9360573E7</v>
      </c>
      <c r="F962" s="5" t="s">
        <v>28</v>
      </c>
      <c r="G962" s="5" t="s">
        <v>79</v>
      </c>
      <c r="H962" s="5" t="s">
        <v>66</v>
      </c>
      <c r="I962" s="6" t="s">
        <v>63</v>
      </c>
      <c r="J962" s="7" t="s">
        <v>34</v>
      </c>
      <c r="K962" s="7"/>
      <c r="L962" s="8">
        <v>1.771081045182E12</v>
      </c>
      <c r="M962" s="9"/>
      <c r="N962" s="10"/>
      <c r="O962" s="10"/>
      <c r="P962" s="10"/>
      <c r="Q962" s="10"/>
      <c r="R962" s="10"/>
      <c r="S962" s="10"/>
      <c r="T962" s="10"/>
      <c r="U962" s="10"/>
      <c r="V962" s="10"/>
    </row>
    <row r="963" ht="22.5" customHeight="1">
      <c r="A963" s="5">
        <v>2.02313047425E11</v>
      </c>
      <c r="B963" s="5" t="s">
        <v>1058</v>
      </c>
      <c r="C963" s="5">
        <v>523320266552</v>
      </c>
      <c r="D963" s="5" t="s">
        <v>13</v>
      </c>
      <c r="E963" s="5">
        <v>8.0566583E7</v>
      </c>
      <c r="F963" s="5" t="s">
        <v>28</v>
      </c>
      <c r="G963" s="5" t="s">
        <v>32</v>
      </c>
      <c r="H963" s="5" t="s">
        <v>51</v>
      </c>
      <c r="I963" s="6" t="s">
        <v>17</v>
      </c>
      <c r="J963" s="7" t="s">
        <v>18</v>
      </c>
      <c r="K963" s="7" t="s">
        <v>61</v>
      </c>
      <c r="L963" s="8">
        <v>1.771081261633E12</v>
      </c>
      <c r="M963" s="9"/>
      <c r="N963" s="10"/>
      <c r="O963" s="10"/>
      <c r="P963" s="10"/>
      <c r="Q963" s="10"/>
      <c r="R963" s="10"/>
      <c r="S963" s="10"/>
      <c r="T963" s="10"/>
      <c r="U963" s="10"/>
      <c r="V963" s="10"/>
    </row>
    <row r="964" ht="22.5" customHeight="1">
      <c r="A964" s="5">
        <v>2.02416389791E11</v>
      </c>
      <c r="B964" s="5" t="s">
        <v>1059</v>
      </c>
      <c r="C964" s="5">
        <v>595982632782</v>
      </c>
      <c r="D964" s="5" t="s">
        <v>13</v>
      </c>
      <c r="E964" s="5">
        <v>8.0566583E7</v>
      </c>
      <c r="F964" s="5" t="s">
        <v>259</v>
      </c>
      <c r="G964" s="5" t="s">
        <v>15</v>
      </c>
      <c r="H964" s="5" t="s">
        <v>24</v>
      </c>
      <c r="I964" s="6" t="s">
        <v>17</v>
      </c>
      <c r="J964" s="7" t="s">
        <v>34</v>
      </c>
      <c r="K964" s="7"/>
      <c r="L964" s="8">
        <v>1.771082019519E12</v>
      </c>
      <c r="M964" s="9"/>
      <c r="N964" s="10"/>
      <c r="O964" s="10"/>
      <c r="P964" s="10"/>
      <c r="Q964" s="10"/>
      <c r="R964" s="10"/>
      <c r="S964" s="10"/>
      <c r="T964" s="10"/>
      <c r="U964" s="10"/>
      <c r="V964" s="10"/>
    </row>
    <row r="965" ht="22.5" customHeight="1">
      <c r="A965" s="5">
        <v>2.02313582854E11</v>
      </c>
      <c r="B965" s="5" t="s">
        <v>1060</v>
      </c>
      <c r="C965" s="5">
        <v>51941116013</v>
      </c>
      <c r="D965" s="5" t="s">
        <v>13</v>
      </c>
      <c r="E965" s="5">
        <v>8.7547393E7</v>
      </c>
      <c r="F965" s="5" t="s">
        <v>39</v>
      </c>
      <c r="G965" s="5" t="s">
        <v>15</v>
      </c>
      <c r="H965" s="5" t="s">
        <v>51</v>
      </c>
      <c r="I965" s="6" t="s">
        <v>17</v>
      </c>
      <c r="J965" s="7" t="s">
        <v>34</v>
      </c>
      <c r="K965" s="7"/>
      <c r="L965" s="8">
        <v>1.771083573575E12</v>
      </c>
      <c r="M965" s="9"/>
      <c r="N965" s="10"/>
      <c r="O965" s="10"/>
      <c r="P965" s="10"/>
      <c r="Q965" s="10"/>
      <c r="R965" s="10"/>
      <c r="S965" s="10"/>
      <c r="T965" s="10"/>
      <c r="U965" s="10"/>
      <c r="V965" s="10"/>
    </row>
    <row r="966" ht="22.5" customHeight="1">
      <c r="A966" s="5">
        <v>2.02269907727E11</v>
      </c>
      <c r="B966" s="5" t="s">
        <v>1061</v>
      </c>
      <c r="C966" s="5">
        <v>50363038098</v>
      </c>
      <c r="D966" s="5" t="s">
        <v>103</v>
      </c>
      <c r="E966" s="5">
        <v>8.0566583E7</v>
      </c>
      <c r="F966" s="5" t="s">
        <v>93</v>
      </c>
      <c r="G966" s="5" t="s">
        <v>79</v>
      </c>
      <c r="H966" s="5" t="s">
        <v>24</v>
      </c>
      <c r="I966" s="6" t="s">
        <v>63</v>
      </c>
      <c r="J966" s="7" t="s">
        <v>34</v>
      </c>
      <c r="K966" s="7"/>
      <c r="L966" s="8">
        <v>1.771085813764E12</v>
      </c>
      <c r="M966" s="9"/>
      <c r="N966" s="10"/>
      <c r="O966" s="10"/>
      <c r="P966" s="10"/>
      <c r="Q966" s="10"/>
      <c r="R966" s="10"/>
      <c r="S966" s="10"/>
      <c r="T966" s="10"/>
      <c r="U966" s="10"/>
      <c r="V966" s="10"/>
    </row>
    <row r="967" ht="22.5" customHeight="1">
      <c r="A967" s="5">
        <v>2.02424252434E11</v>
      </c>
      <c r="B967" s="5" t="s">
        <v>1062</v>
      </c>
      <c r="C967" s="5">
        <v>525620179095</v>
      </c>
      <c r="D967" s="5" t="s">
        <v>13</v>
      </c>
      <c r="E967" s="5">
        <v>8.7547393E7</v>
      </c>
      <c r="F967" s="5" t="s">
        <v>39</v>
      </c>
      <c r="G967" s="5" t="s">
        <v>15</v>
      </c>
      <c r="H967" s="5" t="s">
        <v>66</v>
      </c>
      <c r="I967" s="6" t="s">
        <v>17</v>
      </c>
      <c r="J967" s="7" t="s">
        <v>18</v>
      </c>
      <c r="K967" s="7" t="s">
        <v>61</v>
      </c>
      <c r="L967" s="8">
        <v>1.771087174891E12</v>
      </c>
      <c r="M967" s="9"/>
      <c r="N967" s="10"/>
      <c r="O967" s="10"/>
      <c r="P967" s="10"/>
      <c r="Q967" s="10"/>
      <c r="R967" s="10"/>
      <c r="S967" s="10"/>
      <c r="T967" s="10"/>
      <c r="U967" s="10"/>
      <c r="V967" s="10"/>
    </row>
    <row r="968" ht="22.5" customHeight="1">
      <c r="A968" s="5">
        <v>2.02429983087E11</v>
      </c>
      <c r="B968" s="5" t="s">
        <v>1063</v>
      </c>
      <c r="C968" s="5">
        <v>51923135174</v>
      </c>
      <c r="D968" s="5" t="s">
        <v>38</v>
      </c>
      <c r="E968" s="5">
        <v>8.0566583E7</v>
      </c>
      <c r="F968" s="5"/>
      <c r="G968" s="5"/>
      <c r="H968" s="5"/>
      <c r="I968" s="6"/>
      <c r="J968" s="7" t="s">
        <v>124</v>
      </c>
      <c r="K968" s="7" t="s">
        <v>1064</v>
      </c>
      <c r="L968" s="8">
        <v>1.771088793725E12</v>
      </c>
      <c r="M968" s="9"/>
      <c r="N968" s="10"/>
      <c r="O968" s="10"/>
      <c r="P968" s="10"/>
      <c r="Q968" s="10"/>
      <c r="R968" s="10"/>
      <c r="S968" s="10"/>
      <c r="T968" s="10"/>
      <c r="U968" s="10"/>
      <c r="V968" s="10"/>
    </row>
    <row r="969" ht="22.5" customHeight="1">
      <c r="A969" s="5">
        <v>2.02434373034E11</v>
      </c>
      <c r="B969" s="5" t="s">
        <v>1065</v>
      </c>
      <c r="C969" s="5">
        <v>524774109691</v>
      </c>
      <c r="D969" s="5" t="s">
        <v>38</v>
      </c>
      <c r="E969" s="5">
        <v>8.7547393E7</v>
      </c>
      <c r="F969" s="5" t="s">
        <v>28</v>
      </c>
      <c r="G969" s="5" t="s">
        <v>32</v>
      </c>
      <c r="H969" s="5" t="s">
        <v>24</v>
      </c>
      <c r="I969" s="6" t="s">
        <v>17</v>
      </c>
      <c r="J969" s="7" t="s">
        <v>18</v>
      </c>
      <c r="K969" s="7" t="s">
        <v>61</v>
      </c>
      <c r="L969" s="8">
        <v>1.771089265983E12</v>
      </c>
      <c r="M969" s="9"/>
      <c r="N969" s="10"/>
      <c r="O969" s="10"/>
      <c r="P969" s="10"/>
      <c r="Q969" s="10"/>
      <c r="R969" s="10"/>
      <c r="S969" s="10"/>
      <c r="T969" s="10"/>
      <c r="U969" s="10"/>
      <c r="V969" s="10"/>
    </row>
    <row r="970" ht="22.5" customHeight="1">
      <c r="A970" s="5">
        <v>2.02434701123E11</v>
      </c>
      <c r="B970" s="5" t="s">
        <v>1066</v>
      </c>
      <c r="C970" s="5">
        <v>51905962905</v>
      </c>
      <c r="D970" s="5" t="s">
        <v>13</v>
      </c>
      <c r="E970" s="5">
        <v>8.0566583E7</v>
      </c>
      <c r="F970" s="5" t="s">
        <v>14</v>
      </c>
      <c r="G970" s="5" t="s">
        <v>15</v>
      </c>
      <c r="H970" s="5" t="s">
        <v>51</v>
      </c>
      <c r="I970" s="6" t="s">
        <v>17</v>
      </c>
      <c r="J970" s="7" t="s">
        <v>34</v>
      </c>
      <c r="K970" s="7"/>
      <c r="L970" s="8">
        <v>1.771089653039E12</v>
      </c>
      <c r="M970" s="9"/>
      <c r="N970" s="10"/>
      <c r="O970" s="10"/>
      <c r="P970" s="10"/>
      <c r="Q970" s="10"/>
      <c r="R970" s="10"/>
      <c r="S970" s="10"/>
      <c r="T970" s="10"/>
      <c r="U970" s="10"/>
      <c r="V970" s="10"/>
    </row>
    <row r="971" ht="22.5" customHeight="1">
      <c r="A971" s="5">
        <v>1.94408125845E11</v>
      </c>
      <c r="B971" s="5" t="s">
        <v>1067</v>
      </c>
      <c r="C971" s="5">
        <v>51993610320</v>
      </c>
      <c r="D971" s="5" t="s">
        <v>13</v>
      </c>
      <c r="E971" s="5"/>
      <c r="F971" s="5" t="s">
        <v>14</v>
      </c>
      <c r="G971" s="5" t="s">
        <v>32</v>
      </c>
      <c r="H971" s="5" t="s">
        <v>16</v>
      </c>
      <c r="I971" s="6" t="s">
        <v>49</v>
      </c>
      <c r="J971" s="7" t="s">
        <v>34</v>
      </c>
      <c r="K971" s="7"/>
      <c r="L971" s="8">
        <v>1.771090653751E12</v>
      </c>
      <c r="M971" s="9"/>
      <c r="N971" s="10"/>
      <c r="O971" s="10"/>
      <c r="P971" s="10"/>
      <c r="Q971" s="10"/>
      <c r="R971" s="10"/>
      <c r="S971" s="10"/>
      <c r="T971" s="10"/>
      <c r="U971" s="10"/>
      <c r="V971" s="10"/>
    </row>
    <row r="972" ht="22.5" customHeight="1">
      <c r="A972" s="5">
        <v>2.02433365317E11</v>
      </c>
      <c r="B972" s="5" t="s">
        <v>1068</v>
      </c>
      <c r="C972" s="5">
        <v>51912698328</v>
      </c>
      <c r="D972" s="5" t="s">
        <v>13</v>
      </c>
      <c r="E972" s="5">
        <v>8.7547393E7</v>
      </c>
      <c r="F972" s="5" t="s">
        <v>259</v>
      </c>
      <c r="G972" s="5" t="s">
        <v>15</v>
      </c>
      <c r="H972" s="5" t="s">
        <v>51</v>
      </c>
      <c r="I972" s="6" t="s">
        <v>17</v>
      </c>
      <c r="J972" s="7" t="s">
        <v>18</v>
      </c>
      <c r="K972" s="7" t="s">
        <v>19</v>
      </c>
      <c r="L972" s="8">
        <v>1.771093279829E12</v>
      </c>
      <c r="M972" s="9"/>
      <c r="N972" s="10"/>
      <c r="O972" s="10"/>
      <c r="P972" s="10"/>
      <c r="Q972" s="10"/>
      <c r="R972" s="10"/>
      <c r="S972" s="10"/>
      <c r="T972" s="10"/>
      <c r="U972" s="10"/>
      <c r="V972" s="10"/>
    </row>
    <row r="973" ht="22.5" customHeight="1">
      <c r="A973" s="5">
        <v>2.02443410307E11</v>
      </c>
      <c r="B973" s="5" t="s">
        <v>1069</v>
      </c>
      <c r="C973" s="5">
        <v>51990384283</v>
      </c>
      <c r="D973" s="5" t="s">
        <v>13</v>
      </c>
      <c r="E973" s="5">
        <v>8.7547393E7</v>
      </c>
      <c r="F973" s="5" t="s">
        <v>42</v>
      </c>
      <c r="G973" s="5" t="s">
        <v>15</v>
      </c>
      <c r="H973" s="5" t="s">
        <v>51</v>
      </c>
      <c r="I973" s="6" t="s">
        <v>17</v>
      </c>
      <c r="J973" s="7" t="s">
        <v>18</v>
      </c>
      <c r="K973" s="7" t="s">
        <v>19</v>
      </c>
      <c r="L973" s="8">
        <v>1.771095753274E12</v>
      </c>
      <c r="M973" s="9"/>
      <c r="N973" s="10"/>
      <c r="O973" s="10"/>
      <c r="P973" s="10"/>
      <c r="Q973" s="10"/>
      <c r="R973" s="10"/>
      <c r="S973" s="10"/>
      <c r="T973" s="10"/>
      <c r="U973" s="10"/>
      <c r="V973" s="10"/>
    </row>
    <row r="974" ht="22.5" customHeight="1">
      <c r="A974" s="5">
        <v>2.02444353976E11</v>
      </c>
      <c r="B974" s="5" t="s">
        <v>1070</v>
      </c>
      <c r="C974" s="5">
        <v>51938846449</v>
      </c>
      <c r="D974" s="5" t="s">
        <v>22</v>
      </c>
      <c r="E974" s="5">
        <v>8.0566583E7</v>
      </c>
      <c r="F974" s="5" t="s">
        <v>714</v>
      </c>
      <c r="G974" s="5" t="s">
        <v>44</v>
      </c>
      <c r="H974" s="5" t="s">
        <v>16</v>
      </c>
      <c r="I974" s="6" t="s">
        <v>17</v>
      </c>
      <c r="J974" s="7" t="s">
        <v>18</v>
      </c>
      <c r="K974" s="7" t="s">
        <v>19</v>
      </c>
      <c r="L974" s="8">
        <v>1.771095789326E12</v>
      </c>
      <c r="M974" s="9"/>
      <c r="N974" s="10"/>
      <c r="O974" s="10"/>
      <c r="P974" s="10"/>
      <c r="Q974" s="10"/>
      <c r="R974" s="10"/>
      <c r="S974" s="10"/>
      <c r="T974" s="10"/>
      <c r="U974" s="10"/>
      <c r="V974" s="10"/>
    </row>
    <row r="975" ht="22.5" customHeight="1">
      <c r="A975" s="5">
        <v>2.02445028188E11</v>
      </c>
      <c r="B975" s="5" t="s">
        <v>1071</v>
      </c>
      <c r="C975" s="5">
        <v>5573998443054</v>
      </c>
      <c r="D975" s="5" t="s">
        <v>22</v>
      </c>
      <c r="E975" s="5">
        <v>7.9360573E7</v>
      </c>
      <c r="F975" s="5" t="s">
        <v>28</v>
      </c>
      <c r="G975" s="5" t="s">
        <v>44</v>
      </c>
      <c r="H975" s="5" t="s">
        <v>51</v>
      </c>
      <c r="I975" s="6" t="s">
        <v>36</v>
      </c>
      <c r="J975" s="7" t="s">
        <v>34</v>
      </c>
      <c r="K975" s="7"/>
      <c r="L975" s="8">
        <v>1.771096815466E12</v>
      </c>
      <c r="M975" s="9"/>
      <c r="N975" s="10"/>
      <c r="O975" s="10"/>
      <c r="P975" s="10"/>
      <c r="Q975" s="10"/>
      <c r="R975" s="10"/>
      <c r="S975" s="10"/>
      <c r="T975" s="10"/>
      <c r="U975" s="10"/>
      <c r="V975" s="10"/>
    </row>
    <row r="976" ht="22.5" customHeight="1">
      <c r="A976" s="5">
        <v>2.02453712906E11</v>
      </c>
      <c r="B976" s="5" t="s">
        <v>1072</v>
      </c>
      <c r="C976" s="5">
        <v>51974337533</v>
      </c>
      <c r="D976" s="5" t="s">
        <v>13</v>
      </c>
      <c r="E976" s="5">
        <v>8.7547393E7</v>
      </c>
      <c r="F976" s="5" t="s">
        <v>259</v>
      </c>
      <c r="G976" s="5" t="s">
        <v>15</v>
      </c>
      <c r="H976" s="5" t="s">
        <v>29</v>
      </c>
      <c r="I976" s="6" t="s">
        <v>17</v>
      </c>
      <c r="J976" s="7" t="s">
        <v>18</v>
      </c>
      <c r="K976" s="7" t="s">
        <v>19</v>
      </c>
      <c r="L976" s="8">
        <v>1.771097938323E12</v>
      </c>
      <c r="M976" s="9"/>
      <c r="N976" s="10"/>
      <c r="O976" s="10"/>
      <c r="P976" s="10"/>
      <c r="Q976" s="10"/>
      <c r="R976" s="10"/>
      <c r="S976" s="10"/>
      <c r="T976" s="10"/>
      <c r="U976" s="10"/>
      <c r="V976" s="10"/>
    </row>
    <row r="977" ht="22.5" customHeight="1">
      <c r="A977" s="5">
        <v>2.02445981336E11</v>
      </c>
      <c r="B977" s="5" t="s">
        <v>1073</v>
      </c>
      <c r="C977" s="5">
        <v>51972227993</v>
      </c>
      <c r="D977" s="5" t="s">
        <v>13</v>
      </c>
      <c r="E977" s="5">
        <v>8.7547393E7</v>
      </c>
      <c r="F977" s="5" t="s">
        <v>259</v>
      </c>
      <c r="G977" s="5" t="s">
        <v>32</v>
      </c>
      <c r="H977" s="5" t="s">
        <v>66</v>
      </c>
      <c r="I977" s="6" t="s">
        <v>17</v>
      </c>
      <c r="J977" s="7" t="s">
        <v>18</v>
      </c>
      <c r="K977" s="7" t="s">
        <v>19</v>
      </c>
      <c r="L977" s="8">
        <v>1.771099884731E12</v>
      </c>
      <c r="M977" s="9"/>
      <c r="N977" s="10"/>
      <c r="O977" s="10"/>
      <c r="P977" s="10"/>
      <c r="Q977" s="10"/>
      <c r="R977" s="10"/>
      <c r="S977" s="10"/>
      <c r="T977" s="10"/>
      <c r="U977" s="10"/>
      <c r="V977" s="10"/>
    </row>
    <row r="978" ht="22.5" customHeight="1">
      <c r="A978" s="5">
        <v>2.02488762256E11</v>
      </c>
      <c r="B978" s="5" t="s">
        <v>1074</v>
      </c>
      <c r="C978" s="5">
        <v>51918750742</v>
      </c>
      <c r="D978" s="5" t="s">
        <v>13</v>
      </c>
      <c r="E978" s="5">
        <v>8.7547393E7</v>
      </c>
      <c r="F978" s="5" t="s">
        <v>39</v>
      </c>
      <c r="G978" s="5" t="s">
        <v>15</v>
      </c>
      <c r="H978" s="5" t="s">
        <v>80</v>
      </c>
      <c r="I978" s="6" t="s">
        <v>49</v>
      </c>
      <c r="J978" s="7" t="s">
        <v>34</v>
      </c>
      <c r="K978" s="7"/>
      <c r="L978" s="8">
        <v>1.771101484913E12</v>
      </c>
      <c r="M978" s="9"/>
      <c r="N978" s="10"/>
      <c r="O978" s="10"/>
      <c r="P978" s="10"/>
      <c r="Q978" s="10"/>
      <c r="R978" s="10"/>
      <c r="S978" s="10"/>
      <c r="T978" s="10"/>
      <c r="U978" s="10"/>
      <c r="V978" s="10"/>
    </row>
    <row r="979" ht="22.5" customHeight="1">
      <c r="A979" s="5">
        <v>2.02488569096E11</v>
      </c>
      <c r="B979" s="5" t="s">
        <v>1075</v>
      </c>
      <c r="C979" s="5">
        <v>529861056326</v>
      </c>
      <c r="D979" s="5" t="s">
        <v>13</v>
      </c>
      <c r="E979" s="5">
        <v>8.0566583E7</v>
      </c>
      <c r="F979" s="5" t="s">
        <v>14</v>
      </c>
      <c r="G979" s="5" t="s">
        <v>32</v>
      </c>
      <c r="H979" s="5" t="s">
        <v>16</v>
      </c>
      <c r="I979" s="6" t="s">
        <v>17</v>
      </c>
      <c r="J979" s="7" t="s">
        <v>34</v>
      </c>
      <c r="K979" s="7"/>
      <c r="L979" s="8">
        <v>1.771101532184E12</v>
      </c>
      <c r="M979" s="9"/>
      <c r="N979" s="10"/>
      <c r="O979" s="10"/>
      <c r="P979" s="10"/>
      <c r="Q979" s="10"/>
      <c r="R979" s="10"/>
      <c r="S979" s="10"/>
      <c r="T979" s="10"/>
      <c r="U979" s="10"/>
      <c r="V979" s="10"/>
    </row>
    <row r="980" ht="22.5" customHeight="1">
      <c r="A980" s="5">
        <v>2.02488776011E11</v>
      </c>
      <c r="B980" s="5" t="s">
        <v>1076</v>
      </c>
      <c r="C980" s="5">
        <v>51929238890</v>
      </c>
      <c r="D980" s="5" t="s">
        <v>22</v>
      </c>
      <c r="E980" s="5">
        <v>8.0566583E7</v>
      </c>
      <c r="F980" s="5" t="s">
        <v>42</v>
      </c>
      <c r="G980" s="5" t="s">
        <v>44</v>
      </c>
      <c r="H980" s="5" t="s">
        <v>33</v>
      </c>
      <c r="I980" s="6" t="s">
        <v>89</v>
      </c>
      <c r="J980" s="7" t="s">
        <v>58</v>
      </c>
      <c r="K980" s="11" t="s">
        <v>59</v>
      </c>
      <c r="L980" s="8">
        <v>1.771101738215E12</v>
      </c>
      <c r="M980" s="9"/>
      <c r="N980" s="10"/>
      <c r="O980" s="10"/>
      <c r="P980" s="10"/>
      <c r="Q980" s="10"/>
      <c r="R980" s="10"/>
      <c r="S980" s="10"/>
      <c r="T980" s="10"/>
      <c r="U980" s="10"/>
      <c r="V980" s="10"/>
    </row>
    <row r="981" ht="22.5" customHeight="1">
      <c r="A981" s="5">
        <v>2.02489799204E11</v>
      </c>
      <c r="B981" s="5" t="s">
        <v>1077</v>
      </c>
      <c r="C981" s="5">
        <v>529932527438</v>
      </c>
      <c r="D981" s="5" t="s">
        <v>13</v>
      </c>
      <c r="E981" s="5">
        <v>8.7547393E7</v>
      </c>
      <c r="F981" s="5" t="s">
        <v>510</v>
      </c>
      <c r="G981" s="5" t="s">
        <v>15</v>
      </c>
      <c r="H981" s="5" t="s">
        <v>66</v>
      </c>
      <c r="I981" s="6" t="s">
        <v>17</v>
      </c>
      <c r="J981" s="7" t="s">
        <v>18</v>
      </c>
      <c r="K981" s="7" t="s">
        <v>61</v>
      </c>
      <c r="L981" s="8">
        <v>1.771102103461E12</v>
      </c>
      <c r="M981" s="9"/>
      <c r="N981" s="10"/>
      <c r="O981" s="10"/>
      <c r="P981" s="10"/>
      <c r="Q981" s="10"/>
      <c r="R981" s="10"/>
      <c r="S981" s="10"/>
      <c r="T981" s="10"/>
      <c r="U981" s="10"/>
      <c r="V981" s="10"/>
    </row>
    <row r="982" ht="22.5" customHeight="1">
      <c r="A982" s="5">
        <v>2.02489799204E11</v>
      </c>
      <c r="B982" s="5" t="s">
        <v>1077</v>
      </c>
      <c r="C982" s="5">
        <v>529932527438</v>
      </c>
      <c r="D982" s="5" t="s">
        <v>13</v>
      </c>
      <c r="E982" s="5">
        <v>8.7547393E7</v>
      </c>
      <c r="F982" s="5" t="s">
        <v>510</v>
      </c>
      <c r="G982" s="5" t="s">
        <v>15</v>
      </c>
      <c r="H982" s="5" t="s">
        <v>66</v>
      </c>
      <c r="I982" s="6" t="s">
        <v>17</v>
      </c>
      <c r="J982" s="7" t="s">
        <v>18</v>
      </c>
      <c r="K982" s="7" t="s">
        <v>61</v>
      </c>
      <c r="L982" s="8">
        <v>1.771102125886E12</v>
      </c>
      <c r="M982" s="9"/>
      <c r="N982" s="10"/>
      <c r="O982" s="10"/>
      <c r="P982" s="10"/>
      <c r="Q982" s="10"/>
      <c r="R982" s="10"/>
      <c r="S982" s="10"/>
      <c r="T982" s="10"/>
      <c r="U982" s="10"/>
      <c r="V982" s="10"/>
    </row>
    <row r="983" ht="22.5" customHeight="1">
      <c r="A983" s="5">
        <v>2.02508278693E11</v>
      </c>
      <c r="B983" s="5" t="s">
        <v>1078</v>
      </c>
      <c r="C983" s="5">
        <v>51958460944</v>
      </c>
      <c r="D983" s="5" t="s">
        <v>13</v>
      </c>
      <c r="E983" s="5">
        <v>8.7547393E7</v>
      </c>
      <c r="F983" s="5" t="s">
        <v>39</v>
      </c>
      <c r="G983" s="5" t="s">
        <v>32</v>
      </c>
      <c r="H983" s="5" t="s">
        <v>24</v>
      </c>
      <c r="I983" s="6" t="s">
        <v>17</v>
      </c>
      <c r="J983" s="7" t="s">
        <v>18</v>
      </c>
      <c r="K983" s="7" t="s">
        <v>19</v>
      </c>
      <c r="L983" s="8">
        <v>1.77110472078E12</v>
      </c>
      <c r="M983" s="9"/>
      <c r="N983" s="10"/>
      <c r="O983" s="10"/>
      <c r="P983" s="10"/>
      <c r="Q983" s="10"/>
      <c r="R983" s="10"/>
      <c r="S983" s="10"/>
      <c r="T983" s="10"/>
      <c r="U983" s="10"/>
      <c r="V983" s="10"/>
    </row>
    <row r="984" ht="22.5" customHeight="1">
      <c r="A984" s="5">
        <v>2.025080646E11</v>
      </c>
      <c r="B984" s="5" t="s">
        <v>1079</v>
      </c>
      <c r="C984" s="5">
        <v>5575991688431</v>
      </c>
      <c r="D984" s="5" t="s">
        <v>13</v>
      </c>
      <c r="E984" s="5">
        <v>7.9360573E7</v>
      </c>
      <c r="F984" s="5" t="s">
        <v>510</v>
      </c>
      <c r="G984" s="5" t="s">
        <v>15</v>
      </c>
      <c r="H984" s="5" t="s">
        <v>66</v>
      </c>
      <c r="I984" s="6" t="s">
        <v>17</v>
      </c>
      <c r="J984" s="7" t="s">
        <v>18</v>
      </c>
      <c r="K984" s="7" t="s">
        <v>45</v>
      </c>
      <c r="L984" s="8">
        <v>1.771105815739E12</v>
      </c>
      <c r="M984" s="9"/>
      <c r="N984" s="10"/>
      <c r="O984" s="10"/>
      <c r="P984" s="10"/>
      <c r="Q984" s="10"/>
      <c r="R984" s="10"/>
      <c r="S984" s="10"/>
      <c r="T984" s="10"/>
      <c r="U984" s="10"/>
      <c r="V984" s="10"/>
    </row>
    <row r="985" ht="22.5" customHeight="1">
      <c r="A985" s="5">
        <v>2.02471363697E11</v>
      </c>
      <c r="B985" s="5" t="s">
        <v>1080</v>
      </c>
      <c r="C985" s="5">
        <v>51980076289</v>
      </c>
      <c r="D985" s="5" t="s">
        <v>22</v>
      </c>
      <c r="E985" s="5">
        <v>8.0566583E7</v>
      </c>
      <c r="F985" s="5" t="s">
        <v>65</v>
      </c>
      <c r="G985" s="5">
        <v>50</v>
      </c>
      <c r="H985" s="5" t="s">
        <v>24</v>
      </c>
      <c r="I985" s="6" t="s">
        <v>17</v>
      </c>
      <c r="J985" s="7" t="s">
        <v>34</v>
      </c>
      <c r="K985" s="7"/>
      <c r="L985" s="8">
        <v>1.771108850515E12</v>
      </c>
      <c r="M985" s="9"/>
      <c r="N985" s="10"/>
      <c r="O985" s="10"/>
      <c r="P985" s="10"/>
      <c r="Q985" s="10"/>
      <c r="R985" s="10"/>
      <c r="S985" s="10"/>
      <c r="T985" s="10"/>
      <c r="U985" s="10"/>
      <c r="V985" s="10"/>
    </row>
    <row r="986" ht="22.5" customHeight="1">
      <c r="A986" s="5">
        <v>2.02471153738E11</v>
      </c>
      <c r="B986" s="5" t="s">
        <v>1081</v>
      </c>
      <c r="C986" s="5">
        <v>5511977118518</v>
      </c>
      <c r="D986" s="5" t="s">
        <v>38</v>
      </c>
      <c r="E986" s="5">
        <v>7.9360573E7</v>
      </c>
      <c r="F986" s="5"/>
      <c r="G986" s="5"/>
      <c r="H986" s="5"/>
      <c r="I986" s="6"/>
      <c r="J986" s="7" t="s">
        <v>34</v>
      </c>
      <c r="K986" s="7"/>
      <c r="L986" s="8">
        <v>1.771110264089E12</v>
      </c>
      <c r="M986" s="9"/>
      <c r="N986" s="10"/>
      <c r="O986" s="10"/>
      <c r="P986" s="10"/>
      <c r="Q986" s="10"/>
      <c r="R986" s="10"/>
      <c r="S986" s="10"/>
      <c r="T986" s="10"/>
      <c r="U986" s="10"/>
      <c r="V986" s="10"/>
    </row>
    <row r="987" ht="22.5" customHeight="1">
      <c r="A987" s="5">
        <v>2.02531646131E11</v>
      </c>
      <c r="B987" s="5" t="s">
        <v>1082</v>
      </c>
      <c r="C987" s="5">
        <v>51988256248</v>
      </c>
      <c r="D987" s="5" t="s">
        <v>13</v>
      </c>
      <c r="E987" s="5">
        <v>8.7547393E7</v>
      </c>
      <c r="F987" s="5" t="s">
        <v>14</v>
      </c>
      <c r="G987" s="5" t="s">
        <v>15</v>
      </c>
      <c r="H987" s="5" t="s">
        <v>66</v>
      </c>
      <c r="I987" s="6" t="s">
        <v>17</v>
      </c>
      <c r="J987" s="7" t="s">
        <v>34</v>
      </c>
      <c r="K987" s="7"/>
      <c r="L987" s="8">
        <v>1.771113068945E12</v>
      </c>
      <c r="M987" s="9"/>
      <c r="N987" s="10"/>
      <c r="O987" s="10"/>
      <c r="P987" s="10"/>
      <c r="Q987" s="10"/>
      <c r="R987" s="10"/>
      <c r="S987" s="10"/>
      <c r="T987" s="10"/>
      <c r="U987" s="10"/>
      <c r="V987" s="10"/>
    </row>
    <row r="988" ht="22.5" customHeight="1">
      <c r="A988" s="5">
        <v>2.0252347658E11</v>
      </c>
      <c r="B988" s="5" t="s">
        <v>1083</v>
      </c>
      <c r="C988" s="5">
        <v>51943551333</v>
      </c>
      <c r="D988" s="5" t="s">
        <v>13</v>
      </c>
      <c r="E988" s="5">
        <v>8.0566583E7</v>
      </c>
      <c r="F988" s="5" t="s">
        <v>39</v>
      </c>
      <c r="G988" s="5" t="s">
        <v>15</v>
      </c>
      <c r="H988" s="5" t="s">
        <v>16</v>
      </c>
      <c r="I988" s="6" t="s">
        <v>17</v>
      </c>
      <c r="J988" s="7" t="s">
        <v>25</v>
      </c>
      <c r="K988" s="7" t="s">
        <v>501</v>
      </c>
      <c r="L988" s="8">
        <v>1.771115601999E12</v>
      </c>
      <c r="M988" s="9"/>
      <c r="N988" s="10"/>
      <c r="O988" s="10"/>
      <c r="P988" s="10"/>
      <c r="Q988" s="10"/>
      <c r="R988" s="10"/>
      <c r="S988" s="10"/>
      <c r="T988" s="10"/>
      <c r="U988" s="10"/>
      <c r="V988" s="10"/>
    </row>
    <row r="989" ht="22.5" customHeight="1">
      <c r="A989" s="5">
        <v>2.02532593699E11</v>
      </c>
      <c r="B989" s="5" t="s">
        <v>1084</v>
      </c>
      <c r="C989" s="5">
        <v>51992873095</v>
      </c>
      <c r="D989" s="5" t="s">
        <v>13</v>
      </c>
      <c r="E989" s="5">
        <v>8.7547393E7</v>
      </c>
      <c r="F989" s="5"/>
      <c r="G989" s="5" t="s">
        <v>15</v>
      </c>
      <c r="H989" s="5" t="s">
        <v>66</v>
      </c>
      <c r="I989" s="6" t="s">
        <v>17</v>
      </c>
      <c r="J989" s="7" t="s">
        <v>18</v>
      </c>
      <c r="K989" s="7" t="s">
        <v>19</v>
      </c>
      <c r="L989" s="8">
        <v>1.771117019362E12</v>
      </c>
      <c r="M989" s="9"/>
      <c r="N989" s="10"/>
      <c r="O989" s="10"/>
      <c r="P989" s="10"/>
      <c r="Q989" s="10"/>
      <c r="R989" s="10"/>
      <c r="S989" s="10"/>
      <c r="T989" s="10"/>
      <c r="U989" s="10"/>
      <c r="V989" s="10"/>
    </row>
    <row r="990" ht="22.5" customHeight="1">
      <c r="A990" s="5">
        <v>1.63336904556E11</v>
      </c>
      <c r="B990" s="5" t="s">
        <v>1085</v>
      </c>
      <c r="C990" s="5">
        <v>51999934903</v>
      </c>
      <c r="D990" s="5" t="s">
        <v>13</v>
      </c>
      <c r="E990" s="5">
        <v>8.0566583E7</v>
      </c>
      <c r="F990" s="5" t="s">
        <v>39</v>
      </c>
      <c r="G990" s="5" t="s">
        <v>15</v>
      </c>
      <c r="H990" s="5" t="s">
        <v>66</v>
      </c>
      <c r="I990" s="6" t="s">
        <v>17</v>
      </c>
      <c r="J990" s="7" t="s">
        <v>34</v>
      </c>
      <c r="K990" s="7"/>
      <c r="L990" s="8">
        <v>1.771117832466E12</v>
      </c>
      <c r="M990" s="9"/>
      <c r="N990" s="10"/>
      <c r="O990" s="10"/>
      <c r="P990" s="10"/>
      <c r="Q990" s="10"/>
      <c r="R990" s="10"/>
      <c r="S990" s="10"/>
      <c r="T990" s="10"/>
      <c r="U990" s="10"/>
      <c r="V990" s="10"/>
    </row>
    <row r="991" ht="22.5" customHeight="1">
      <c r="A991" s="5">
        <v>2.0253793163E11</v>
      </c>
      <c r="B991" s="5" t="s">
        <v>1086</v>
      </c>
      <c r="C991" s="5">
        <v>5583988685444</v>
      </c>
      <c r="D991" s="5" t="s">
        <v>13</v>
      </c>
      <c r="E991" s="5">
        <v>7.9360573E7</v>
      </c>
      <c r="F991" s="5" t="s">
        <v>39</v>
      </c>
      <c r="G991" s="5" t="s">
        <v>15</v>
      </c>
      <c r="H991" s="5" t="s">
        <v>51</v>
      </c>
      <c r="I991" s="6" t="s">
        <v>17</v>
      </c>
      <c r="J991" s="7" t="s">
        <v>34</v>
      </c>
      <c r="K991" s="7"/>
      <c r="L991" s="8">
        <v>1.771118060431E12</v>
      </c>
      <c r="M991" s="9"/>
      <c r="N991" s="10"/>
      <c r="O991" s="10"/>
      <c r="P991" s="10"/>
      <c r="Q991" s="10"/>
      <c r="R991" s="10"/>
      <c r="S991" s="10"/>
      <c r="T991" s="10"/>
      <c r="U991" s="10"/>
      <c r="V991" s="10"/>
    </row>
    <row r="992" ht="22.5" customHeight="1">
      <c r="A992" s="5">
        <v>2.0253797894E11</v>
      </c>
      <c r="B992" s="5" t="s">
        <v>1087</v>
      </c>
      <c r="C992" s="5">
        <v>525541430722</v>
      </c>
      <c r="D992" s="5" t="s">
        <v>13</v>
      </c>
      <c r="E992" s="5">
        <v>8.0566583E7</v>
      </c>
      <c r="F992" s="5" t="s">
        <v>39</v>
      </c>
      <c r="G992" s="5" t="s">
        <v>15</v>
      </c>
      <c r="H992" s="5" t="s">
        <v>807</v>
      </c>
      <c r="I992" s="6" t="s">
        <v>17</v>
      </c>
      <c r="J992" s="7" t="s">
        <v>18</v>
      </c>
      <c r="K992" s="7" t="s">
        <v>61</v>
      </c>
      <c r="L992" s="8">
        <v>1.771119137732E12</v>
      </c>
      <c r="M992" s="9"/>
      <c r="N992" s="10"/>
      <c r="O992" s="10"/>
      <c r="P992" s="10"/>
      <c r="Q992" s="10"/>
      <c r="R992" s="10"/>
      <c r="S992" s="10"/>
      <c r="T992" s="10"/>
      <c r="U992" s="10"/>
      <c r="V992" s="10"/>
    </row>
    <row r="993" ht="22.5" customHeight="1">
      <c r="A993" s="5">
        <v>1.90144676358E11</v>
      </c>
      <c r="B993" s="5" t="s">
        <v>1088</v>
      </c>
      <c r="C993" s="5">
        <v>51990389542</v>
      </c>
      <c r="D993" s="5" t="s">
        <v>38</v>
      </c>
      <c r="E993" s="5"/>
      <c r="F993" s="5" t="s">
        <v>14</v>
      </c>
      <c r="G993" s="5" t="s">
        <v>15</v>
      </c>
      <c r="H993" s="5" t="s">
        <v>24</v>
      </c>
      <c r="I993" s="6" t="s">
        <v>17</v>
      </c>
      <c r="J993" s="7" t="s">
        <v>18</v>
      </c>
      <c r="K993" s="7" t="s">
        <v>19</v>
      </c>
      <c r="L993" s="8">
        <v>1.771122094218E12</v>
      </c>
      <c r="M993" s="9"/>
      <c r="N993" s="10"/>
      <c r="O993" s="10"/>
      <c r="P993" s="10"/>
      <c r="Q993" s="10"/>
      <c r="R993" s="10"/>
      <c r="S993" s="10"/>
      <c r="T993" s="10"/>
      <c r="U993" s="10"/>
      <c r="V993" s="10"/>
    </row>
    <row r="994" ht="22.5" customHeight="1">
      <c r="A994" s="5">
        <v>2.02508528274E11</v>
      </c>
      <c r="B994" s="5" t="s">
        <v>1089</v>
      </c>
      <c r="C994" s="5">
        <v>51906969398</v>
      </c>
      <c r="D994" s="5" t="s">
        <v>38</v>
      </c>
      <c r="E994" s="5">
        <v>8.7547393E7</v>
      </c>
      <c r="F994" s="5"/>
      <c r="G994" s="5"/>
      <c r="H994" s="5"/>
      <c r="I994" s="6"/>
      <c r="J994" s="7" t="s">
        <v>34</v>
      </c>
      <c r="K994" s="7"/>
      <c r="L994" s="8">
        <v>1.771124205775E12</v>
      </c>
      <c r="M994" s="9"/>
      <c r="N994" s="10"/>
      <c r="O994" s="10"/>
      <c r="P994" s="10"/>
      <c r="Q994" s="10"/>
      <c r="R994" s="10"/>
      <c r="S994" s="10"/>
      <c r="T994" s="10"/>
      <c r="U994" s="10"/>
      <c r="V994" s="10"/>
    </row>
    <row r="995" ht="22.5" customHeight="1">
      <c r="A995" s="5">
        <v>2.02548515712E11</v>
      </c>
      <c r="B995" s="5" t="s">
        <v>1090</v>
      </c>
      <c r="C995" s="5">
        <v>525619574973</v>
      </c>
      <c r="D995" s="5" t="s">
        <v>13</v>
      </c>
      <c r="E995" s="5">
        <v>8.0566583E7</v>
      </c>
      <c r="F995" s="5" t="s">
        <v>93</v>
      </c>
      <c r="G995" s="5" t="s">
        <v>15</v>
      </c>
      <c r="H995" s="5" t="s">
        <v>51</v>
      </c>
      <c r="I995" s="6" t="s">
        <v>17</v>
      </c>
      <c r="J995" s="7" t="s">
        <v>18</v>
      </c>
      <c r="K995" s="7" t="s">
        <v>61</v>
      </c>
      <c r="L995" s="8">
        <v>1.771124268451E12</v>
      </c>
      <c r="M995" s="9"/>
      <c r="N995" s="10"/>
      <c r="O995" s="10"/>
      <c r="P995" s="10"/>
      <c r="Q995" s="10"/>
      <c r="R995" s="10"/>
      <c r="S995" s="10"/>
      <c r="T995" s="10"/>
      <c r="U995" s="10"/>
      <c r="V995" s="10"/>
    </row>
    <row r="996" ht="22.5" customHeight="1">
      <c r="A996" s="5">
        <v>2.02544975283E11</v>
      </c>
      <c r="B996" s="5" t="s">
        <v>1091</v>
      </c>
      <c r="C996" s="5">
        <v>51982789054</v>
      </c>
      <c r="D996" s="5" t="s">
        <v>13</v>
      </c>
      <c r="E996" s="5">
        <v>8.0566583E7</v>
      </c>
      <c r="F996" s="5" t="s">
        <v>28</v>
      </c>
      <c r="G996" s="5" t="s">
        <v>15</v>
      </c>
      <c r="H996" s="5" t="s">
        <v>51</v>
      </c>
      <c r="I996" s="6" t="s">
        <v>17</v>
      </c>
      <c r="J996" s="7" t="s">
        <v>18</v>
      </c>
      <c r="K996" s="7" t="s">
        <v>19</v>
      </c>
      <c r="L996" s="8">
        <v>1.77112438273E12</v>
      </c>
      <c r="M996" s="9"/>
      <c r="N996" s="10"/>
      <c r="O996" s="10"/>
      <c r="P996" s="10"/>
      <c r="Q996" s="10"/>
      <c r="R996" s="10"/>
      <c r="S996" s="10"/>
      <c r="T996" s="10"/>
      <c r="U996" s="10"/>
      <c r="V996" s="10"/>
    </row>
    <row r="997" ht="22.5" customHeight="1">
      <c r="A997" s="5">
        <v>2.02543774125E11</v>
      </c>
      <c r="B997" s="5" t="s">
        <v>1092</v>
      </c>
      <c r="C997" s="5">
        <v>51973894997</v>
      </c>
      <c r="D997" s="5" t="s">
        <v>13</v>
      </c>
      <c r="E997" s="5">
        <v>8.7547393E7</v>
      </c>
      <c r="F997" s="5" t="s">
        <v>93</v>
      </c>
      <c r="G997" s="5" t="s">
        <v>15</v>
      </c>
      <c r="H997" s="5" t="s">
        <v>51</v>
      </c>
      <c r="I997" s="6" t="s">
        <v>17</v>
      </c>
      <c r="J997" s="7" t="s">
        <v>18</v>
      </c>
      <c r="K997" s="7" t="s">
        <v>116</v>
      </c>
      <c r="L997" s="8">
        <v>1.771125072554E12</v>
      </c>
      <c r="M997" s="9"/>
      <c r="N997" s="10"/>
      <c r="O997" s="10"/>
      <c r="P997" s="10"/>
      <c r="Q997" s="10"/>
      <c r="R997" s="10"/>
      <c r="S997" s="10"/>
      <c r="T997" s="10"/>
      <c r="U997" s="10"/>
      <c r="V997" s="10"/>
    </row>
    <row r="998" ht="22.5" customHeight="1">
      <c r="A998" s="5">
        <v>2.02543851414E11</v>
      </c>
      <c r="B998" s="5" t="s">
        <v>1093</v>
      </c>
      <c r="C998" s="5">
        <v>522281057927</v>
      </c>
      <c r="D998" s="5" t="s">
        <v>38</v>
      </c>
      <c r="E998" s="5">
        <v>8.7547393E7</v>
      </c>
      <c r="F998" s="5" t="s">
        <v>259</v>
      </c>
      <c r="G998" s="5" t="s">
        <v>15</v>
      </c>
      <c r="H998" s="5" t="s">
        <v>165</v>
      </c>
      <c r="I998" s="6" t="s">
        <v>17</v>
      </c>
      <c r="J998" s="7" t="s">
        <v>18</v>
      </c>
      <c r="K998" s="7" t="s">
        <v>61</v>
      </c>
      <c r="L998" s="8">
        <v>1.771127410182E12</v>
      </c>
      <c r="M998" s="9"/>
      <c r="N998" s="10"/>
      <c r="O998" s="10"/>
      <c r="P998" s="10"/>
      <c r="Q998" s="10"/>
      <c r="R998" s="10"/>
      <c r="S998" s="10"/>
      <c r="T998" s="10"/>
      <c r="U998" s="10"/>
      <c r="V998" s="10"/>
    </row>
    <row r="999" ht="22.5" customHeight="1">
      <c r="A999" s="5">
        <v>2.02556359714E11</v>
      </c>
      <c r="B999" s="5" t="s">
        <v>1094</v>
      </c>
      <c r="C999" s="5">
        <v>523345186659</v>
      </c>
      <c r="D999" s="5" t="s">
        <v>22</v>
      </c>
      <c r="E999" s="5">
        <v>8.0566583E7</v>
      </c>
      <c r="F999" s="5" t="s">
        <v>714</v>
      </c>
      <c r="G999" s="5" t="s">
        <v>104</v>
      </c>
      <c r="H999" s="5" t="s">
        <v>29</v>
      </c>
      <c r="I999" s="6" t="s">
        <v>17</v>
      </c>
      <c r="J999" s="7" t="s">
        <v>18</v>
      </c>
      <c r="K999" s="7" t="s">
        <v>61</v>
      </c>
      <c r="L999" s="8">
        <v>1.771129713153E12</v>
      </c>
      <c r="M999" s="9"/>
      <c r="N999" s="10"/>
      <c r="O999" s="10"/>
      <c r="P999" s="10"/>
      <c r="Q999" s="10"/>
      <c r="R999" s="10"/>
      <c r="S999" s="10"/>
      <c r="T999" s="10"/>
      <c r="U999" s="10"/>
      <c r="V999" s="10"/>
    </row>
    <row r="1000" ht="22.5" customHeight="1">
      <c r="A1000" s="5">
        <v>2.0255467764E11</v>
      </c>
      <c r="B1000" s="5" t="s">
        <v>1095</v>
      </c>
      <c r="C1000" s="5">
        <v>51942476324</v>
      </c>
      <c r="D1000" s="5" t="s">
        <v>13</v>
      </c>
      <c r="E1000" s="5">
        <v>8.7547393E7</v>
      </c>
      <c r="F1000" s="5" t="s">
        <v>714</v>
      </c>
      <c r="G1000" s="5" t="s">
        <v>32</v>
      </c>
      <c r="H1000" s="5" t="s">
        <v>188</v>
      </c>
      <c r="I1000" s="6" t="s">
        <v>17</v>
      </c>
      <c r="J1000" s="7" t="s">
        <v>18</v>
      </c>
      <c r="K1000" s="7" t="s">
        <v>116</v>
      </c>
      <c r="L1000" s="8">
        <v>1.771130294881E12</v>
      </c>
      <c r="M1000" s="9"/>
      <c r="N1000" s="10"/>
      <c r="O1000" s="10"/>
      <c r="P1000" s="10"/>
      <c r="Q1000" s="10"/>
      <c r="R1000" s="10"/>
      <c r="S1000" s="10"/>
      <c r="T1000" s="10"/>
      <c r="U1000" s="10"/>
      <c r="V1000" s="10"/>
    </row>
    <row r="1001" ht="22.5" customHeight="1">
      <c r="A1001" s="5">
        <v>2.02570966784E11</v>
      </c>
      <c r="B1001" s="5" t="s">
        <v>1096</v>
      </c>
      <c r="C1001" s="5">
        <v>51923638992</v>
      </c>
      <c r="D1001" s="5" t="s">
        <v>22</v>
      </c>
      <c r="E1001" s="5">
        <v>8.7547393E7</v>
      </c>
      <c r="F1001" s="5" t="s">
        <v>28</v>
      </c>
      <c r="G1001" s="5" t="s">
        <v>44</v>
      </c>
      <c r="H1001" s="5" t="s">
        <v>16</v>
      </c>
      <c r="I1001" s="6" t="s">
        <v>17</v>
      </c>
      <c r="J1001" s="7" t="s">
        <v>34</v>
      </c>
      <c r="K1001" s="7"/>
      <c r="L1001" s="8">
        <v>1.771130863972E12</v>
      </c>
      <c r="M1001" s="9"/>
      <c r="N1001" s="10"/>
      <c r="O1001" s="10"/>
      <c r="P1001" s="10"/>
      <c r="Q1001" s="10"/>
      <c r="R1001" s="10"/>
      <c r="S1001" s="10"/>
      <c r="T1001" s="10"/>
      <c r="U1001" s="10"/>
      <c r="V1001" s="10"/>
    </row>
    <row r="1002" ht="22.5" customHeight="1">
      <c r="A1002" s="5">
        <v>2.02560869814E11</v>
      </c>
      <c r="B1002" s="5" t="s">
        <v>1097</v>
      </c>
      <c r="C1002" s="5">
        <v>51957361331</v>
      </c>
      <c r="D1002" s="5" t="s">
        <v>13</v>
      </c>
      <c r="E1002" s="5">
        <v>8.7547393E7</v>
      </c>
      <c r="F1002" s="5" t="s">
        <v>14</v>
      </c>
      <c r="G1002" s="5" t="s">
        <v>15</v>
      </c>
      <c r="H1002" s="5" t="s">
        <v>86</v>
      </c>
      <c r="I1002" s="6" t="s">
        <v>63</v>
      </c>
      <c r="J1002" s="7" t="s">
        <v>18</v>
      </c>
      <c r="K1002" s="7" t="s">
        <v>19</v>
      </c>
      <c r="L1002" s="8">
        <v>1.771132821923E12</v>
      </c>
      <c r="M1002" s="9"/>
      <c r="N1002" s="10"/>
      <c r="O1002" s="10"/>
      <c r="P1002" s="10"/>
      <c r="Q1002" s="10"/>
      <c r="R1002" s="10"/>
      <c r="S1002" s="10"/>
      <c r="T1002" s="10"/>
      <c r="U1002" s="10"/>
      <c r="V1002" s="10"/>
    </row>
    <row r="1003" ht="22.5" customHeight="1">
      <c r="A1003" s="5">
        <v>2.02517861669E11</v>
      </c>
      <c r="B1003" s="5" t="s">
        <v>1098</v>
      </c>
      <c r="C1003" s="5">
        <v>51912364830</v>
      </c>
      <c r="D1003" s="5" t="s">
        <v>13</v>
      </c>
      <c r="E1003" s="5">
        <v>8.0566583E7</v>
      </c>
      <c r="F1003" s="5" t="s">
        <v>259</v>
      </c>
      <c r="G1003" s="5" t="s">
        <v>15</v>
      </c>
      <c r="H1003" s="5" t="s">
        <v>69</v>
      </c>
      <c r="I1003" s="6" t="s">
        <v>17</v>
      </c>
      <c r="J1003" s="7" t="s">
        <v>18</v>
      </c>
      <c r="K1003" s="7" t="s">
        <v>19</v>
      </c>
      <c r="L1003" s="8">
        <v>1.771133294327E12</v>
      </c>
      <c r="M1003" s="9"/>
      <c r="N1003" s="10"/>
      <c r="O1003" s="10"/>
      <c r="P1003" s="10"/>
      <c r="Q1003" s="10"/>
      <c r="R1003" s="10"/>
      <c r="S1003" s="10"/>
      <c r="T1003" s="10"/>
      <c r="U1003" s="10"/>
      <c r="V1003" s="10"/>
    </row>
    <row r="1004" ht="22.5" customHeight="1">
      <c r="A1004" s="5">
        <v>2.02517861669E11</v>
      </c>
      <c r="B1004" s="5" t="s">
        <v>1098</v>
      </c>
      <c r="C1004" s="5">
        <v>51912364830</v>
      </c>
      <c r="D1004" s="5" t="s">
        <v>13</v>
      </c>
      <c r="E1004" s="5">
        <v>8.0566583E7</v>
      </c>
      <c r="F1004" s="5" t="s">
        <v>259</v>
      </c>
      <c r="G1004" s="5" t="s">
        <v>15</v>
      </c>
      <c r="H1004" s="5" t="s">
        <v>69</v>
      </c>
      <c r="I1004" s="6" t="s">
        <v>17</v>
      </c>
      <c r="J1004" s="7" t="s">
        <v>18</v>
      </c>
      <c r="K1004" s="7" t="s">
        <v>19</v>
      </c>
      <c r="L1004" s="8">
        <v>1.771133339673E12</v>
      </c>
      <c r="M1004" s="9"/>
      <c r="N1004" s="10"/>
      <c r="O1004" s="10"/>
      <c r="P1004" s="10"/>
      <c r="Q1004" s="10"/>
      <c r="R1004" s="10"/>
      <c r="S1004" s="10"/>
      <c r="T1004" s="10"/>
      <c r="U1004" s="10"/>
      <c r="V1004" s="10"/>
    </row>
    <row r="1005" ht="22.5" customHeight="1">
      <c r="A1005" s="5">
        <v>2.02568390232E11</v>
      </c>
      <c r="B1005" s="5" t="s">
        <v>1099</v>
      </c>
      <c r="C1005" s="5">
        <v>51950338665</v>
      </c>
      <c r="D1005" s="5" t="s">
        <v>22</v>
      </c>
      <c r="E1005" s="5">
        <v>8.0566583E7</v>
      </c>
      <c r="F1005" s="5" t="s">
        <v>39</v>
      </c>
      <c r="G1005" s="5" t="s">
        <v>44</v>
      </c>
      <c r="H1005" s="5" t="s">
        <v>16</v>
      </c>
      <c r="I1005" s="6" t="s">
        <v>17</v>
      </c>
      <c r="J1005" s="7" t="s">
        <v>18</v>
      </c>
      <c r="K1005" s="7" t="s">
        <v>19</v>
      </c>
      <c r="L1005" s="8">
        <v>1.771133463027E12</v>
      </c>
      <c r="M1005" s="9"/>
      <c r="N1005" s="10"/>
      <c r="O1005" s="10"/>
      <c r="P1005" s="10"/>
      <c r="Q1005" s="10"/>
      <c r="R1005" s="10"/>
      <c r="S1005" s="10"/>
      <c r="T1005" s="10"/>
      <c r="U1005" s="10"/>
      <c r="V1005" s="10"/>
    </row>
    <row r="1006" ht="22.5" customHeight="1">
      <c r="A1006" s="5">
        <v>2.02569931166E11</v>
      </c>
      <c r="B1006" s="5" t="s">
        <v>1100</v>
      </c>
      <c r="C1006" s="5">
        <v>51965604171</v>
      </c>
      <c r="D1006" s="5" t="s">
        <v>13</v>
      </c>
      <c r="E1006" s="5">
        <v>8.7547393E7</v>
      </c>
      <c r="F1006" s="5" t="s">
        <v>259</v>
      </c>
      <c r="G1006" s="5" t="s">
        <v>15</v>
      </c>
      <c r="H1006" s="5" t="s">
        <v>24</v>
      </c>
      <c r="I1006" s="6" t="s">
        <v>17</v>
      </c>
      <c r="J1006" s="7" t="s">
        <v>34</v>
      </c>
      <c r="K1006" s="7"/>
      <c r="L1006" s="8">
        <v>1.771137271206E12</v>
      </c>
      <c r="M1006" s="9"/>
      <c r="N1006" s="10"/>
      <c r="O1006" s="10"/>
      <c r="P1006" s="10"/>
      <c r="Q1006" s="10"/>
      <c r="R1006" s="10"/>
      <c r="S1006" s="10"/>
      <c r="T1006" s="10"/>
      <c r="U1006" s="10"/>
      <c r="V1006" s="10"/>
    </row>
    <row r="1007" ht="22.5" customHeight="1">
      <c r="A1007" s="5">
        <v>2.02571343779E11</v>
      </c>
      <c r="B1007" s="5" t="s">
        <v>1101</v>
      </c>
      <c r="C1007" s="5">
        <v>51923196929</v>
      </c>
      <c r="D1007" s="5" t="s">
        <v>13</v>
      </c>
      <c r="E1007" s="5">
        <v>8.0566583E7</v>
      </c>
      <c r="F1007" s="5" t="s">
        <v>93</v>
      </c>
      <c r="G1007" s="5" t="s">
        <v>15</v>
      </c>
      <c r="H1007" s="5" t="s">
        <v>66</v>
      </c>
      <c r="I1007" s="6"/>
      <c r="J1007" s="7" t="s">
        <v>18</v>
      </c>
      <c r="K1007" s="7" t="s">
        <v>19</v>
      </c>
      <c r="L1007" s="8">
        <v>1.771138131227E12</v>
      </c>
      <c r="M1007" s="9"/>
      <c r="N1007" s="10"/>
      <c r="O1007" s="10"/>
      <c r="P1007" s="10"/>
      <c r="Q1007" s="10"/>
      <c r="R1007" s="10"/>
      <c r="S1007" s="10"/>
      <c r="T1007" s="10"/>
      <c r="U1007" s="10"/>
      <c r="V1007" s="10"/>
    </row>
    <row r="1008" ht="22.5" customHeight="1">
      <c r="A1008" s="5">
        <v>2.02583134804E11</v>
      </c>
      <c r="B1008" s="5" t="s">
        <v>1102</v>
      </c>
      <c r="C1008" s="5">
        <v>529934087661</v>
      </c>
      <c r="D1008" s="5" t="s">
        <v>13</v>
      </c>
      <c r="E1008" s="5">
        <v>8.0566583E7</v>
      </c>
      <c r="F1008" s="5" t="s">
        <v>14</v>
      </c>
      <c r="G1008" s="5" t="s">
        <v>15</v>
      </c>
      <c r="H1008" s="5" t="s">
        <v>66</v>
      </c>
      <c r="I1008" s="6" t="s">
        <v>17</v>
      </c>
      <c r="J1008" s="7" t="s">
        <v>18</v>
      </c>
      <c r="K1008" s="7" t="s">
        <v>61</v>
      </c>
      <c r="L1008" s="8">
        <v>1.771143631768E12</v>
      </c>
      <c r="M1008" s="9"/>
      <c r="N1008" s="10"/>
      <c r="O1008" s="10"/>
      <c r="P1008" s="10"/>
      <c r="Q1008" s="10"/>
      <c r="R1008" s="10"/>
      <c r="S1008" s="10"/>
      <c r="T1008" s="10"/>
      <c r="U1008" s="10"/>
      <c r="V1008" s="10"/>
    </row>
    <row r="1009" ht="22.5" customHeight="1">
      <c r="A1009" s="5">
        <v>2.02594345096E11</v>
      </c>
      <c r="B1009" s="5" t="s">
        <v>1103</v>
      </c>
      <c r="C1009" s="5">
        <v>526622812051</v>
      </c>
      <c r="D1009" s="5" t="s">
        <v>13</v>
      </c>
      <c r="E1009" s="5">
        <v>8.7547393E7</v>
      </c>
      <c r="F1009" s="5" t="s">
        <v>259</v>
      </c>
      <c r="G1009" s="5" t="s">
        <v>15</v>
      </c>
      <c r="H1009" s="5" t="s">
        <v>66</v>
      </c>
      <c r="I1009" s="6" t="s">
        <v>17</v>
      </c>
      <c r="J1009" s="7" t="s">
        <v>18</v>
      </c>
      <c r="K1009" s="7" t="s">
        <v>61</v>
      </c>
      <c r="L1009" s="8">
        <v>1.771147211848E12</v>
      </c>
      <c r="M1009" s="9"/>
      <c r="N1009" s="10"/>
      <c r="O1009" s="10"/>
      <c r="P1009" s="10"/>
      <c r="Q1009" s="10"/>
      <c r="R1009" s="10"/>
      <c r="S1009" s="10"/>
      <c r="T1009" s="10"/>
      <c r="U1009" s="10"/>
      <c r="V1009" s="10"/>
    </row>
    <row r="1010" ht="22.5" customHeight="1">
      <c r="A1010" s="5">
        <v>2.02597183785E11</v>
      </c>
      <c r="B1010" s="5" t="s">
        <v>1104</v>
      </c>
      <c r="C1010" s="5">
        <v>4917647199025</v>
      </c>
      <c r="D1010" s="5" t="s">
        <v>22</v>
      </c>
      <c r="E1010" s="5">
        <v>8.7547393E7</v>
      </c>
      <c r="F1010" s="5" t="s">
        <v>28</v>
      </c>
      <c r="G1010" s="5">
        <v>50</v>
      </c>
      <c r="H1010" s="5" t="s">
        <v>69</v>
      </c>
      <c r="I1010" s="6" t="s">
        <v>17</v>
      </c>
      <c r="J1010" s="7" t="s">
        <v>34</v>
      </c>
      <c r="K1010" s="7"/>
      <c r="L1010" s="8">
        <v>1.771148318892E12</v>
      </c>
      <c r="M1010" s="9"/>
      <c r="N1010" s="10"/>
      <c r="O1010" s="10"/>
      <c r="P1010" s="10"/>
      <c r="Q1010" s="10"/>
      <c r="R1010" s="10"/>
      <c r="S1010" s="10"/>
      <c r="T1010" s="10"/>
      <c r="U1010" s="10"/>
      <c r="V1010" s="10"/>
    </row>
    <row r="1011" ht="22.5" customHeight="1">
      <c r="A1011" s="5">
        <v>2.02596587346E11</v>
      </c>
      <c r="B1011" s="5" t="s">
        <v>1105</v>
      </c>
      <c r="C1011" s="5">
        <v>51902638261</v>
      </c>
      <c r="D1011" s="5" t="s">
        <v>13</v>
      </c>
      <c r="E1011" s="5">
        <v>8.7547393E7</v>
      </c>
      <c r="F1011" s="5" t="s">
        <v>28</v>
      </c>
      <c r="G1011" s="5" t="s">
        <v>32</v>
      </c>
      <c r="H1011" s="5" t="s">
        <v>69</v>
      </c>
      <c r="I1011" s="6" t="s">
        <v>17</v>
      </c>
      <c r="J1011" s="7" t="s">
        <v>34</v>
      </c>
      <c r="K1011" s="7"/>
      <c r="L1011" s="8">
        <v>1.771148577838E12</v>
      </c>
      <c r="M1011" s="9"/>
      <c r="N1011" s="10"/>
      <c r="O1011" s="10"/>
      <c r="P1011" s="10"/>
      <c r="Q1011" s="10"/>
      <c r="R1011" s="10"/>
      <c r="S1011" s="10"/>
      <c r="T1011" s="10"/>
      <c r="U1011" s="10"/>
      <c r="V1011" s="10"/>
    </row>
    <row r="1012" ht="22.5" customHeight="1">
      <c r="A1012" s="5">
        <v>2.02597183785E11</v>
      </c>
      <c r="B1012" s="5" t="s">
        <v>1104</v>
      </c>
      <c r="C1012" s="5">
        <v>4917647199025</v>
      </c>
      <c r="D1012" s="5" t="s">
        <v>22</v>
      </c>
      <c r="E1012" s="5">
        <v>8.7547393E7</v>
      </c>
      <c r="F1012" s="5" t="s">
        <v>28</v>
      </c>
      <c r="G1012" s="5">
        <v>50</v>
      </c>
      <c r="H1012" s="5" t="s">
        <v>69</v>
      </c>
      <c r="I1012" s="6" t="s">
        <v>17</v>
      </c>
      <c r="J1012" s="7" t="s">
        <v>34</v>
      </c>
      <c r="K1012" s="7"/>
      <c r="L1012" s="8">
        <v>1.771148887328E12</v>
      </c>
      <c r="M1012" s="9"/>
      <c r="N1012" s="10"/>
      <c r="O1012" s="10"/>
      <c r="P1012" s="10"/>
      <c r="Q1012" s="10"/>
      <c r="R1012" s="10"/>
      <c r="S1012" s="10"/>
      <c r="T1012" s="10"/>
      <c r="U1012" s="10"/>
      <c r="V1012" s="10"/>
    </row>
    <row r="1013" ht="22.5" customHeight="1">
      <c r="A1013" s="5">
        <v>2.02605930156E11</v>
      </c>
      <c r="B1013" s="5" t="s">
        <v>1106</v>
      </c>
      <c r="C1013" s="5">
        <v>51931391020</v>
      </c>
      <c r="D1013" s="5" t="s">
        <v>13</v>
      </c>
      <c r="E1013" s="5">
        <v>8.0566583E7</v>
      </c>
      <c r="F1013" s="5" t="s">
        <v>82</v>
      </c>
      <c r="G1013" s="5" t="s">
        <v>32</v>
      </c>
      <c r="H1013" s="5" t="s">
        <v>24</v>
      </c>
      <c r="I1013" s="6" t="s">
        <v>17</v>
      </c>
      <c r="J1013" s="7" t="s">
        <v>18</v>
      </c>
      <c r="K1013" s="7" t="s">
        <v>19</v>
      </c>
      <c r="L1013" s="8">
        <v>1.771151792863E12</v>
      </c>
      <c r="M1013" s="9"/>
      <c r="N1013" s="10"/>
      <c r="O1013" s="10"/>
      <c r="P1013" s="10"/>
      <c r="Q1013" s="10"/>
      <c r="R1013" s="10"/>
      <c r="S1013" s="10"/>
      <c r="T1013" s="10"/>
      <c r="U1013" s="10"/>
      <c r="V1013" s="10"/>
    </row>
    <row r="1014" ht="22.5" customHeight="1">
      <c r="A1014" s="5">
        <v>2.02604925999E11</v>
      </c>
      <c r="B1014" s="5" t="s">
        <v>1107</v>
      </c>
      <c r="C1014" s="5">
        <v>5573981425747</v>
      </c>
      <c r="D1014" s="5" t="s">
        <v>22</v>
      </c>
      <c r="E1014" s="5">
        <v>7.9360573E7</v>
      </c>
      <c r="F1014" s="5" t="s">
        <v>65</v>
      </c>
      <c r="G1014" s="5" t="s">
        <v>44</v>
      </c>
      <c r="H1014" s="5" t="s">
        <v>74</v>
      </c>
      <c r="I1014" s="6" t="s">
        <v>17</v>
      </c>
      <c r="J1014" s="7" t="s">
        <v>34</v>
      </c>
      <c r="K1014" s="7"/>
      <c r="L1014" s="8">
        <v>1.771151842991E12</v>
      </c>
      <c r="M1014" s="9"/>
      <c r="N1014" s="10"/>
      <c r="O1014" s="10"/>
      <c r="P1014" s="10"/>
      <c r="Q1014" s="10"/>
      <c r="R1014" s="10"/>
      <c r="S1014" s="10"/>
      <c r="T1014" s="10"/>
      <c r="U1014" s="10"/>
      <c r="V1014" s="10"/>
    </row>
    <row r="1015" ht="22.5" customHeight="1">
      <c r="A1015" s="5">
        <v>2.02607418952E11</v>
      </c>
      <c r="B1015" s="5" t="s">
        <v>1108</v>
      </c>
      <c r="C1015" s="5">
        <v>528146954100</v>
      </c>
      <c r="D1015" s="5" t="s">
        <v>13</v>
      </c>
      <c r="E1015" s="5">
        <v>8.7547393E7</v>
      </c>
      <c r="F1015" s="5" t="s">
        <v>510</v>
      </c>
      <c r="G1015" s="5" t="s">
        <v>44</v>
      </c>
      <c r="H1015" s="5" t="s">
        <v>16</v>
      </c>
      <c r="I1015" s="6" t="s">
        <v>17</v>
      </c>
      <c r="J1015" s="7" t="s">
        <v>18</v>
      </c>
      <c r="K1015" s="7" t="s">
        <v>61</v>
      </c>
      <c r="L1015" s="8">
        <v>1.771152218773E12</v>
      </c>
      <c r="M1015" s="9"/>
      <c r="N1015" s="10"/>
      <c r="O1015" s="10"/>
      <c r="P1015" s="10"/>
      <c r="Q1015" s="10"/>
      <c r="R1015" s="10"/>
      <c r="S1015" s="10"/>
      <c r="T1015" s="10"/>
      <c r="U1015" s="10"/>
      <c r="V1015" s="10"/>
    </row>
    <row r="1016" ht="22.5" customHeight="1">
      <c r="A1016" s="5">
        <v>2.02605820072E11</v>
      </c>
      <c r="B1016" s="5" t="s">
        <v>1109</v>
      </c>
      <c r="C1016" s="5">
        <v>5585981594139</v>
      </c>
      <c r="D1016" s="5" t="s">
        <v>13</v>
      </c>
      <c r="E1016" s="5">
        <v>7.9360573E7</v>
      </c>
      <c r="F1016" s="5"/>
      <c r="G1016" s="5" t="s">
        <v>15</v>
      </c>
      <c r="H1016" s="5" t="s">
        <v>16</v>
      </c>
      <c r="I1016" s="6" t="s">
        <v>36</v>
      </c>
      <c r="J1016" s="7" t="s">
        <v>124</v>
      </c>
      <c r="K1016" s="7" t="s">
        <v>1002</v>
      </c>
      <c r="L1016" s="8">
        <v>1.771152623263E12</v>
      </c>
      <c r="M1016" s="9"/>
      <c r="N1016" s="10"/>
      <c r="O1016" s="10"/>
      <c r="P1016" s="10"/>
      <c r="Q1016" s="10"/>
      <c r="R1016" s="10"/>
      <c r="S1016" s="10"/>
      <c r="T1016" s="10"/>
      <c r="U1016" s="10"/>
      <c r="V1016" s="10"/>
    </row>
    <row r="1017" ht="22.5" customHeight="1">
      <c r="A1017" s="5">
        <v>2.02613320323E11</v>
      </c>
      <c r="B1017" s="5" t="s">
        <v>1110</v>
      </c>
      <c r="C1017" s="5">
        <v>5531984612676</v>
      </c>
      <c r="D1017" s="5" t="s">
        <v>13</v>
      </c>
      <c r="E1017" s="5">
        <v>7.9360573E7</v>
      </c>
      <c r="F1017" s="5" t="s">
        <v>42</v>
      </c>
      <c r="G1017" s="5" t="s">
        <v>15</v>
      </c>
      <c r="H1017" s="5" t="s">
        <v>239</v>
      </c>
      <c r="I1017" s="6" t="s">
        <v>148</v>
      </c>
      <c r="J1017" s="7" t="s">
        <v>34</v>
      </c>
      <c r="K1017" s="7"/>
      <c r="L1017" s="8">
        <v>1.771152911177E12</v>
      </c>
      <c r="M1017" s="9"/>
      <c r="N1017" s="10"/>
      <c r="O1017" s="10"/>
      <c r="P1017" s="10"/>
      <c r="Q1017" s="10"/>
      <c r="R1017" s="10"/>
      <c r="S1017" s="10"/>
      <c r="T1017" s="10"/>
      <c r="U1017" s="10"/>
      <c r="V1017" s="10"/>
    </row>
    <row r="1018" ht="22.5" customHeight="1">
      <c r="A1018" s="5">
        <v>2.02606639937E11</v>
      </c>
      <c r="B1018" s="5" t="s">
        <v>1111</v>
      </c>
      <c r="C1018" s="5">
        <v>51917903389</v>
      </c>
      <c r="D1018" s="5" t="s">
        <v>13</v>
      </c>
      <c r="E1018" s="5">
        <v>8.0566583E7</v>
      </c>
      <c r="F1018" s="5" t="s">
        <v>42</v>
      </c>
      <c r="G1018" s="5" t="s">
        <v>15</v>
      </c>
      <c r="H1018" s="5" t="s">
        <v>24</v>
      </c>
      <c r="I1018" s="6" t="s">
        <v>17</v>
      </c>
      <c r="J1018" s="7" t="s">
        <v>18</v>
      </c>
      <c r="K1018" s="7" t="s">
        <v>19</v>
      </c>
      <c r="L1018" s="8">
        <v>1.771152957817E12</v>
      </c>
      <c r="M1018" s="9"/>
      <c r="N1018" s="10"/>
      <c r="O1018" s="10"/>
      <c r="P1018" s="10"/>
      <c r="Q1018" s="10"/>
      <c r="R1018" s="10"/>
      <c r="S1018" s="10"/>
      <c r="T1018" s="10"/>
      <c r="U1018" s="10"/>
      <c r="V1018" s="10"/>
    </row>
    <row r="1019" ht="22.5" customHeight="1">
      <c r="A1019" s="5">
        <v>2.02613918114E11</v>
      </c>
      <c r="B1019" s="5" t="s">
        <v>1112</v>
      </c>
      <c r="C1019" s="5">
        <v>5519992101810</v>
      </c>
      <c r="D1019" s="5" t="s">
        <v>13</v>
      </c>
      <c r="E1019" s="5">
        <v>7.9360573E7</v>
      </c>
      <c r="F1019" s="5" t="s">
        <v>714</v>
      </c>
      <c r="G1019" s="5" t="s">
        <v>15</v>
      </c>
      <c r="H1019" s="5" t="s">
        <v>16</v>
      </c>
      <c r="I1019" s="6" t="s">
        <v>17</v>
      </c>
      <c r="J1019" s="7" t="s">
        <v>34</v>
      </c>
      <c r="K1019" s="7"/>
      <c r="L1019" s="8">
        <v>1.771153584734E12</v>
      </c>
      <c r="M1019" s="9"/>
      <c r="N1019" s="10"/>
      <c r="O1019" s="10"/>
      <c r="P1019" s="10"/>
      <c r="Q1019" s="10"/>
      <c r="R1019" s="10"/>
      <c r="S1019" s="10"/>
      <c r="T1019" s="10"/>
      <c r="U1019" s="10"/>
      <c r="V1019" s="10"/>
    </row>
    <row r="1020" ht="22.5" customHeight="1">
      <c r="A1020" s="5">
        <v>1.4359235518E11</v>
      </c>
      <c r="B1020" s="5" t="s">
        <v>1113</v>
      </c>
      <c r="C1020" s="5">
        <v>51941840823</v>
      </c>
      <c r="D1020" s="5" t="s">
        <v>13</v>
      </c>
      <c r="E1020" s="5"/>
      <c r="F1020" s="5" t="s">
        <v>28</v>
      </c>
      <c r="G1020" s="5" t="s">
        <v>32</v>
      </c>
      <c r="H1020" s="5" t="s">
        <v>51</v>
      </c>
      <c r="I1020" s="6" t="s">
        <v>17</v>
      </c>
      <c r="J1020" s="7" t="s">
        <v>25</v>
      </c>
      <c r="K1020" s="7"/>
      <c r="L1020" s="8">
        <v>1.771153918929E12</v>
      </c>
      <c r="M1020" s="9"/>
      <c r="N1020" s="10"/>
      <c r="O1020" s="10"/>
      <c r="P1020" s="10"/>
      <c r="Q1020" s="10"/>
      <c r="R1020" s="10"/>
      <c r="S1020" s="10"/>
      <c r="T1020" s="10"/>
      <c r="U1020" s="10"/>
      <c r="V1020" s="10"/>
    </row>
    <row r="1021" ht="22.5" customHeight="1">
      <c r="A1021" s="5">
        <v>2.02614182221E11</v>
      </c>
      <c r="B1021" s="5" t="s">
        <v>1114</v>
      </c>
      <c r="C1021" s="5">
        <v>526863544587</v>
      </c>
      <c r="D1021" s="5" t="s">
        <v>38</v>
      </c>
      <c r="E1021" s="5">
        <v>8.0566583E7</v>
      </c>
      <c r="F1021" s="5" t="s">
        <v>28</v>
      </c>
      <c r="G1021" s="5" t="s">
        <v>32</v>
      </c>
      <c r="H1021" s="5" t="s">
        <v>66</v>
      </c>
      <c r="I1021" s="6" t="s">
        <v>17</v>
      </c>
      <c r="J1021" s="7" t="s">
        <v>34</v>
      </c>
      <c r="K1021" s="7"/>
      <c r="L1021" s="8">
        <v>1.771154473857E12</v>
      </c>
      <c r="M1021" s="9"/>
      <c r="N1021" s="10"/>
      <c r="O1021" s="10"/>
      <c r="P1021" s="10"/>
      <c r="Q1021" s="10"/>
      <c r="R1021" s="10"/>
      <c r="S1021" s="10"/>
      <c r="T1021" s="10"/>
      <c r="U1021" s="10"/>
      <c r="V1021" s="10"/>
    </row>
    <row r="1022" ht="22.5" customHeight="1">
      <c r="A1022" s="5">
        <v>2.02614399617E11</v>
      </c>
      <c r="B1022" s="5" t="s">
        <v>1115</v>
      </c>
      <c r="C1022" s="5">
        <v>5527988793047</v>
      </c>
      <c r="D1022" s="5" t="s">
        <v>38</v>
      </c>
      <c r="E1022" s="5">
        <v>7.9360573E7</v>
      </c>
      <c r="F1022" s="5" t="s">
        <v>28</v>
      </c>
      <c r="G1022" s="5" t="s">
        <v>44</v>
      </c>
      <c r="H1022" s="5" t="s">
        <v>396</v>
      </c>
      <c r="I1022" s="6" t="s">
        <v>17</v>
      </c>
      <c r="J1022" s="7" t="s">
        <v>34</v>
      </c>
      <c r="K1022" s="7"/>
      <c r="L1022" s="8">
        <v>1.771154805441E12</v>
      </c>
      <c r="M1022" s="9"/>
      <c r="N1022" s="10"/>
      <c r="O1022" s="10"/>
      <c r="P1022" s="10"/>
      <c r="Q1022" s="10"/>
      <c r="R1022" s="10"/>
      <c r="S1022" s="10"/>
      <c r="T1022" s="10"/>
      <c r="U1022" s="10"/>
      <c r="V1022" s="10"/>
    </row>
    <row r="1023" ht="22.5" customHeight="1">
      <c r="A1023" s="5">
        <v>2.02609568923E11</v>
      </c>
      <c r="B1023" s="5" t="s">
        <v>1116</v>
      </c>
      <c r="C1023" s="5">
        <v>51933052494</v>
      </c>
      <c r="D1023" s="5" t="s">
        <v>38</v>
      </c>
      <c r="E1023" s="5">
        <v>8.0566583E7</v>
      </c>
      <c r="F1023" s="5" t="s">
        <v>39</v>
      </c>
      <c r="G1023" s="5" t="s">
        <v>15</v>
      </c>
      <c r="H1023" s="5" t="s">
        <v>1117</v>
      </c>
      <c r="I1023" s="6" t="s">
        <v>36</v>
      </c>
      <c r="J1023" s="7" t="s">
        <v>34</v>
      </c>
      <c r="K1023" s="7"/>
      <c r="L1023" s="8">
        <v>1.771155078788E12</v>
      </c>
      <c r="M1023" s="9"/>
      <c r="N1023" s="10"/>
      <c r="O1023" s="10"/>
      <c r="P1023" s="10"/>
      <c r="Q1023" s="10"/>
      <c r="R1023" s="10"/>
      <c r="S1023" s="10"/>
      <c r="T1023" s="10"/>
      <c r="U1023" s="10"/>
      <c r="V1023" s="10"/>
    </row>
    <row r="1024" ht="22.5" customHeight="1">
      <c r="A1024" s="5">
        <v>2.02610815842E11</v>
      </c>
      <c r="B1024" s="5" t="s">
        <v>1118</v>
      </c>
      <c r="C1024" s="5">
        <v>51983070748</v>
      </c>
      <c r="D1024" s="5" t="s">
        <v>103</v>
      </c>
      <c r="E1024" s="5">
        <v>8.7547393E7</v>
      </c>
      <c r="F1024" s="5" t="s">
        <v>28</v>
      </c>
      <c r="G1024" s="5" t="s">
        <v>79</v>
      </c>
      <c r="H1024" s="5" t="s">
        <v>24</v>
      </c>
      <c r="I1024" s="6" t="s">
        <v>17</v>
      </c>
      <c r="J1024" s="7" t="s">
        <v>18</v>
      </c>
      <c r="K1024" s="7" t="s">
        <v>19</v>
      </c>
      <c r="L1024" s="8">
        <v>1.771157682435E12</v>
      </c>
      <c r="M1024" s="9"/>
      <c r="N1024" s="10"/>
      <c r="O1024" s="10"/>
      <c r="P1024" s="10"/>
      <c r="Q1024" s="10"/>
      <c r="R1024" s="10"/>
      <c r="S1024" s="10"/>
      <c r="T1024" s="10"/>
      <c r="U1024" s="10"/>
      <c r="V1024" s="10"/>
    </row>
    <row r="1025" ht="22.5" customHeight="1">
      <c r="A1025" s="5">
        <v>1.80561475843E11</v>
      </c>
      <c r="B1025" s="5" t="s">
        <v>1119</v>
      </c>
      <c r="C1025" s="5">
        <v>51976735960</v>
      </c>
      <c r="D1025" s="5" t="s">
        <v>13</v>
      </c>
      <c r="E1025" s="5">
        <v>8.7547393E7</v>
      </c>
      <c r="F1025" s="5" t="s">
        <v>65</v>
      </c>
      <c r="G1025" s="5" t="s">
        <v>32</v>
      </c>
      <c r="H1025" s="5" t="s">
        <v>66</v>
      </c>
      <c r="I1025" s="6" t="s">
        <v>17</v>
      </c>
      <c r="J1025" s="7" t="s">
        <v>18</v>
      </c>
      <c r="K1025" s="7" t="s">
        <v>116</v>
      </c>
      <c r="L1025" s="8">
        <v>1.77115839218E12</v>
      </c>
      <c r="M1025" s="9"/>
      <c r="N1025" s="10"/>
      <c r="O1025" s="10"/>
      <c r="P1025" s="10"/>
      <c r="Q1025" s="10"/>
      <c r="R1025" s="10"/>
      <c r="S1025" s="10"/>
      <c r="T1025" s="10"/>
      <c r="U1025" s="10"/>
      <c r="V1025" s="10"/>
    </row>
    <row r="1026" ht="22.5" customHeight="1">
      <c r="A1026" s="5">
        <v>2.02619483649E11</v>
      </c>
      <c r="B1026" s="5" t="s">
        <v>1120</v>
      </c>
      <c r="C1026" s="5">
        <v>51997299857</v>
      </c>
      <c r="D1026" s="5" t="s">
        <v>13</v>
      </c>
      <c r="E1026" s="5">
        <v>8.7547393E7</v>
      </c>
      <c r="F1026" s="5" t="s">
        <v>259</v>
      </c>
      <c r="G1026" s="5" t="s">
        <v>15</v>
      </c>
      <c r="H1026" s="5" t="s">
        <v>16</v>
      </c>
      <c r="I1026" s="6" t="s">
        <v>17</v>
      </c>
      <c r="J1026" s="7" t="s">
        <v>34</v>
      </c>
      <c r="K1026" s="7"/>
      <c r="L1026" s="8">
        <v>1.771158564461E12</v>
      </c>
      <c r="M1026" s="9"/>
      <c r="N1026" s="10"/>
      <c r="O1026" s="10"/>
      <c r="P1026" s="10"/>
      <c r="Q1026" s="10"/>
      <c r="R1026" s="10"/>
      <c r="S1026" s="10"/>
      <c r="T1026" s="10"/>
      <c r="U1026" s="10"/>
      <c r="V1026" s="10"/>
    </row>
    <row r="1027" ht="22.5" customHeight="1">
      <c r="A1027" s="5">
        <v>1.56391580478E11</v>
      </c>
      <c r="B1027" s="5" t="s">
        <v>1121</v>
      </c>
      <c r="C1027" s="5">
        <v>51947151360</v>
      </c>
      <c r="D1027" s="5" t="s">
        <v>13</v>
      </c>
      <c r="E1027" s="5">
        <v>8.7547393E7</v>
      </c>
      <c r="F1027" s="5" t="s">
        <v>14</v>
      </c>
      <c r="G1027" s="5" t="s">
        <v>15</v>
      </c>
      <c r="H1027" s="5" t="s">
        <v>29</v>
      </c>
      <c r="I1027" s="6" t="s">
        <v>17</v>
      </c>
      <c r="J1027" s="7" t="s">
        <v>18</v>
      </c>
      <c r="K1027" s="7" t="s">
        <v>1122</v>
      </c>
      <c r="L1027" s="8">
        <v>1.771158684884E12</v>
      </c>
      <c r="M1027" s="9"/>
      <c r="N1027" s="10"/>
      <c r="O1027" s="10"/>
      <c r="P1027" s="10"/>
      <c r="Q1027" s="10"/>
      <c r="R1027" s="10"/>
      <c r="S1027" s="10"/>
      <c r="T1027" s="10"/>
      <c r="U1027" s="10"/>
      <c r="V1027" s="10"/>
    </row>
    <row r="1028" ht="22.5" customHeight="1">
      <c r="A1028" s="5">
        <v>1.87935753078E11</v>
      </c>
      <c r="B1028" s="5" t="s">
        <v>1123</v>
      </c>
      <c r="C1028" s="5">
        <v>51932403695</v>
      </c>
      <c r="D1028" s="5" t="s">
        <v>13</v>
      </c>
      <c r="E1028" s="5">
        <v>8.0566583E7</v>
      </c>
      <c r="F1028" s="5" t="s">
        <v>14</v>
      </c>
      <c r="G1028" s="5" t="s">
        <v>15</v>
      </c>
      <c r="H1028" s="5" t="s">
        <v>74</v>
      </c>
      <c r="I1028" s="6" t="s">
        <v>17</v>
      </c>
      <c r="J1028" s="7" t="s">
        <v>18</v>
      </c>
      <c r="K1028" s="7" t="s">
        <v>19</v>
      </c>
      <c r="L1028" s="8">
        <v>1.771158785099E12</v>
      </c>
      <c r="M1028" s="9"/>
      <c r="N1028" s="10"/>
      <c r="O1028" s="10"/>
      <c r="P1028" s="10"/>
      <c r="Q1028" s="10"/>
      <c r="R1028" s="10"/>
      <c r="S1028" s="10"/>
      <c r="T1028" s="10"/>
      <c r="U1028" s="10"/>
      <c r="V1028" s="10"/>
    </row>
    <row r="1029" ht="22.5" customHeight="1">
      <c r="A1029" s="5">
        <v>2.02618930451E11</v>
      </c>
      <c r="B1029" s="5" t="s">
        <v>1124</v>
      </c>
      <c r="C1029" s="5">
        <v>527681116715</v>
      </c>
      <c r="D1029" s="5" t="s">
        <v>38</v>
      </c>
      <c r="E1029" s="5">
        <v>8.0566583E7</v>
      </c>
      <c r="F1029" s="5"/>
      <c r="G1029" s="5"/>
      <c r="H1029" s="5"/>
      <c r="I1029" s="6"/>
      <c r="J1029" s="7" t="s">
        <v>18</v>
      </c>
      <c r="K1029" s="7" t="s">
        <v>61</v>
      </c>
      <c r="L1029" s="8">
        <v>1.771159168183E12</v>
      </c>
      <c r="M1029" s="9"/>
      <c r="N1029" s="10"/>
      <c r="O1029" s="10"/>
      <c r="P1029" s="10"/>
      <c r="Q1029" s="10"/>
      <c r="R1029" s="10"/>
      <c r="S1029" s="10"/>
      <c r="T1029" s="10"/>
      <c r="U1029" s="10"/>
      <c r="V1029" s="10"/>
    </row>
    <row r="1030" ht="22.5" customHeight="1">
      <c r="A1030" s="5">
        <v>2.02619762077E11</v>
      </c>
      <c r="B1030" s="5" t="s">
        <v>1125</v>
      </c>
      <c r="C1030" s="5">
        <v>51925198212</v>
      </c>
      <c r="D1030" s="5" t="s">
        <v>13</v>
      </c>
      <c r="E1030" s="5">
        <v>8.7547393E7</v>
      </c>
      <c r="F1030" s="5" t="s">
        <v>39</v>
      </c>
      <c r="G1030" s="5" t="s">
        <v>15</v>
      </c>
      <c r="H1030" s="5" t="s">
        <v>51</v>
      </c>
      <c r="I1030" s="6" t="s">
        <v>63</v>
      </c>
      <c r="J1030" s="7" t="s">
        <v>18</v>
      </c>
      <c r="K1030" s="7" t="s">
        <v>19</v>
      </c>
      <c r="L1030" s="8">
        <v>1.771160255722E12</v>
      </c>
      <c r="M1030" s="9"/>
      <c r="N1030" s="10"/>
      <c r="O1030" s="10"/>
      <c r="P1030" s="10"/>
      <c r="Q1030" s="10"/>
      <c r="R1030" s="10"/>
      <c r="S1030" s="10"/>
      <c r="T1030" s="10"/>
      <c r="U1030" s="10"/>
      <c r="V1030" s="10"/>
    </row>
    <row r="1031" ht="22.5" customHeight="1">
      <c r="A1031" s="5">
        <v>2.02612799801E11</v>
      </c>
      <c r="B1031" s="5" t="s">
        <v>1126</v>
      </c>
      <c r="C1031" s="5">
        <v>5521998361727</v>
      </c>
      <c r="D1031" s="5" t="s">
        <v>13</v>
      </c>
      <c r="E1031" s="5">
        <v>7.9360573E7</v>
      </c>
      <c r="F1031" s="5" t="s">
        <v>259</v>
      </c>
      <c r="G1031" s="5" t="s">
        <v>15</v>
      </c>
      <c r="H1031" s="5" t="s">
        <v>51</v>
      </c>
      <c r="I1031" s="6" t="s">
        <v>17</v>
      </c>
      <c r="J1031" s="7" t="s">
        <v>34</v>
      </c>
      <c r="K1031" s="7"/>
      <c r="L1031" s="8">
        <v>1.771161199324E12</v>
      </c>
      <c r="M1031" s="9"/>
      <c r="N1031" s="10"/>
      <c r="O1031" s="10"/>
      <c r="P1031" s="10"/>
      <c r="Q1031" s="10"/>
      <c r="R1031" s="10"/>
      <c r="S1031" s="10"/>
      <c r="T1031" s="10"/>
      <c r="U1031" s="10"/>
      <c r="V1031" s="10"/>
    </row>
    <row r="1032" ht="22.5" customHeight="1">
      <c r="A1032" s="5">
        <v>2.02630495244E11</v>
      </c>
      <c r="B1032" s="5" t="s">
        <v>1127</v>
      </c>
      <c r="C1032" s="5">
        <v>51936851904</v>
      </c>
      <c r="D1032" s="5" t="s">
        <v>13</v>
      </c>
      <c r="E1032" s="5">
        <v>8.7547393E7</v>
      </c>
      <c r="F1032" s="5" t="s">
        <v>14</v>
      </c>
      <c r="G1032" s="5" t="s">
        <v>32</v>
      </c>
      <c r="H1032" s="5" t="s">
        <v>16</v>
      </c>
      <c r="I1032" s="6" t="s">
        <v>17</v>
      </c>
      <c r="J1032" s="7" t="s">
        <v>34</v>
      </c>
      <c r="K1032" s="7"/>
      <c r="L1032" s="8">
        <v>1.77116272565E12</v>
      </c>
      <c r="M1032" s="9"/>
      <c r="N1032" s="10"/>
      <c r="O1032" s="10"/>
      <c r="P1032" s="10"/>
      <c r="Q1032" s="10"/>
      <c r="R1032" s="10"/>
      <c r="S1032" s="10"/>
      <c r="T1032" s="10"/>
      <c r="U1032" s="10"/>
      <c r="V1032" s="10"/>
    </row>
    <row r="1033" ht="22.5" customHeight="1">
      <c r="A1033" s="5">
        <v>2.02622437243E11</v>
      </c>
      <c r="B1033" s="5" t="s">
        <v>1128</v>
      </c>
      <c r="C1033" s="5">
        <v>51984590879</v>
      </c>
      <c r="D1033" s="5" t="s">
        <v>13</v>
      </c>
      <c r="E1033" s="5">
        <v>8.0566583E7</v>
      </c>
      <c r="F1033" s="5" t="s">
        <v>28</v>
      </c>
      <c r="G1033" s="5">
        <v>50</v>
      </c>
      <c r="H1033" s="5" t="s">
        <v>24</v>
      </c>
      <c r="I1033" s="6" t="s">
        <v>49</v>
      </c>
      <c r="J1033" s="7" t="s">
        <v>18</v>
      </c>
      <c r="K1033" s="7" t="s">
        <v>19</v>
      </c>
      <c r="L1033" s="8">
        <v>1.771162823656E12</v>
      </c>
      <c r="M1033" s="9"/>
      <c r="N1033" s="10"/>
      <c r="O1033" s="10"/>
      <c r="P1033" s="10"/>
      <c r="Q1033" s="10"/>
      <c r="R1033" s="10"/>
      <c r="S1033" s="10"/>
      <c r="T1033" s="10"/>
      <c r="U1033" s="10"/>
      <c r="V1033" s="10"/>
    </row>
    <row r="1034" ht="22.5" customHeight="1">
      <c r="A1034" s="5">
        <v>2.02621534857E11</v>
      </c>
      <c r="B1034" s="5" t="s">
        <v>1129</v>
      </c>
      <c r="C1034" s="5">
        <v>51957233376</v>
      </c>
      <c r="D1034" s="5" t="s">
        <v>22</v>
      </c>
      <c r="E1034" s="5">
        <v>8.0566583E7</v>
      </c>
      <c r="F1034" s="5" t="s">
        <v>28</v>
      </c>
      <c r="G1034" s="5" t="s">
        <v>44</v>
      </c>
      <c r="H1034" s="5" t="s">
        <v>24</v>
      </c>
      <c r="I1034" s="6" t="s">
        <v>17</v>
      </c>
      <c r="J1034" s="7" t="s">
        <v>18</v>
      </c>
      <c r="K1034" s="7" t="s">
        <v>19</v>
      </c>
      <c r="L1034" s="8">
        <v>1.771162841412E12</v>
      </c>
      <c r="M1034" s="9"/>
      <c r="N1034" s="10"/>
      <c r="O1034" s="10"/>
      <c r="P1034" s="10"/>
      <c r="Q1034" s="10"/>
      <c r="R1034" s="10"/>
      <c r="S1034" s="10"/>
      <c r="T1034" s="10"/>
      <c r="U1034" s="10"/>
      <c r="V1034" s="10"/>
    </row>
    <row r="1035" ht="22.5" customHeight="1">
      <c r="A1035" s="5">
        <v>2.02628625976E11</v>
      </c>
      <c r="B1035" s="5" t="s">
        <v>1130</v>
      </c>
      <c r="C1035" s="5">
        <v>51900672908</v>
      </c>
      <c r="D1035" s="5" t="s">
        <v>13</v>
      </c>
      <c r="E1035" s="5">
        <v>8.7547393E7</v>
      </c>
      <c r="F1035" s="5"/>
      <c r="G1035" s="5" t="s">
        <v>15</v>
      </c>
      <c r="H1035" s="5" t="s">
        <v>51</v>
      </c>
      <c r="I1035" s="6" t="s">
        <v>17</v>
      </c>
      <c r="J1035" s="7" t="s">
        <v>34</v>
      </c>
      <c r="K1035" s="7"/>
      <c r="L1035" s="8">
        <v>1.771163536696E12</v>
      </c>
      <c r="M1035" s="9"/>
      <c r="N1035" s="10"/>
      <c r="O1035" s="10"/>
      <c r="P1035" s="10"/>
      <c r="Q1035" s="10"/>
      <c r="R1035" s="10"/>
      <c r="S1035" s="10"/>
      <c r="T1035" s="10"/>
      <c r="U1035" s="10"/>
      <c r="V1035" s="10"/>
    </row>
    <row r="1036" ht="22.5" customHeight="1">
      <c r="A1036" s="5">
        <v>1.71778077598E11</v>
      </c>
      <c r="B1036" s="5" t="s">
        <v>1131</v>
      </c>
      <c r="C1036" s="5">
        <v>51952268160</v>
      </c>
      <c r="D1036" s="5" t="s">
        <v>13</v>
      </c>
      <c r="E1036" s="5">
        <v>8.7547393E7</v>
      </c>
      <c r="F1036" s="5" t="s">
        <v>39</v>
      </c>
      <c r="G1036" s="5" t="s">
        <v>15</v>
      </c>
      <c r="H1036" s="5" t="s">
        <v>114</v>
      </c>
      <c r="I1036" s="6" t="s">
        <v>17</v>
      </c>
      <c r="J1036" s="7" t="s">
        <v>34</v>
      </c>
      <c r="K1036" s="7"/>
      <c r="L1036" s="8">
        <v>1.771163750817E12</v>
      </c>
      <c r="M1036" s="9"/>
      <c r="N1036" s="10"/>
      <c r="O1036" s="10"/>
      <c r="P1036" s="10"/>
      <c r="Q1036" s="10"/>
      <c r="R1036" s="10"/>
      <c r="S1036" s="10"/>
      <c r="T1036" s="10"/>
      <c r="U1036" s="10"/>
      <c r="V1036" s="10"/>
    </row>
    <row r="1037" ht="22.5" customHeight="1">
      <c r="A1037" s="5">
        <v>2.02634523921E11</v>
      </c>
      <c r="B1037" s="5" t="s">
        <v>1132</v>
      </c>
      <c r="C1037" s="5">
        <v>523328377455</v>
      </c>
      <c r="D1037" s="5" t="s">
        <v>13</v>
      </c>
      <c r="E1037" s="5">
        <v>8.7547393E7</v>
      </c>
      <c r="F1037" s="5" t="s">
        <v>28</v>
      </c>
      <c r="G1037" s="5" t="s">
        <v>15</v>
      </c>
      <c r="H1037" s="5" t="s">
        <v>29</v>
      </c>
      <c r="I1037" s="6"/>
      <c r="J1037" s="7" t="s">
        <v>18</v>
      </c>
      <c r="K1037" s="7" t="s">
        <v>61</v>
      </c>
      <c r="L1037" s="8">
        <v>1.771166137744E12</v>
      </c>
      <c r="M1037" s="9"/>
      <c r="N1037" s="10"/>
      <c r="O1037" s="10"/>
      <c r="P1037" s="10"/>
      <c r="Q1037" s="10"/>
      <c r="R1037" s="10"/>
      <c r="S1037" s="10"/>
      <c r="T1037" s="10"/>
      <c r="U1037" s="10"/>
      <c r="V1037" s="10"/>
    </row>
    <row r="1038" ht="22.5" customHeight="1">
      <c r="A1038" s="5">
        <v>2.02636650342E11</v>
      </c>
      <c r="B1038" s="5" t="s">
        <v>1133</v>
      </c>
      <c r="C1038" s="5">
        <v>528342995609</v>
      </c>
      <c r="D1038" s="5" t="s">
        <v>13</v>
      </c>
      <c r="E1038" s="5">
        <v>8.7547393E7</v>
      </c>
      <c r="F1038" s="5" t="s">
        <v>28</v>
      </c>
      <c r="G1038" s="5" t="s">
        <v>15</v>
      </c>
      <c r="H1038" s="5" t="s">
        <v>51</v>
      </c>
      <c r="I1038" s="6" t="s">
        <v>63</v>
      </c>
      <c r="J1038" s="7" t="s">
        <v>34</v>
      </c>
      <c r="K1038" s="7"/>
      <c r="L1038" s="8">
        <v>1.771166415725E12</v>
      </c>
      <c r="M1038" s="9"/>
      <c r="N1038" s="10"/>
      <c r="O1038" s="10"/>
      <c r="P1038" s="10"/>
      <c r="Q1038" s="10"/>
      <c r="R1038" s="10"/>
      <c r="S1038" s="10"/>
      <c r="T1038" s="10"/>
      <c r="U1038" s="10"/>
      <c r="V1038" s="10"/>
    </row>
    <row r="1039" ht="22.5" customHeight="1">
      <c r="A1039" s="5">
        <v>2.02634459529E11</v>
      </c>
      <c r="B1039" s="5" t="s">
        <v>1134</v>
      </c>
      <c r="C1039" s="5">
        <v>51935528097</v>
      </c>
      <c r="D1039" s="5" t="s">
        <v>13</v>
      </c>
      <c r="E1039" s="5">
        <v>8.0566583E7</v>
      </c>
      <c r="F1039" s="5" t="s">
        <v>28</v>
      </c>
      <c r="G1039" s="5" t="s">
        <v>15</v>
      </c>
      <c r="H1039" s="5" t="s">
        <v>51</v>
      </c>
      <c r="I1039" s="6" t="s">
        <v>17</v>
      </c>
      <c r="J1039" s="7" t="s">
        <v>18</v>
      </c>
      <c r="K1039" s="7" t="s">
        <v>19</v>
      </c>
      <c r="L1039" s="8">
        <v>1.771166941962E12</v>
      </c>
      <c r="M1039" s="9"/>
      <c r="N1039" s="10"/>
      <c r="O1039" s="10"/>
      <c r="P1039" s="10"/>
      <c r="Q1039" s="10"/>
      <c r="R1039" s="10"/>
      <c r="S1039" s="10"/>
      <c r="T1039" s="10"/>
      <c r="U1039" s="10"/>
      <c r="V1039" s="10"/>
    </row>
    <row r="1040" ht="22.5" customHeight="1">
      <c r="A1040" s="5">
        <v>2.02636355862E11</v>
      </c>
      <c r="B1040" s="5" t="s">
        <v>1135</v>
      </c>
      <c r="C1040" s="5">
        <v>5517996718174</v>
      </c>
      <c r="D1040" s="5" t="s">
        <v>13</v>
      </c>
      <c r="E1040" s="5">
        <v>7.9360573E7</v>
      </c>
      <c r="F1040" s="5" t="s">
        <v>39</v>
      </c>
      <c r="G1040" s="5" t="s">
        <v>32</v>
      </c>
      <c r="H1040" s="5" t="s">
        <v>24</v>
      </c>
      <c r="I1040" s="6" t="s">
        <v>17</v>
      </c>
      <c r="J1040" s="7" t="s">
        <v>124</v>
      </c>
      <c r="K1040" s="7" t="s">
        <v>125</v>
      </c>
      <c r="L1040" s="8">
        <v>1.771167014807E12</v>
      </c>
      <c r="M1040" s="9"/>
      <c r="N1040" s="10"/>
      <c r="O1040" s="10"/>
      <c r="P1040" s="10"/>
      <c r="Q1040" s="10"/>
      <c r="R1040" s="10"/>
      <c r="S1040" s="10"/>
      <c r="T1040" s="10"/>
      <c r="U1040" s="10"/>
      <c r="V1040" s="10"/>
    </row>
    <row r="1041" ht="22.5" customHeight="1">
      <c r="A1041" s="5">
        <v>2.02636265632E11</v>
      </c>
      <c r="B1041" s="5" t="s">
        <v>1136</v>
      </c>
      <c r="C1041" s="5">
        <v>522713135076</v>
      </c>
      <c r="D1041" s="5" t="s">
        <v>13</v>
      </c>
      <c r="E1041" s="5">
        <v>8.0566583E7</v>
      </c>
      <c r="F1041" s="5" t="s">
        <v>65</v>
      </c>
      <c r="G1041" s="5" t="s">
        <v>32</v>
      </c>
      <c r="H1041" s="5" t="s">
        <v>16</v>
      </c>
      <c r="I1041" s="6" t="s">
        <v>17</v>
      </c>
      <c r="J1041" s="7" t="s">
        <v>18</v>
      </c>
      <c r="K1041" s="7" t="s">
        <v>61</v>
      </c>
      <c r="L1041" s="8">
        <v>1.771167087574E12</v>
      </c>
      <c r="M1041" s="9"/>
      <c r="N1041" s="10"/>
      <c r="O1041" s="10"/>
      <c r="P1041" s="10"/>
      <c r="Q1041" s="10"/>
      <c r="R1041" s="10"/>
      <c r="S1041" s="10"/>
      <c r="T1041" s="10"/>
      <c r="U1041" s="10"/>
      <c r="V1041" s="10"/>
    </row>
    <row r="1042" ht="22.5" customHeight="1">
      <c r="A1042" s="5">
        <v>2.0264291827E11</v>
      </c>
      <c r="B1042" s="5" t="s">
        <v>1137</v>
      </c>
      <c r="C1042" s="5">
        <v>51929210660</v>
      </c>
      <c r="D1042" s="5" t="s">
        <v>13</v>
      </c>
      <c r="E1042" s="5">
        <v>8.7547393E7</v>
      </c>
      <c r="F1042" s="5" t="s">
        <v>510</v>
      </c>
      <c r="G1042" s="5" t="s">
        <v>15</v>
      </c>
      <c r="H1042" s="5" t="s">
        <v>16</v>
      </c>
      <c r="I1042" s="6" t="s">
        <v>17</v>
      </c>
      <c r="J1042" s="7" t="s">
        <v>18</v>
      </c>
      <c r="K1042" s="7" t="s">
        <v>19</v>
      </c>
      <c r="L1042" s="8">
        <v>1.77116921161E12</v>
      </c>
      <c r="M1042" s="9"/>
      <c r="N1042" s="10"/>
      <c r="O1042" s="10"/>
      <c r="P1042" s="10"/>
      <c r="Q1042" s="10"/>
      <c r="R1042" s="10"/>
      <c r="S1042" s="10"/>
      <c r="T1042" s="10"/>
      <c r="U1042" s="10"/>
      <c r="V1042" s="10"/>
    </row>
    <row r="1043" ht="22.5" customHeight="1">
      <c r="A1043" s="5">
        <v>2.02638830397E11</v>
      </c>
      <c r="B1043" s="5" t="s">
        <v>1138</v>
      </c>
      <c r="C1043" s="5">
        <v>5577981512944</v>
      </c>
      <c r="D1043" s="5" t="s">
        <v>103</v>
      </c>
      <c r="E1043" s="5">
        <v>7.9360573E7</v>
      </c>
      <c r="F1043" s="5" t="s">
        <v>28</v>
      </c>
      <c r="G1043" s="5" t="s">
        <v>79</v>
      </c>
      <c r="H1043" s="5" t="s">
        <v>24</v>
      </c>
      <c r="I1043" s="6" t="s">
        <v>17</v>
      </c>
      <c r="J1043" s="7" t="s">
        <v>34</v>
      </c>
      <c r="K1043" s="7"/>
      <c r="L1043" s="8">
        <v>1.771169656004E12</v>
      </c>
      <c r="M1043" s="9"/>
      <c r="N1043" s="10"/>
      <c r="O1043" s="10"/>
      <c r="P1043" s="10"/>
      <c r="Q1043" s="10"/>
      <c r="R1043" s="10"/>
      <c r="S1043" s="10"/>
      <c r="T1043" s="10"/>
      <c r="U1043" s="10"/>
      <c r="V1043" s="10"/>
    </row>
    <row r="1044" ht="22.5" customHeight="1">
      <c r="A1044" s="5">
        <v>2.02648690793E11</v>
      </c>
      <c r="B1044" s="5" t="s">
        <v>1139</v>
      </c>
      <c r="C1044" s="5">
        <v>524778035550</v>
      </c>
      <c r="D1044" s="5" t="s">
        <v>13</v>
      </c>
      <c r="E1044" s="5">
        <v>8.7547393E7</v>
      </c>
      <c r="F1044" s="5" t="s">
        <v>28</v>
      </c>
      <c r="G1044" s="5" t="s">
        <v>15</v>
      </c>
      <c r="H1044" s="5" t="s">
        <v>24</v>
      </c>
      <c r="I1044" s="6" t="s">
        <v>63</v>
      </c>
      <c r="J1044" s="7" t="s">
        <v>18</v>
      </c>
      <c r="K1044" s="7" t="s">
        <v>61</v>
      </c>
      <c r="L1044" s="8">
        <v>1.77117005697E12</v>
      </c>
      <c r="M1044" s="9"/>
      <c r="N1044" s="10"/>
      <c r="O1044" s="10"/>
      <c r="P1044" s="10"/>
      <c r="Q1044" s="10"/>
      <c r="R1044" s="10"/>
      <c r="S1044" s="10"/>
      <c r="T1044" s="10"/>
      <c r="U1044" s="10"/>
      <c r="V1044" s="10"/>
    </row>
    <row r="1045" ht="22.5" customHeight="1">
      <c r="A1045" s="5">
        <v>2.02644084349E11</v>
      </c>
      <c r="B1045" s="5" t="s">
        <v>1140</v>
      </c>
      <c r="C1045" s="5">
        <v>523221825744</v>
      </c>
      <c r="D1045" s="5" t="s">
        <v>13</v>
      </c>
      <c r="E1045" s="5">
        <v>8.7547393E7</v>
      </c>
      <c r="F1045" s="5" t="s">
        <v>14</v>
      </c>
      <c r="G1045" s="5" t="s">
        <v>32</v>
      </c>
      <c r="H1045" s="5" t="s">
        <v>66</v>
      </c>
      <c r="I1045" s="6" t="s">
        <v>17</v>
      </c>
      <c r="J1045" s="7" t="s">
        <v>18</v>
      </c>
      <c r="K1045" s="7" t="s">
        <v>61</v>
      </c>
      <c r="L1045" s="8">
        <v>1.771171480214E12</v>
      </c>
      <c r="M1045" s="9"/>
      <c r="N1045" s="10"/>
      <c r="O1045" s="10"/>
      <c r="P1045" s="10"/>
      <c r="Q1045" s="10"/>
      <c r="R1045" s="10"/>
      <c r="S1045" s="10"/>
      <c r="T1045" s="10"/>
      <c r="U1045" s="10"/>
      <c r="V1045" s="10"/>
    </row>
    <row r="1046" ht="22.5" customHeight="1">
      <c r="A1046" s="5">
        <v>2.02644251957E11</v>
      </c>
      <c r="B1046" s="5" t="s">
        <v>1141</v>
      </c>
      <c r="C1046" s="5">
        <v>51923221072</v>
      </c>
      <c r="D1046" s="5" t="s">
        <v>13</v>
      </c>
      <c r="E1046" s="5">
        <v>8.7547393E7</v>
      </c>
      <c r="F1046" s="5" t="s">
        <v>259</v>
      </c>
      <c r="G1046" s="5" t="s">
        <v>15</v>
      </c>
      <c r="H1046" s="5" t="s">
        <v>51</v>
      </c>
      <c r="I1046" s="6" t="s">
        <v>17</v>
      </c>
      <c r="J1046" s="7" t="s">
        <v>18</v>
      </c>
      <c r="K1046" s="7" t="s">
        <v>1122</v>
      </c>
      <c r="L1046" s="8">
        <v>1.771172171206E12</v>
      </c>
      <c r="M1046" s="9"/>
      <c r="N1046" s="10"/>
      <c r="O1046" s="10"/>
      <c r="P1046" s="10"/>
      <c r="Q1046" s="10"/>
      <c r="R1046" s="10"/>
      <c r="S1046" s="10"/>
      <c r="T1046" s="10"/>
      <c r="U1046" s="10"/>
      <c r="V1046" s="10"/>
    </row>
    <row r="1047" ht="22.5" customHeight="1">
      <c r="A1047" s="5">
        <v>2.02644728362E11</v>
      </c>
      <c r="B1047" s="5" t="s">
        <v>1142</v>
      </c>
      <c r="C1047" s="5">
        <v>51916540398</v>
      </c>
      <c r="D1047" s="5" t="s">
        <v>13</v>
      </c>
      <c r="E1047" s="5">
        <v>8.7547393E7</v>
      </c>
      <c r="F1047" s="5" t="s">
        <v>259</v>
      </c>
      <c r="G1047" s="5" t="s">
        <v>15</v>
      </c>
      <c r="H1047" s="5" t="s">
        <v>51</v>
      </c>
      <c r="I1047" s="6" t="s">
        <v>17</v>
      </c>
      <c r="J1047" s="7" t="s">
        <v>18</v>
      </c>
      <c r="K1047" s="7" t="s">
        <v>19</v>
      </c>
      <c r="L1047" s="8">
        <v>1.771172334611E12</v>
      </c>
      <c r="M1047" s="9"/>
      <c r="N1047" s="10"/>
      <c r="O1047" s="10"/>
      <c r="P1047" s="10"/>
      <c r="Q1047" s="10"/>
      <c r="R1047" s="10"/>
      <c r="S1047" s="10"/>
      <c r="T1047" s="10"/>
      <c r="U1047" s="10"/>
      <c r="V1047" s="10"/>
    </row>
    <row r="1048" ht="22.5" customHeight="1">
      <c r="A1048" s="5">
        <v>1.93564336261E11</v>
      </c>
      <c r="B1048" s="5" t="s">
        <v>588</v>
      </c>
      <c r="C1048" s="5">
        <v>573127164506</v>
      </c>
      <c r="D1048" s="5" t="s">
        <v>103</v>
      </c>
      <c r="E1048" s="5">
        <v>8.0566583E7</v>
      </c>
      <c r="F1048" s="5" t="s">
        <v>259</v>
      </c>
      <c r="G1048" s="5" t="s">
        <v>79</v>
      </c>
      <c r="H1048" s="5" t="s">
        <v>33</v>
      </c>
      <c r="I1048" s="6" t="s">
        <v>17</v>
      </c>
      <c r="J1048" s="7" t="s">
        <v>58</v>
      </c>
      <c r="K1048" s="11" t="s">
        <v>256</v>
      </c>
      <c r="L1048" s="8">
        <v>1.771173333658E12</v>
      </c>
      <c r="M1048" s="9"/>
      <c r="N1048" s="10"/>
      <c r="O1048" s="10"/>
      <c r="P1048" s="10"/>
      <c r="Q1048" s="10"/>
      <c r="R1048" s="10"/>
      <c r="S1048" s="10"/>
      <c r="T1048" s="10"/>
      <c r="U1048" s="10"/>
      <c r="V1048" s="10"/>
    </row>
    <row r="1049" ht="22.5" customHeight="1">
      <c r="A1049" s="5">
        <v>2.0265096909E11</v>
      </c>
      <c r="B1049" s="5" t="s">
        <v>1143</v>
      </c>
      <c r="C1049" s="5">
        <v>526142244134</v>
      </c>
      <c r="D1049" s="5" t="s">
        <v>13</v>
      </c>
      <c r="E1049" s="5">
        <v>8.7547393E7</v>
      </c>
      <c r="F1049" s="5" t="s">
        <v>28</v>
      </c>
      <c r="G1049" s="5" t="s">
        <v>15</v>
      </c>
      <c r="H1049" s="5" t="s">
        <v>66</v>
      </c>
      <c r="I1049" s="6" t="s">
        <v>63</v>
      </c>
      <c r="J1049" s="7" t="s">
        <v>18</v>
      </c>
      <c r="K1049" s="7" t="s">
        <v>61</v>
      </c>
      <c r="L1049" s="8">
        <v>1.771173720883E12</v>
      </c>
      <c r="M1049" s="9"/>
      <c r="N1049" s="10"/>
      <c r="O1049" s="10"/>
      <c r="P1049" s="10"/>
      <c r="Q1049" s="10"/>
      <c r="R1049" s="10"/>
      <c r="S1049" s="10"/>
      <c r="T1049" s="10"/>
      <c r="U1049" s="10"/>
      <c r="V1049" s="10"/>
    </row>
    <row r="1050" ht="22.5" customHeight="1">
      <c r="A1050" s="5">
        <v>2.0265171382E11</v>
      </c>
      <c r="B1050" s="5" t="s">
        <v>1144</v>
      </c>
      <c r="C1050" s="5">
        <v>529672297615</v>
      </c>
      <c r="D1050" s="5" t="s">
        <v>38</v>
      </c>
      <c r="E1050" s="5">
        <v>8.7547393E7</v>
      </c>
      <c r="F1050" s="5"/>
      <c r="G1050" s="5"/>
      <c r="H1050" s="5"/>
      <c r="I1050" s="6"/>
      <c r="J1050" s="7" t="s">
        <v>18</v>
      </c>
      <c r="K1050" s="7" t="s">
        <v>61</v>
      </c>
      <c r="L1050" s="8">
        <v>1.771174187455E12</v>
      </c>
      <c r="M1050" s="9"/>
      <c r="N1050" s="10"/>
      <c r="O1050" s="10"/>
      <c r="P1050" s="10"/>
      <c r="Q1050" s="10"/>
      <c r="R1050" s="10"/>
      <c r="S1050" s="10"/>
      <c r="T1050" s="10"/>
      <c r="U1050" s="10"/>
      <c r="V1050" s="10"/>
    </row>
    <row r="1051" ht="22.5" customHeight="1">
      <c r="A1051" s="5">
        <v>2.02532368778E11</v>
      </c>
      <c r="B1051" s="5" t="s">
        <v>1145</v>
      </c>
      <c r="C1051" s="5">
        <v>526671314256</v>
      </c>
      <c r="D1051" s="5" t="s">
        <v>13</v>
      </c>
      <c r="E1051" s="5">
        <v>8.0566583E7</v>
      </c>
      <c r="F1051" s="5" t="s">
        <v>65</v>
      </c>
      <c r="G1051" s="5" t="s">
        <v>15</v>
      </c>
      <c r="H1051" s="5" t="s">
        <v>66</v>
      </c>
      <c r="I1051" s="6" t="s">
        <v>17</v>
      </c>
      <c r="J1051" s="7" t="s">
        <v>34</v>
      </c>
      <c r="K1051" s="7"/>
      <c r="L1051" s="8">
        <v>1.771177154128E12</v>
      </c>
      <c r="M1051" s="9"/>
      <c r="N1051" s="10"/>
      <c r="O1051" s="10"/>
      <c r="P1051" s="10"/>
      <c r="Q1051" s="10"/>
      <c r="R1051" s="10"/>
      <c r="S1051" s="10"/>
      <c r="T1051" s="10"/>
      <c r="U1051" s="10"/>
      <c r="V1051" s="10"/>
    </row>
    <row r="1052" ht="22.5" customHeight="1">
      <c r="A1052" s="5">
        <v>2.02656897326E11</v>
      </c>
      <c r="B1052" s="5" t="s">
        <v>1146</v>
      </c>
      <c r="C1052" s="5">
        <v>525544850019</v>
      </c>
      <c r="D1052" s="5" t="s">
        <v>13</v>
      </c>
      <c r="E1052" s="5">
        <v>8.7547393E7</v>
      </c>
      <c r="F1052" s="5" t="s">
        <v>93</v>
      </c>
      <c r="G1052" s="5" t="s">
        <v>15</v>
      </c>
      <c r="H1052" s="5" t="s">
        <v>51</v>
      </c>
      <c r="I1052" s="6" t="s">
        <v>36</v>
      </c>
      <c r="J1052" s="7" t="s">
        <v>34</v>
      </c>
      <c r="K1052" s="7"/>
      <c r="L1052" s="8">
        <v>1.771178166624E12</v>
      </c>
      <c r="M1052" s="9"/>
      <c r="N1052" s="10"/>
      <c r="O1052" s="10"/>
      <c r="P1052" s="10"/>
      <c r="Q1052" s="10"/>
      <c r="R1052" s="10"/>
      <c r="S1052" s="10"/>
      <c r="T1052" s="10"/>
      <c r="U1052" s="10"/>
      <c r="V1052" s="10"/>
    </row>
    <row r="1053" ht="22.5" customHeight="1">
      <c r="A1053" s="5">
        <v>2.02663032966E11</v>
      </c>
      <c r="B1053" s="5" t="s">
        <v>1147</v>
      </c>
      <c r="C1053" s="5">
        <v>529994962402</v>
      </c>
      <c r="D1053" s="5" t="s">
        <v>13</v>
      </c>
      <c r="E1053" s="5">
        <v>8.7547393E7</v>
      </c>
      <c r="F1053" s="5" t="s">
        <v>39</v>
      </c>
      <c r="G1053" s="5" t="s">
        <v>15</v>
      </c>
      <c r="H1053" s="5" t="s">
        <v>24</v>
      </c>
      <c r="I1053" s="6"/>
      <c r="J1053" s="7" t="s">
        <v>18</v>
      </c>
      <c r="K1053" s="7" t="s">
        <v>61</v>
      </c>
      <c r="L1053" s="8">
        <v>1.771179142535E12</v>
      </c>
      <c r="M1053" s="9"/>
      <c r="N1053" s="10"/>
      <c r="O1053" s="10"/>
      <c r="P1053" s="10"/>
      <c r="Q1053" s="10"/>
      <c r="R1053" s="10"/>
      <c r="S1053" s="10"/>
      <c r="T1053" s="10"/>
      <c r="U1053" s="10"/>
      <c r="V1053" s="10"/>
    </row>
    <row r="1054" ht="22.5" customHeight="1">
      <c r="A1054" s="5">
        <v>2.02656902323E11</v>
      </c>
      <c r="B1054" s="5" t="s">
        <v>1148</v>
      </c>
      <c r="C1054" s="5">
        <v>56974576559</v>
      </c>
      <c r="D1054" s="5" t="s">
        <v>38</v>
      </c>
      <c r="E1054" s="5">
        <v>8.0566583E7</v>
      </c>
      <c r="F1054" s="5"/>
      <c r="G1054" s="5"/>
      <c r="H1054" s="5"/>
      <c r="I1054" s="6"/>
      <c r="J1054" s="7" t="s">
        <v>177</v>
      </c>
      <c r="K1054" s="7" t="s">
        <v>36</v>
      </c>
      <c r="L1054" s="8">
        <v>1.771179788198E12</v>
      </c>
      <c r="M1054" s="9"/>
      <c r="N1054" s="10"/>
      <c r="O1054" s="10"/>
      <c r="P1054" s="10"/>
      <c r="Q1054" s="10"/>
      <c r="R1054" s="10"/>
      <c r="S1054" s="10"/>
      <c r="T1054" s="10"/>
      <c r="U1054" s="10"/>
      <c r="V1054" s="10"/>
    </row>
    <row r="1055" ht="22.5" customHeight="1">
      <c r="A1055" s="5">
        <v>2.02662440538E11</v>
      </c>
      <c r="B1055" s="5" t="s">
        <v>1149</v>
      </c>
      <c r="C1055" s="5">
        <v>522229198994</v>
      </c>
      <c r="D1055" s="5" t="s">
        <v>13</v>
      </c>
      <c r="E1055" s="5">
        <v>8.0566583E7</v>
      </c>
      <c r="F1055" s="5" t="s">
        <v>714</v>
      </c>
      <c r="G1055" s="5" t="s">
        <v>32</v>
      </c>
      <c r="H1055" s="5" t="s">
        <v>66</v>
      </c>
      <c r="I1055" s="6" t="s">
        <v>17</v>
      </c>
      <c r="J1055" s="7" t="s">
        <v>18</v>
      </c>
      <c r="K1055" s="7" t="s">
        <v>61</v>
      </c>
      <c r="L1055" s="8">
        <v>1.771180250977E12</v>
      </c>
      <c r="M1055" s="9"/>
      <c r="N1055" s="10"/>
      <c r="O1055" s="10"/>
      <c r="P1055" s="10"/>
      <c r="Q1055" s="10"/>
      <c r="R1055" s="10"/>
      <c r="S1055" s="10"/>
      <c r="T1055" s="10"/>
      <c r="U1055" s="10"/>
      <c r="V1055" s="10"/>
    </row>
    <row r="1056" ht="22.5" customHeight="1">
      <c r="A1056" s="5">
        <v>2.02666763336E11</v>
      </c>
      <c r="B1056" s="5" t="s">
        <v>1150</v>
      </c>
      <c r="C1056" s="5">
        <v>527442127223</v>
      </c>
      <c r="D1056" s="5" t="s">
        <v>13</v>
      </c>
      <c r="E1056" s="5">
        <v>8.7547393E7</v>
      </c>
      <c r="F1056" s="5" t="s">
        <v>93</v>
      </c>
      <c r="G1056" s="5" t="s">
        <v>15</v>
      </c>
      <c r="H1056" s="5" t="s">
        <v>16</v>
      </c>
      <c r="I1056" s="6" t="s">
        <v>17</v>
      </c>
      <c r="J1056" s="7" t="s">
        <v>34</v>
      </c>
      <c r="K1056" s="7"/>
      <c r="L1056" s="8">
        <v>1.771183485513E12</v>
      </c>
      <c r="M1056" s="9"/>
      <c r="N1056" s="10"/>
      <c r="O1056" s="10"/>
      <c r="P1056" s="10"/>
      <c r="Q1056" s="10"/>
      <c r="R1056" s="10"/>
      <c r="S1056" s="10"/>
      <c r="T1056" s="10"/>
      <c r="U1056" s="10"/>
      <c r="V1056" s="10"/>
    </row>
    <row r="1057" ht="22.5" customHeight="1">
      <c r="A1057" s="5">
        <v>2.02670946059E11</v>
      </c>
      <c r="B1057" s="5" t="s">
        <v>1151</v>
      </c>
      <c r="C1057" s="5">
        <v>51943449292</v>
      </c>
      <c r="D1057" s="5" t="s">
        <v>13</v>
      </c>
      <c r="E1057" s="5">
        <v>8.7547393E7</v>
      </c>
      <c r="F1057" s="5" t="s">
        <v>28</v>
      </c>
      <c r="G1057" s="5" t="s">
        <v>15</v>
      </c>
      <c r="H1057" s="5" t="s">
        <v>33</v>
      </c>
      <c r="I1057" s="6" t="s">
        <v>17</v>
      </c>
      <c r="J1057" s="7" t="s">
        <v>18</v>
      </c>
      <c r="K1057" s="7" t="s">
        <v>19</v>
      </c>
      <c r="L1057" s="8">
        <v>1.771184740662E12</v>
      </c>
      <c r="M1057" s="9"/>
      <c r="N1057" s="10"/>
      <c r="O1057" s="10"/>
      <c r="P1057" s="10"/>
      <c r="Q1057" s="10"/>
      <c r="R1057" s="10"/>
      <c r="S1057" s="10"/>
      <c r="T1057" s="10"/>
      <c r="U1057" s="10"/>
      <c r="V1057" s="10"/>
    </row>
    <row r="1058" ht="22.5" customHeight="1">
      <c r="A1058" s="5">
        <v>2.0263509057E11</v>
      </c>
      <c r="B1058" s="5" t="s">
        <v>1152</v>
      </c>
      <c r="C1058" s="5">
        <v>51970130586</v>
      </c>
      <c r="D1058" s="5" t="s">
        <v>38</v>
      </c>
      <c r="E1058" s="5">
        <v>8.7547393E7</v>
      </c>
      <c r="F1058" s="5"/>
      <c r="G1058" s="5"/>
      <c r="H1058" s="5"/>
      <c r="I1058" s="6"/>
      <c r="J1058" s="7" t="s">
        <v>34</v>
      </c>
      <c r="K1058" s="7"/>
      <c r="L1058" s="8">
        <v>1.771185263826E12</v>
      </c>
      <c r="M1058" s="9"/>
      <c r="N1058" s="10"/>
      <c r="O1058" s="10"/>
      <c r="P1058" s="10"/>
      <c r="Q1058" s="10"/>
      <c r="R1058" s="10"/>
      <c r="S1058" s="10"/>
      <c r="T1058" s="10"/>
      <c r="U1058" s="10"/>
      <c r="V1058" s="10"/>
    </row>
    <row r="1059" ht="22.5" customHeight="1">
      <c r="A1059" s="5">
        <v>2.02670020024E11</v>
      </c>
      <c r="B1059" s="5" t="s">
        <v>1153</v>
      </c>
      <c r="C1059" s="5">
        <v>526561670145</v>
      </c>
      <c r="D1059" s="5" t="s">
        <v>13</v>
      </c>
      <c r="E1059" s="5">
        <v>8.7547393E7</v>
      </c>
      <c r="F1059" s="5" t="s">
        <v>714</v>
      </c>
      <c r="G1059" s="5" t="s">
        <v>15</v>
      </c>
      <c r="H1059" s="5" t="s">
        <v>66</v>
      </c>
      <c r="I1059" s="6" t="s">
        <v>17</v>
      </c>
      <c r="J1059" s="7" t="s">
        <v>18</v>
      </c>
      <c r="K1059" s="7" t="s">
        <v>61</v>
      </c>
      <c r="L1059" s="8">
        <v>1.771185308761E12</v>
      </c>
      <c r="M1059" s="9"/>
      <c r="N1059" s="10"/>
      <c r="O1059" s="10"/>
      <c r="P1059" s="10"/>
      <c r="Q1059" s="10"/>
      <c r="R1059" s="10"/>
      <c r="S1059" s="10"/>
      <c r="T1059" s="10"/>
      <c r="U1059" s="10"/>
      <c r="V1059" s="10"/>
    </row>
    <row r="1060" ht="22.5" customHeight="1">
      <c r="A1060" s="5">
        <v>2.0267525394E11</v>
      </c>
      <c r="B1060" s="5" t="s">
        <v>1154</v>
      </c>
      <c r="C1060" s="5">
        <v>5598987314146</v>
      </c>
      <c r="D1060" s="5" t="s">
        <v>22</v>
      </c>
      <c r="E1060" s="5">
        <v>7.9360573E7</v>
      </c>
      <c r="F1060" s="5" t="s">
        <v>28</v>
      </c>
      <c r="G1060" s="5" t="s">
        <v>44</v>
      </c>
      <c r="H1060" s="5" t="s">
        <v>112</v>
      </c>
      <c r="I1060" s="6" t="s">
        <v>17</v>
      </c>
      <c r="J1060" s="7" t="s">
        <v>34</v>
      </c>
      <c r="K1060" s="7"/>
      <c r="L1060" s="8">
        <v>1.771186596657E12</v>
      </c>
      <c r="M1060" s="9"/>
      <c r="N1060" s="10"/>
      <c r="O1060" s="10"/>
      <c r="P1060" s="10"/>
      <c r="Q1060" s="10"/>
      <c r="R1060" s="10"/>
      <c r="S1060" s="10"/>
      <c r="T1060" s="10"/>
      <c r="U1060" s="10"/>
      <c r="V1060" s="10"/>
    </row>
    <row r="1061" ht="22.5" customHeight="1">
      <c r="A1061" s="5">
        <v>1.7733407681E11</v>
      </c>
      <c r="B1061" s="5" t="s">
        <v>1155</v>
      </c>
      <c r="C1061" s="5">
        <v>51951930134</v>
      </c>
      <c r="D1061" s="5" t="s">
        <v>38</v>
      </c>
      <c r="E1061" s="5"/>
      <c r="F1061" s="5"/>
      <c r="G1061" s="5"/>
      <c r="H1061" s="5"/>
      <c r="I1061" s="6"/>
      <c r="J1061" s="7" t="s">
        <v>34</v>
      </c>
      <c r="K1061" s="7"/>
      <c r="L1061" s="8">
        <v>1.77118677799E12</v>
      </c>
      <c r="M1061" s="9"/>
      <c r="N1061" s="10"/>
      <c r="O1061" s="10"/>
      <c r="P1061" s="10"/>
      <c r="Q1061" s="10"/>
      <c r="R1061" s="10"/>
      <c r="S1061" s="10"/>
      <c r="T1061" s="10"/>
      <c r="U1061" s="10"/>
      <c r="V1061" s="10"/>
    </row>
    <row r="1062" ht="22.5" customHeight="1">
      <c r="A1062" s="5">
        <v>2.0267824068E11</v>
      </c>
      <c r="B1062" s="5" t="s">
        <v>1156</v>
      </c>
      <c r="C1062" s="5">
        <v>51939135380</v>
      </c>
      <c r="D1062" s="5" t="s">
        <v>13</v>
      </c>
      <c r="E1062" s="5">
        <v>8.7547393E7</v>
      </c>
      <c r="F1062" s="5" t="s">
        <v>39</v>
      </c>
      <c r="G1062" s="5" t="s">
        <v>15</v>
      </c>
      <c r="H1062" s="5" t="s">
        <v>16</v>
      </c>
      <c r="I1062" s="6" t="s">
        <v>17</v>
      </c>
      <c r="J1062" s="7" t="s">
        <v>34</v>
      </c>
      <c r="K1062" s="7"/>
      <c r="L1062" s="8">
        <v>1.771186784927E12</v>
      </c>
      <c r="M1062" s="9"/>
      <c r="N1062" s="10"/>
      <c r="O1062" s="10"/>
      <c r="P1062" s="10"/>
      <c r="Q1062" s="10"/>
      <c r="R1062" s="10"/>
      <c r="S1062" s="10"/>
      <c r="T1062" s="10"/>
      <c r="U1062" s="10"/>
      <c r="V1062" s="10"/>
    </row>
    <row r="1063" ht="22.5" customHeight="1">
      <c r="A1063" s="5">
        <v>2.0267525394E11</v>
      </c>
      <c r="B1063" s="5" t="s">
        <v>1154</v>
      </c>
      <c r="C1063" s="5">
        <v>5598987314146</v>
      </c>
      <c r="D1063" s="5" t="s">
        <v>22</v>
      </c>
      <c r="E1063" s="5">
        <v>7.9360573E7</v>
      </c>
      <c r="F1063" s="5" t="s">
        <v>28</v>
      </c>
      <c r="G1063" s="5" t="s">
        <v>44</v>
      </c>
      <c r="H1063" s="5" t="s">
        <v>112</v>
      </c>
      <c r="I1063" s="6" t="s">
        <v>17</v>
      </c>
      <c r="J1063" s="7" t="s">
        <v>34</v>
      </c>
      <c r="K1063" s="7"/>
      <c r="L1063" s="8">
        <v>1.771186824955E12</v>
      </c>
      <c r="M1063" s="9"/>
      <c r="N1063" s="10"/>
      <c r="O1063" s="10"/>
      <c r="P1063" s="10"/>
      <c r="Q1063" s="10"/>
      <c r="R1063" s="10"/>
      <c r="S1063" s="10"/>
      <c r="T1063" s="10"/>
      <c r="U1063" s="10"/>
      <c r="V1063" s="10"/>
    </row>
    <row r="1064" ht="22.5" customHeight="1">
      <c r="A1064" s="5">
        <v>1.7733407681E11</v>
      </c>
      <c r="B1064" s="5" t="s">
        <v>1155</v>
      </c>
      <c r="C1064" s="5">
        <v>51951930134</v>
      </c>
      <c r="D1064" s="5" t="s">
        <v>38</v>
      </c>
      <c r="E1064" s="5"/>
      <c r="F1064" s="5"/>
      <c r="G1064" s="5"/>
      <c r="H1064" s="5"/>
      <c r="I1064" s="6"/>
      <c r="J1064" s="7" t="s">
        <v>34</v>
      </c>
      <c r="K1064" s="7"/>
      <c r="L1064" s="8">
        <v>1.771186859432E12</v>
      </c>
      <c r="M1064" s="9"/>
      <c r="N1064" s="10"/>
      <c r="O1064" s="10"/>
      <c r="P1064" s="10"/>
      <c r="Q1064" s="10"/>
      <c r="R1064" s="10"/>
      <c r="S1064" s="10"/>
      <c r="T1064" s="10"/>
      <c r="U1064" s="10"/>
      <c r="V1064" s="10"/>
    </row>
    <row r="1065" ht="22.5" customHeight="1">
      <c r="A1065" s="5">
        <v>2.02314591561E11</v>
      </c>
      <c r="B1065" s="5" t="s">
        <v>1157</v>
      </c>
      <c r="C1065" s="5">
        <v>51959542678</v>
      </c>
      <c r="D1065" s="5" t="s">
        <v>13</v>
      </c>
      <c r="E1065" s="5">
        <v>8.0566583E7</v>
      </c>
      <c r="F1065" s="5" t="s">
        <v>28</v>
      </c>
      <c r="G1065" s="5" t="s">
        <v>32</v>
      </c>
      <c r="H1065" s="5" t="s">
        <v>24</v>
      </c>
      <c r="I1065" s="6" t="s">
        <v>36</v>
      </c>
      <c r="J1065" s="7" t="s">
        <v>25</v>
      </c>
      <c r="K1065" s="7" t="s">
        <v>26</v>
      </c>
      <c r="L1065" s="8">
        <v>1.771189857331E12</v>
      </c>
      <c r="M1065" s="9"/>
      <c r="N1065" s="10"/>
      <c r="O1065" s="10"/>
      <c r="P1065" s="10"/>
      <c r="Q1065" s="10"/>
      <c r="R1065" s="10"/>
      <c r="S1065" s="10"/>
      <c r="T1065" s="10"/>
      <c r="U1065" s="10"/>
      <c r="V1065" s="10"/>
    </row>
    <row r="1066" ht="22.5" customHeight="1">
      <c r="A1066" s="5">
        <v>2.02689726086E11</v>
      </c>
      <c r="B1066" s="5" t="s">
        <v>1158</v>
      </c>
      <c r="C1066" s="5">
        <v>5584992248661</v>
      </c>
      <c r="D1066" s="5" t="s">
        <v>13</v>
      </c>
      <c r="E1066" s="5">
        <v>7.9360573E7</v>
      </c>
      <c r="F1066" s="5" t="s">
        <v>93</v>
      </c>
      <c r="G1066" s="5" t="s">
        <v>15</v>
      </c>
      <c r="H1066" s="5" t="s">
        <v>16</v>
      </c>
      <c r="I1066" s="6" t="s">
        <v>17</v>
      </c>
      <c r="J1066" s="7" t="s">
        <v>34</v>
      </c>
      <c r="K1066" s="7"/>
      <c r="L1066" s="8">
        <v>1.771190637034E12</v>
      </c>
      <c r="M1066" s="9"/>
      <c r="N1066" s="10"/>
      <c r="O1066" s="10"/>
      <c r="P1066" s="10"/>
      <c r="Q1066" s="10"/>
      <c r="R1066" s="10"/>
      <c r="S1066" s="10"/>
      <c r="T1066" s="10"/>
      <c r="U1066" s="10"/>
      <c r="V1066" s="10"/>
    </row>
    <row r="1067" ht="22.5" customHeight="1">
      <c r="A1067" s="5">
        <v>2.0268532795E11</v>
      </c>
      <c r="B1067" s="5" t="s">
        <v>1159</v>
      </c>
      <c r="C1067" s="5">
        <v>5555997045614</v>
      </c>
      <c r="D1067" s="5" t="s">
        <v>13</v>
      </c>
      <c r="E1067" s="5">
        <v>7.9360573E7</v>
      </c>
      <c r="F1067" s="5" t="s">
        <v>65</v>
      </c>
      <c r="G1067" s="5" t="s">
        <v>32</v>
      </c>
      <c r="H1067" s="5" t="s">
        <v>1160</v>
      </c>
      <c r="I1067" s="6" t="s">
        <v>17</v>
      </c>
      <c r="J1067" s="7" t="s">
        <v>34</v>
      </c>
      <c r="K1067" s="7"/>
      <c r="L1067" s="8">
        <v>1.771191218899E12</v>
      </c>
      <c r="M1067" s="9"/>
      <c r="N1067" s="10"/>
      <c r="O1067" s="10"/>
      <c r="P1067" s="10"/>
      <c r="Q1067" s="10"/>
      <c r="R1067" s="10"/>
      <c r="S1067" s="10"/>
      <c r="T1067" s="10"/>
      <c r="U1067" s="10"/>
      <c r="V1067" s="10"/>
    </row>
    <row r="1068" ht="22.5" customHeight="1">
      <c r="A1068" s="5">
        <v>2.02422731676E11</v>
      </c>
      <c r="B1068" s="5" t="s">
        <v>1161</v>
      </c>
      <c r="C1068" s="5">
        <v>51964784750</v>
      </c>
      <c r="D1068" s="5" t="s">
        <v>13</v>
      </c>
      <c r="E1068" s="5">
        <v>8.7547393E7</v>
      </c>
      <c r="F1068" s="5" t="s">
        <v>259</v>
      </c>
      <c r="G1068" s="5" t="s">
        <v>15</v>
      </c>
      <c r="H1068" s="5" t="s">
        <v>51</v>
      </c>
      <c r="I1068" s="6" t="s">
        <v>17</v>
      </c>
      <c r="J1068" s="7" t="s">
        <v>18</v>
      </c>
      <c r="K1068" s="7" t="s">
        <v>19</v>
      </c>
      <c r="L1068" s="8">
        <v>1.771194185728E12</v>
      </c>
      <c r="M1068" s="9"/>
      <c r="N1068" s="10"/>
      <c r="O1068" s="10"/>
      <c r="P1068" s="10"/>
      <c r="Q1068" s="10"/>
      <c r="R1068" s="10"/>
      <c r="S1068" s="10"/>
      <c r="T1068" s="10"/>
      <c r="U1068" s="10"/>
      <c r="V1068" s="10"/>
    </row>
    <row r="1069" ht="22.5" customHeight="1">
      <c r="A1069" s="5">
        <v>2.02709083282E11</v>
      </c>
      <c r="B1069" s="5" t="s">
        <v>1162</v>
      </c>
      <c r="C1069" s="5">
        <v>51930479823</v>
      </c>
      <c r="D1069" s="5" t="s">
        <v>13</v>
      </c>
      <c r="E1069" s="5">
        <v>8.7547393E7</v>
      </c>
      <c r="F1069" s="5" t="s">
        <v>510</v>
      </c>
      <c r="G1069" s="5" t="s">
        <v>15</v>
      </c>
      <c r="H1069" s="5" t="s">
        <v>24</v>
      </c>
      <c r="I1069" s="6" t="s">
        <v>17</v>
      </c>
      <c r="J1069" s="7" t="s">
        <v>18</v>
      </c>
      <c r="K1069" s="7" t="s">
        <v>19</v>
      </c>
      <c r="L1069" s="8">
        <v>1.771199215576E12</v>
      </c>
      <c r="M1069" s="9"/>
      <c r="N1069" s="10"/>
      <c r="O1069" s="10"/>
      <c r="P1069" s="10"/>
      <c r="Q1069" s="10"/>
      <c r="R1069" s="10"/>
      <c r="S1069" s="10"/>
      <c r="T1069" s="10"/>
      <c r="U1069" s="10"/>
      <c r="V1069" s="10"/>
    </row>
    <row r="1070" ht="22.5" customHeight="1">
      <c r="A1070" s="5">
        <v>2.02712231049E11</v>
      </c>
      <c r="B1070" s="5" t="s">
        <v>1163</v>
      </c>
      <c r="C1070" s="5">
        <v>5511920742815</v>
      </c>
      <c r="D1070" s="5" t="s">
        <v>22</v>
      </c>
      <c r="E1070" s="5">
        <v>7.9360573E7</v>
      </c>
      <c r="F1070" s="5" t="s">
        <v>28</v>
      </c>
      <c r="G1070" s="5" t="s">
        <v>44</v>
      </c>
      <c r="H1070" s="5" t="s">
        <v>188</v>
      </c>
      <c r="I1070" s="6" t="s">
        <v>17</v>
      </c>
      <c r="J1070" s="7" t="s">
        <v>34</v>
      </c>
      <c r="K1070" s="7"/>
      <c r="L1070" s="8">
        <v>1.771199877437E12</v>
      </c>
      <c r="M1070" s="9"/>
      <c r="N1070" s="10"/>
      <c r="O1070" s="10"/>
      <c r="P1070" s="10"/>
      <c r="Q1070" s="10"/>
      <c r="R1070" s="10"/>
      <c r="S1070" s="10"/>
      <c r="T1070" s="10"/>
      <c r="U1070" s="10"/>
      <c r="V1070" s="10"/>
    </row>
    <row r="1071" ht="22.5" customHeight="1">
      <c r="A1071" s="5">
        <v>2.02704689571E11</v>
      </c>
      <c r="B1071" s="5" t="s">
        <v>1164</v>
      </c>
      <c r="C1071" s="5">
        <v>525629796786</v>
      </c>
      <c r="D1071" s="5" t="s">
        <v>13</v>
      </c>
      <c r="E1071" s="5">
        <v>8.7547393E7</v>
      </c>
      <c r="F1071" s="5" t="s">
        <v>28</v>
      </c>
      <c r="G1071" s="5" t="s">
        <v>32</v>
      </c>
      <c r="H1071" s="5" t="s">
        <v>51</v>
      </c>
      <c r="I1071" s="6"/>
      <c r="J1071" s="7" t="s">
        <v>18</v>
      </c>
      <c r="K1071" s="7" t="s">
        <v>61</v>
      </c>
      <c r="L1071" s="8">
        <v>1.771202219335E12</v>
      </c>
      <c r="M1071" s="9"/>
      <c r="N1071" s="10"/>
      <c r="O1071" s="10"/>
      <c r="P1071" s="10"/>
      <c r="Q1071" s="10"/>
      <c r="R1071" s="10"/>
      <c r="S1071" s="10"/>
      <c r="T1071" s="10"/>
      <c r="U1071" s="10"/>
      <c r="V1071" s="10"/>
    </row>
    <row r="1072" ht="22.5" customHeight="1">
      <c r="A1072" s="5">
        <v>1.5496652609E11</v>
      </c>
      <c r="B1072" s="5" t="s">
        <v>1165</v>
      </c>
      <c r="C1072" s="5">
        <v>51967386843</v>
      </c>
      <c r="D1072" s="5" t="s">
        <v>13</v>
      </c>
      <c r="E1072" s="5">
        <v>8.7547393E7</v>
      </c>
      <c r="F1072" s="5" t="s">
        <v>65</v>
      </c>
      <c r="G1072" s="5" t="s">
        <v>32</v>
      </c>
      <c r="H1072" s="5" t="s">
        <v>114</v>
      </c>
      <c r="I1072" s="6" t="s">
        <v>17</v>
      </c>
      <c r="J1072" s="7" t="s">
        <v>18</v>
      </c>
      <c r="K1072" s="7" t="s">
        <v>116</v>
      </c>
      <c r="L1072" s="8">
        <v>1.771203306981E12</v>
      </c>
      <c r="M1072" s="9"/>
      <c r="N1072" s="10"/>
      <c r="O1072" s="10"/>
      <c r="P1072" s="10"/>
      <c r="Q1072" s="10"/>
      <c r="R1072" s="10"/>
      <c r="S1072" s="10"/>
      <c r="T1072" s="10"/>
      <c r="U1072" s="10"/>
      <c r="V1072" s="10"/>
    </row>
    <row r="1073" ht="22.5" customHeight="1">
      <c r="A1073" s="5">
        <v>2.0271060491E11</v>
      </c>
      <c r="B1073" s="5" t="s">
        <v>1166</v>
      </c>
      <c r="C1073" s="5">
        <v>51918900403</v>
      </c>
      <c r="D1073" s="5" t="s">
        <v>22</v>
      </c>
      <c r="E1073" s="5">
        <v>8.7547393E7</v>
      </c>
      <c r="F1073" s="5" t="s">
        <v>93</v>
      </c>
      <c r="G1073" s="5" t="s">
        <v>32</v>
      </c>
      <c r="H1073" s="5" t="s">
        <v>16</v>
      </c>
      <c r="I1073" s="6" t="s">
        <v>17</v>
      </c>
      <c r="J1073" s="7" t="s">
        <v>18</v>
      </c>
      <c r="K1073" s="7" t="s">
        <v>19</v>
      </c>
      <c r="L1073" s="8">
        <v>1.771204068118E12</v>
      </c>
      <c r="M1073" s="9"/>
      <c r="N1073" s="10"/>
      <c r="O1073" s="10"/>
      <c r="P1073" s="10"/>
      <c r="Q1073" s="10"/>
      <c r="R1073" s="10"/>
      <c r="S1073" s="10"/>
      <c r="T1073" s="10"/>
      <c r="U1073" s="10"/>
      <c r="V1073" s="10"/>
    </row>
    <row r="1074" ht="22.5" customHeight="1">
      <c r="A1074" s="5">
        <v>2.02714917381E11</v>
      </c>
      <c r="B1074" s="5" t="s">
        <v>1167</v>
      </c>
      <c r="C1074" s="5">
        <v>51953111284</v>
      </c>
      <c r="D1074" s="5" t="s">
        <v>13</v>
      </c>
      <c r="E1074" s="5">
        <v>8.7547393E7</v>
      </c>
      <c r="F1074" s="5" t="s">
        <v>259</v>
      </c>
      <c r="G1074" s="5" t="s">
        <v>15</v>
      </c>
      <c r="H1074" s="5" t="s">
        <v>24</v>
      </c>
      <c r="I1074" s="6" t="s">
        <v>63</v>
      </c>
      <c r="J1074" s="7" t="s">
        <v>18</v>
      </c>
      <c r="K1074" s="7" t="s">
        <v>19</v>
      </c>
      <c r="L1074" s="8">
        <v>1.771204468212E12</v>
      </c>
      <c r="M1074" s="9"/>
      <c r="N1074" s="10"/>
      <c r="O1074" s="10"/>
      <c r="P1074" s="10"/>
      <c r="Q1074" s="10"/>
      <c r="R1074" s="10"/>
      <c r="S1074" s="10"/>
      <c r="T1074" s="10"/>
      <c r="U1074" s="10"/>
      <c r="V1074" s="10"/>
    </row>
    <row r="1075" ht="22.5" customHeight="1">
      <c r="A1075" s="5">
        <v>2.02714812523E11</v>
      </c>
      <c r="B1075" s="5" t="s">
        <v>1168</v>
      </c>
      <c r="C1075" s="5">
        <v>525646319118</v>
      </c>
      <c r="D1075" s="5" t="s">
        <v>13</v>
      </c>
      <c r="E1075" s="5">
        <v>8.0566583E7</v>
      </c>
      <c r="F1075" s="5" t="s">
        <v>14</v>
      </c>
      <c r="G1075" s="5" t="s">
        <v>15</v>
      </c>
      <c r="H1075" s="5" t="s">
        <v>51</v>
      </c>
      <c r="I1075" s="6" t="s">
        <v>17</v>
      </c>
      <c r="J1075" s="7" t="s">
        <v>34</v>
      </c>
      <c r="K1075" s="7"/>
      <c r="L1075" s="8">
        <v>1.771205460087E12</v>
      </c>
      <c r="M1075" s="9"/>
      <c r="N1075" s="10"/>
      <c r="O1075" s="10"/>
      <c r="P1075" s="10"/>
      <c r="Q1075" s="10"/>
      <c r="R1075" s="10"/>
      <c r="S1075" s="10"/>
      <c r="T1075" s="10"/>
      <c r="U1075" s="10"/>
      <c r="V1075" s="10"/>
    </row>
    <row r="1076" ht="22.5" customHeight="1">
      <c r="A1076" s="5">
        <v>2.02718784784E11</v>
      </c>
      <c r="B1076" s="5" t="s">
        <v>1169</v>
      </c>
      <c r="C1076" s="5">
        <v>5524988114958</v>
      </c>
      <c r="D1076" s="5" t="s">
        <v>13</v>
      </c>
      <c r="E1076" s="5">
        <v>7.9360573E7</v>
      </c>
      <c r="F1076" s="5" t="s">
        <v>28</v>
      </c>
      <c r="G1076" s="5" t="s">
        <v>15</v>
      </c>
      <c r="H1076" s="5" t="s">
        <v>24</v>
      </c>
      <c r="I1076" s="6"/>
      <c r="J1076" s="7" t="s">
        <v>34</v>
      </c>
      <c r="K1076" s="7"/>
      <c r="L1076" s="8">
        <v>1.771205816205E12</v>
      </c>
      <c r="M1076" s="9"/>
      <c r="N1076" s="10"/>
      <c r="O1076" s="10"/>
      <c r="P1076" s="10"/>
      <c r="Q1076" s="10"/>
      <c r="R1076" s="10"/>
      <c r="S1076" s="10"/>
      <c r="T1076" s="10"/>
      <c r="U1076" s="10"/>
      <c r="V1076" s="10"/>
    </row>
    <row r="1077" ht="22.5" customHeight="1">
      <c r="A1077" s="5">
        <v>2.02717509761E11</v>
      </c>
      <c r="B1077" s="5" t="s">
        <v>1170</v>
      </c>
      <c r="C1077" s="5">
        <v>529341347905</v>
      </c>
      <c r="D1077" s="5" t="s">
        <v>13</v>
      </c>
      <c r="E1077" s="5">
        <v>8.0566583E7</v>
      </c>
      <c r="F1077" s="5" t="s">
        <v>259</v>
      </c>
      <c r="G1077" s="5" t="s">
        <v>15</v>
      </c>
      <c r="H1077" s="5" t="s">
        <v>24</v>
      </c>
      <c r="I1077" s="6" t="s">
        <v>17</v>
      </c>
      <c r="J1077" s="7" t="s">
        <v>34</v>
      </c>
      <c r="K1077" s="7"/>
      <c r="L1077" s="8">
        <v>1.771205841926E12</v>
      </c>
      <c r="M1077" s="9"/>
      <c r="N1077" s="10"/>
      <c r="O1077" s="10"/>
      <c r="P1077" s="10"/>
      <c r="Q1077" s="10"/>
      <c r="R1077" s="10"/>
      <c r="S1077" s="10"/>
      <c r="T1077" s="10"/>
      <c r="U1077" s="10"/>
      <c r="V1077" s="10"/>
    </row>
    <row r="1078" ht="22.5" customHeight="1">
      <c r="A1078" s="5">
        <v>2.02716078619E11</v>
      </c>
      <c r="B1078" s="5" t="s">
        <v>1171</v>
      </c>
      <c r="C1078" s="5">
        <v>51989900501</v>
      </c>
      <c r="D1078" s="5" t="s">
        <v>13</v>
      </c>
      <c r="E1078" s="5">
        <v>8.7547393E7</v>
      </c>
      <c r="F1078" s="5"/>
      <c r="G1078" s="5" t="s">
        <v>15</v>
      </c>
      <c r="H1078" s="5" t="s">
        <v>165</v>
      </c>
      <c r="I1078" s="6" t="s">
        <v>17</v>
      </c>
      <c r="J1078" s="7" t="s">
        <v>18</v>
      </c>
      <c r="K1078" s="7" t="s">
        <v>19</v>
      </c>
      <c r="L1078" s="8">
        <v>1.771206200608E12</v>
      </c>
      <c r="M1078" s="9"/>
      <c r="N1078" s="10"/>
      <c r="O1078" s="10"/>
      <c r="P1078" s="10"/>
      <c r="Q1078" s="10"/>
      <c r="R1078" s="10"/>
      <c r="S1078" s="10"/>
      <c r="T1078" s="10"/>
      <c r="U1078" s="10"/>
      <c r="V1078" s="10"/>
    </row>
    <row r="1079" ht="22.5" customHeight="1">
      <c r="A1079" s="5">
        <v>2.02718128966E11</v>
      </c>
      <c r="B1079" s="5" t="s">
        <v>1172</v>
      </c>
      <c r="C1079" s="5">
        <v>51973109960</v>
      </c>
      <c r="D1079" s="5" t="s">
        <v>13</v>
      </c>
      <c r="E1079" s="5">
        <v>8.7547393E7</v>
      </c>
      <c r="F1079" s="5" t="s">
        <v>28</v>
      </c>
      <c r="G1079" s="5" t="s">
        <v>44</v>
      </c>
      <c r="H1079" s="5" t="s">
        <v>1173</v>
      </c>
      <c r="I1079" s="6" t="s">
        <v>17</v>
      </c>
      <c r="J1079" s="7" t="s">
        <v>18</v>
      </c>
      <c r="K1079" s="7" t="s">
        <v>19</v>
      </c>
      <c r="L1079" s="8">
        <v>1.77120683142E12</v>
      </c>
      <c r="M1079" s="9"/>
      <c r="N1079" s="10"/>
      <c r="O1079" s="10"/>
      <c r="P1079" s="10"/>
      <c r="Q1079" s="10"/>
      <c r="R1079" s="10"/>
      <c r="S1079" s="10"/>
      <c r="T1079" s="10"/>
      <c r="U1079" s="10"/>
      <c r="V1079" s="10"/>
    </row>
    <row r="1080" ht="22.5" customHeight="1">
      <c r="A1080" s="5">
        <v>2.02724079405E11</v>
      </c>
      <c r="B1080" s="5" t="s">
        <v>1174</v>
      </c>
      <c r="C1080" s="5">
        <v>51992242026</v>
      </c>
      <c r="D1080" s="5" t="s">
        <v>22</v>
      </c>
      <c r="E1080" s="5">
        <v>8.0566583E7</v>
      </c>
      <c r="F1080" s="5" t="s">
        <v>28</v>
      </c>
      <c r="G1080" s="5" t="s">
        <v>44</v>
      </c>
      <c r="H1080" s="5" t="s">
        <v>16</v>
      </c>
      <c r="I1080" s="6" t="s">
        <v>17</v>
      </c>
      <c r="J1080" s="7" t="s">
        <v>18</v>
      </c>
      <c r="K1080" s="7" t="s">
        <v>19</v>
      </c>
      <c r="L1080" s="8">
        <v>1.771207104199E12</v>
      </c>
      <c r="M1080" s="9"/>
      <c r="N1080" s="10"/>
      <c r="O1080" s="10"/>
      <c r="P1080" s="10"/>
      <c r="Q1080" s="10"/>
      <c r="R1080" s="10"/>
      <c r="S1080" s="10"/>
      <c r="T1080" s="10"/>
      <c r="U1080" s="10"/>
      <c r="V1080" s="10"/>
    </row>
    <row r="1081" ht="22.5" customHeight="1">
      <c r="A1081" s="5">
        <v>2.02717601303E11</v>
      </c>
      <c r="B1081" s="5" t="s">
        <v>1175</v>
      </c>
      <c r="C1081" s="5">
        <v>5521995346711</v>
      </c>
      <c r="D1081" s="5" t="s">
        <v>22</v>
      </c>
      <c r="E1081" s="5">
        <v>7.9360573E7</v>
      </c>
      <c r="F1081" s="5" t="s">
        <v>93</v>
      </c>
      <c r="G1081" s="5">
        <v>50</v>
      </c>
      <c r="H1081" s="5" t="s">
        <v>128</v>
      </c>
      <c r="I1081" s="6" t="s">
        <v>17</v>
      </c>
      <c r="J1081" s="7" t="s">
        <v>34</v>
      </c>
      <c r="K1081" s="7"/>
      <c r="L1081" s="8">
        <v>1.771207324337E12</v>
      </c>
      <c r="M1081" s="9"/>
      <c r="N1081" s="10"/>
      <c r="O1081" s="10"/>
      <c r="P1081" s="10"/>
      <c r="Q1081" s="10"/>
      <c r="R1081" s="10"/>
      <c r="S1081" s="10"/>
      <c r="T1081" s="10"/>
      <c r="U1081" s="10"/>
      <c r="V1081" s="10"/>
    </row>
    <row r="1082" ht="22.5" customHeight="1">
      <c r="A1082" s="5">
        <v>2.02722274889E11</v>
      </c>
      <c r="B1082" s="5" t="s">
        <v>1176</v>
      </c>
      <c r="C1082" s="5">
        <v>5561998921724</v>
      </c>
      <c r="D1082" s="5" t="s">
        <v>13</v>
      </c>
      <c r="E1082" s="5">
        <v>7.9360573E7</v>
      </c>
      <c r="F1082" s="5" t="s">
        <v>510</v>
      </c>
      <c r="G1082" s="5" t="s">
        <v>15</v>
      </c>
      <c r="H1082" s="5" t="s">
        <v>55</v>
      </c>
      <c r="I1082" s="6" t="s">
        <v>17</v>
      </c>
      <c r="J1082" s="7" t="s">
        <v>124</v>
      </c>
      <c r="K1082" s="7" t="s">
        <v>125</v>
      </c>
      <c r="L1082" s="8">
        <v>1.771207850135E12</v>
      </c>
      <c r="M1082" s="9"/>
      <c r="N1082" s="10"/>
      <c r="O1082" s="10"/>
      <c r="P1082" s="10"/>
      <c r="Q1082" s="10"/>
      <c r="R1082" s="10"/>
      <c r="S1082" s="10"/>
      <c r="T1082" s="10"/>
      <c r="U1082" s="10"/>
      <c r="V1082" s="10"/>
    </row>
    <row r="1083" ht="22.5" customHeight="1">
      <c r="A1083" s="5">
        <v>1.80246601864E11</v>
      </c>
      <c r="B1083" s="5" t="s">
        <v>1177</v>
      </c>
      <c r="C1083" s="5">
        <v>51999105558</v>
      </c>
      <c r="D1083" s="5" t="s">
        <v>22</v>
      </c>
      <c r="E1083" s="5">
        <v>8.7547393E7</v>
      </c>
      <c r="F1083" s="5" t="s">
        <v>93</v>
      </c>
      <c r="G1083" s="5" t="s">
        <v>44</v>
      </c>
      <c r="H1083" s="5" t="s">
        <v>66</v>
      </c>
      <c r="I1083" s="6" t="s">
        <v>17</v>
      </c>
      <c r="J1083" s="7" t="s">
        <v>18</v>
      </c>
      <c r="K1083" s="7" t="s">
        <v>116</v>
      </c>
      <c r="L1083" s="8">
        <v>1.771208242659E12</v>
      </c>
      <c r="M1083" s="9"/>
      <c r="N1083" s="10"/>
      <c r="O1083" s="10"/>
      <c r="P1083" s="10"/>
      <c r="Q1083" s="10"/>
      <c r="R1083" s="10"/>
      <c r="S1083" s="10"/>
      <c r="T1083" s="10"/>
      <c r="U1083" s="10"/>
      <c r="V1083" s="10"/>
    </row>
    <row r="1084" ht="22.5" customHeight="1">
      <c r="A1084" s="5">
        <v>2.02720839227E11</v>
      </c>
      <c r="B1084" s="5" t="s">
        <v>1178</v>
      </c>
      <c r="C1084" s="5">
        <v>51994792551</v>
      </c>
      <c r="D1084" s="5" t="s">
        <v>13</v>
      </c>
      <c r="E1084" s="5">
        <v>8.0566583E7</v>
      </c>
      <c r="F1084" s="5" t="s">
        <v>259</v>
      </c>
      <c r="G1084" s="5" t="s">
        <v>15</v>
      </c>
      <c r="H1084" s="5" t="s">
        <v>16</v>
      </c>
      <c r="I1084" s="6" t="s">
        <v>63</v>
      </c>
      <c r="J1084" s="7" t="s">
        <v>18</v>
      </c>
      <c r="K1084" s="7" t="s">
        <v>19</v>
      </c>
      <c r="L1084" s="8">
        <v>1.771208584373E12</v>
      </c>
      <c r="M1084" s="9"/>
      <c r="N1084" s="10"/>
      <c r="O1084" s="10"/>
      <c r="P1084" s="10"/>
      <c r="Q1084" s="10"/>
      <c r="R1084" s="10"/>
      <c r="S1084" s="10"/>
      <c r="T1084" s="10"/>
      <c r="U1084" s="10"/>
      <c r="V1084" s="10"/>
    </row>
    <row r="1085" ht="22.5" customHeight="1">
      <c r="A1085" s="5">
        <v>2.02731649712E11</v>
      </c>
      <c r="B1085" s="5" t="s">
        <v>1179</v>
      </c>
      <c r="C1085" s="5">
        <v>51960158218</v>
      </c>
      <c r="D1085" s="5" t="s">
        <v>13</v>
      </c>
      <c r="E1085" s="5">
        <v>8.7547393E7</v>
      </c>
      <c r="F1085" s="5" t="s">
        <v>28</v>
      </c>
      <c r="G1085" s="5" t="s">
        <v>15</v>
      </c>
      <c r="H1085" s="5" t="s">
        <v>51</v>
      </c>
      <c r="I1085" s="6" t="s">
        <v>36</v>
      </c>
      <c r="J1085" s="7" t="s">
        <v>18</v>
      </c>
      <c r="K1085" s="7" t="s">
        <v>116</v>
      </c>
      <c r="L1085" s="8">
        <v>1.771208591572E12</v>
      </c>
      <c r="M1085" s="9"/>
      <c r="N1085" s="10"/>
      <c r="O1085" s="10"/>
      <c r="P1085" s="10"/>
      <c r="Q1085" s="10"/>
      <c r="R1085" s="10"/>
      <c r="S1085" s="10"/>
      <c r="T1085" s="10"/>
      <c r="U1085" s="10"/>
      <c r="V1085" s="10"/>
    </row>
    <row r="1086" ht="22.5" customHeight="1">
      <c r="A1086" s="5">
        <v>2.02731258205E11</v>
      </c>
      <c r="B1086" s="5" t="s">
        <v>1180</v>
      </c>
      <c r="C1086" s="5">
        <v>5521980879767</v>
      </c>
      <c r="D1086" s="5" t="s">
        <v>13</v>
      </c>
      <c r="E1086" s="5">
        <v>7.9360573E7</v>
      </c>
      <c r="F1086" s="5" t="s">
        <v>510</v>
      </c>
      <c r="G1086" s="5" t="s">
        <v>32</v>
      </c>
      <c r="H1086" s="5" t="s">
        <v>16</v>
      </c>
      <c r="I1086" s="6" t="s">
        <v>17</v>
      </c>
      <c r="J1086" s="7" t="s">
        <v>34</v>
      </c>
      <c r="K1086" s="7"/>
      <c r="L1086" s="8">
        <v>1.771209108533E12</v>
      </c>
      <c r="M1086" s="9"/>
      <c r="N1086" s="10"/>
      <c r="O1086" s="10"/>
      <c r="P1086" s="10"/>
      <c r="Q1086" s="10"/>
      <c r="R1086" s="10"/>
      <c r="S1086" s="10"/>
      <c r="T1086" s="10"/>
      <c r="U1086" s="10"/>
      <c r="V1086" s="10"/>
    </row>
    <row r="1087" ht="22.5" customHeight="1">
      <c r="A1087" s="5">
        <v>2.02722170434E11</v>
      </c>
      <c r="B1087" s="5" t="s">
        <v>1181</v>
      </c>
      <c r="C1087" s="5">
        <v>5585986787649</v>
      </c>
      <c r="D1087" s="5" t="s">
        <v>13</v>
      </c>
      <c r="E1087" s="5">
        <v>7.9360573E7</v>
      </c>
      <c r="F1087" s="5"/>
      <c r="G1087" s="5"/>
      <c r="H1087" s="5" t="s">
        <v>16</v>
      </c>
      <c r="I1087" s="6" t="s">
        <v>17</v>
      </c>
      <c r="J1087" s="7" t="s">
        <v>18</v>
      </c>
      <c r="K1087" s="7" t="s">
        <v>45</v>
      </c>
      <c r="L1087" s="8">
        <v>1.771209214041E12</v>
      </c>
      <c r="M1087" s="9"/>
      <c r="N1087" s="10"/>
      <c r="O1087" s="10"/>
      <c r="P1087" s="10"/>
      <c r="Q1087" s="10"/>
      <c r="R1087" s="10"/>
      <c r="S1087" s="10"/>
      <c r="T1087" s="10"/>
      <c r="U1087" s="10"/>
      <c r="V1087" s="10"/>
    </row>
    <row r="1088" ht="22.5" customHeight="1">
      <c r="A1088" s="5">
        <v>2.0272361682E11</v>
      </c>
      <c r="B1088" s="5" t="s">
        <v>1182</v>
      </c>
      <c r="C1088" s="5">
        <v>51924517068</v>
      </c>
      <c r="D1088" s="5" t="s">
        <v>38</v>
      </c>
      <c r="E1088" s="5">
        <v>8.0566583E7</v>
      </c>
      <c r="F1088" s="5"/>
      <c r="G1088" s="5"/>
      <c r="H1088" s="5"/>
      <c r="I1088" s="6"/>
      <c r="J1088" s="7" t="s">
        <v>58</v>
      </c>
      <c r="K1088" s="11" t="s">
        <v>59</v>
      </c>
      <c r="L1088" s="8">
        <v>1.771209842288E12</v>
      </c>
      <c r="M1088" s="9"/>
      <c r="N1088" s="10"/>
      <c r="O1088" s="10"/>
      <c r="P1088" s="10"/>
      <c r="Q1088" s="10"/>
      <c r="R1088" s="10"/>
      <c r="S1088" s="10"/>
      <c r="T1088" s="10"/>
      <c r="U1088" s="10"/>
      <c r="V1088" s="10"/>
    </row>
    <row r="1089" ht="22.5" customHeight="1">
      <c r="A1089" s="5">
        <v>2.02726569078E11</v>
      </c>
      <c r="B1089" s="5" t="s">
        <v>1183</v>
      </c>
      <c r="C1089" s="5">
        <v>51979557904</v>
      </c>
      <c r="D1089" s="5" t="s">
        <v>103</v>
      </c>
      <c r="E1089" s="5">
        <v>8.0566583E7</v>
      </c>
      <c r="F1089" s="5" t="s">
        <v>14</v>
      </c>
      <c r="G1089" s="5" t="s">
        <v>79</v>
      </c>
      <c r="H1089" s="5" t="s">
        <v>114</v>
      </c>
      <c r="I1089" s="6" t="s">
        <v>148</v>
      </c>
      <c r="J1089" s="7" t="s">
        <v>25</v>
      </c>
      <c r="K1089" s="7" t="s">
        <v>26</v>
      </c>
      <c r="L1089" s="8">
        <v>1.771211803565E12</v>
      </c>
      <c r="M1089" s="9"/>
      <c r="N1089" s="10"/>
      <c r="O1089" s="10"/>
      <c r="P1089" s="10"/>
      <c r="Q1089" s="10"/>
      <c r="R1089" s="10"/>
      <c r="S1089" s="10"/>
      <c r="T1089" s="10"/>
      <c r="U1089" s="10"/>
      <c r="V1089" s="10"/>
    </row>
    <row r="1090" ht="22.5" customHeight="1">
      <c r="A1090" s="5">
        <v>2.0272701392E11</v>
      </c>
      <c r="B1090" s="5" t="s">
        <v>1184</v>
      </c>
      <c r="C1090" s="5">
        <v>522296926943</v>
      </c>
      <c r="D1090" s="5" t="s">
        <v>13</v>
      </c>
      <c r="E1090" s="5">
        <v>8.7547393E7</v>
      </c>
      <c r="F1090" s="5" t="s">
        <v>65</v>
      </c>
      <c r="G1090" s="5" t="s">
        <v>15</v>
      </c>
      <c r="H1090" s="5" t="s">
        <v>51</v>
      </c>
      <c r="I1090" s="6" t="s">
        <v>17</v>
      </c>
      <c r="J1090" s="7" t="s">
        <v>34</v>
      </c>
      <c r="K1090" s="7"/>
      <c r="L1090" s="8">
        <v>1.771212124949E12</v>
      </c>
      <c r="M1090" s="9"/>
      <c r="N1090" s="10"/>
      <c r="O1090" s="10"/>
      <c r="P1090" s="10"/>
      <c r="Q1090" s="10"/>
      <c r="R1090" s="10"/>
      <c r="S1090" s="10"/>
      <c r="T1090" s="10"/>
      <c r="U1090" s="10"/>
      <c r="V1090" s="10"/>
    </row>
    <row r="1091" ht="22.5" customHeight="1">
      <c r="A1091" s="5">
        <v>2.02733586758E11</v>
      </c>
      <c r="B1091" s="5" t="s">
        <v>1185</v>
      </c>
      <c r="C1091" s="5">
        <v>525533616546</v>
      </c>
      <c r="D1091" s="5" t="s">
        <v>13</v>
      </c>
      <c r="E1091" s="5">
        <v>8.0566583E7</v>
      </c>
      <c r="F1091" s="5" t="s">
        <v>259</v>
      </c>
      <c r="G1091" s="5" t="s">
        <v>15</v>
      </c>
      <c r="H1091" s="5" t="s">
        <v>165</v>
      </c>
      <c r="I1091" s="6" t="s">
        <v>17</v>
      </c>
      <c r="J1091" s="7" t="s">
        <v>124</v>
      </c>
      <c r="K1091" s="7" t="s">
        <v>125</v>
      </c>
      <c r="L1091" s="8">
        <v>1.771212207843E12</v>
      </c>
      <c r="M1091" s="9"/>
      <c r="N1091" s="10"/>
      <c r="O1091" s="10"/>
      <c r="P1091" s="10"/>
      <c r="Q1091" s="10"/>
      <c r="R1091" s="10"/>
      <c r="S1091" s="10"/>
      <c r="T1091" s="10"/>
      <c r="U1091" s="10"/>
      <c r="V1091" s="10"/>
    </row>
    <row r="1092" ht="22.5" customHeight="1">
      <c r="A1092" s="5">
        <v>2.02734540375E11</v>
      </c>
      <c r="B1092" s="5" t="s">
        <v>1186</v>
      </c>
      <c r="C1092" s="5">
        <v>16143763920</v>
      </c>
      <c r="D1092" s="5" t="s">
        <v>22</v>
      </c>
      <c r="E1092" s="5">
        <v>8.0566583E7</v>
      </c>
      <c r="F1092" s="5" t="s">
        <v>14</v>
      </c>
      <c r="G1092" s="5" t="s">
        <v>44</v>
      </c>
      <c r="H1092" s="5" t="s">
        <v>66</v>
      </c>
      <c r="I1092" s="6" t="s">
        <v>17</v>
      </c>
      <c r="J1092" s="7" t="s">
        <v>34</v>
      </c>
      <c r="K1092" s="7"/>
      <c r="L1092" s="8">
        <v>1.771213091209E12</v>
      </c>
      <c r="M1092" s="9"/>
      <c r="N1092" s="10"/>
      <c r="O1092" s="10"/>
      <c r="P1092" s="10"/>
      <c r="Q1092" s="10"/>
      <c r="R1092" s="10"/>
      <c r="S1092" s="10"/>
      <c r="T1092" s="10"/>
      <c r="U1092" s="10"/>
      <c r="V1092" s="10"/>
    </row>
    <row r="1093" ht="22.5" customHeight="1">
      <c r="A1093" s="5">
        <v>2.02733936965E11</v>
      </c>
      <c r="B1093" s="5" t="s">
        <v>1187</v>
      </c>
      <c r="C1093" s="5">
        <v>526626703267</v>
      </c>
      <c r="D1093" s="5" t="s">
        <v>13</v>
      </c>
      <c r="E1093" s="5">
        <v>8.7547393E7</v>
      </c>
      <c r="F1093" s="5" t="s">
        <v>93</v>
      </c>
      <c r="G1093" s="5" t="s">
        <v>32</v>
      </c>
      <c r="H1093" s="5" t="s">
        <v>24</v>
      </c>
      <c r="I1093" s="6" t="s">
        <v>49</v>
      </c>
      <c r="J1093" s="7" t="s">
        <v>18</v>
      </c>
      <c r="K1093" s="7" t="s">
        <v>61</v>
      </c>
      <c r="L1093" s="8">
        <v>1.771213214696E12</v>
      </c>
      <c r="M1093" s="9"/>
      <c r="N1093" s="10"/>
      <c r="O1093" s="10"/>
      <c r="P1093" s="10"/>
      <c r="Q1093" s="10"/>
      <c r="R1093" s="10"/>
      <c r="S1093" s="10"/>
      <c r="T1093" s="10"/>
      <c r="U1093" s="10"/>
      <c r="V1093" s="10"/>
    </row>
    <row r="1094" ht="22.5" customHeight="1">
      <c r="A1094" s="5">
        <v>2.0020682411E11</v>
      </c>
      <c r="B1094" s="5" t="s">
        <v>1188</v>
      </c>
      <c r="C1094" s="5">
        <v>525529066947</v>
      </c>
      <c r="D1094" s="5" t="s">
        <v>13</v>
      </c>
      <c r="E1094" s="5">
        <v>8.0566583E7</v>
      </c>
      <c r="F1094" s="5" t="s">
        <v>65</v>
      </c>
      <c r="G1094" s="5" t="s">
        <v>15</v>
      </c>
      <c r="H1094" s="5" t="s">
        <v>29</v>
      </c>
      <c r="I1094" s="6" t="s">
        <v>17</v>
      </c>
      <c r="J1094" s="7" t="s">
        <v>18</v>
      </c>
      <c r="K1094" s="7" t="s">
        <v>76</v>
      </c>
      <c r="L1094" s="8">
        <v>1.771213560048E12</v>
      </c>
      <c r="M1094" s="9"/>
      <c r="N1094" s="10"/>
      <c r="O1094" s="10"/>
      <c r="P1094" s="10"/>
      <c r="Q1094" s="10"/>
      <c r="R1094" s="10"/>
      <c r="S1094" s="10"/>
      <c r="T1094" s="10"/>
      <c r="U1094" s="10"/>
      <c r="V1094" s="10"/>
    </row>
    <row r="1095" ht="22.5" customHeight="1">
      <c r="A1095" s="5">
        <v>2.02737580422E11</v>
      </c>
      <c r="B1095" s="5" t="s">
        <v>1189</v>
      </c>
      <c r="C1095" s="5">
        <v>51928667653</v>
      </c>
      <c r="D1095" s="5" t="s">
        <v>38</v>
      </c>
      <c r="E1095" s="5">
        <v>8.7547393E7</v>
      </c>
      <c r="F1095" s="5"/>
      <c r="G1095" s="5"/>
      <c r="H1095" s="5"/>
      <c r="I1095" s="6" t="s">
        <v>17</v>
      </c>
      <c r="J1095" s="7" t="s">
        <v>18</v>
      </c>
      <c r="K1095" s="7" t="s">
        <v>19</v>
      </c>
      <c r="L1095" s="8">
        <v>1.771214727376E12</v>
      </c>
      <c r="M1095" s="9"/>
      <c r="N1095" s="10"/>
      <c r="O1095" s="10"/>
      <c r="P1095" s="10"/>
      <c r="Q1095" s="10"/>
      <c r="R1095" s="10"/>
      <c r="S1095" s="10"/>
      <c r="T1095" s="10"/>
      <c r="U1095" s="10"/>
      <c r="V1095" s="10"/>
    </row>
    <row r="1096" ht="22.5" customHeight="1">
      <c r="A1096" s="5">
        <v>2.0273467787E11</v>
      </c>
      <c r="B1096" s="5" t="s">
        <v>1190</v>
      </c>
      <c r="C1096" s="5">
        <v>51949869507</v>
      </c>
      <c r="D1096" s="5" t="s">
        <v>22</v>
      </c>
      <c r="E1096" s="5">
        <v>8.7547393E7</v>
      </c>
      <c r="F1096" s="5" t="s">
        <v>14</v>
      </c>
      <c r="G1096" s="5" t="s">
        <v>44</v>
      </c>
      <c r="H1096" s="5" t="s">
        <v>24</v>
      </c>
      <c r="I1096" s="6" t="s">
        <v>17</v>
      </c>
      <c r="J1096" s="7" t="s">
        <v>34</v>
      </c>
      <c r="K1096" s="7"/>
      <c r="L1096" s="8">
        <v>1.771215791254E12</v>
      </c>
      <c r="M1096" s="9"/>
      <c r="N1096" s="10"/>
      <c r="O1096" s="10"/>
      <c r="P1096" s="10"/>
      <c r="Q1096" s="10"/>
      <c r="R1096" s="10"/>
      <c r="S1096" s="10"/>
      <c r="T1096" s="10"/>
      <c r="U1096" s="10"/>
      <c r="V1096" s="10"/>
    </row>
    <row r="1097" ht="22.5" customHeight="1">
      <c r="A1097" s="5">
        <v>2.02739063703E11</v>
      </c>
      <c r="B1097" s="5" t="s">
        <v>1191</v>
      </c>
      <c r="C1097" s="5">
        <v>528181802830</v>
      </c>
      <c r="D1097" s="5" t="s">
        <v>103</v>
      </c>
      <c r="E1097" s="5">
        <v>8.0566583E7</v>
      </c>
      <c r="F1097" s="5" t="s">
        <v>28</v>
      </c>
      <c r="G1097" s="5" t="s">
        <v>79</v>
      </c>
      <c r="H1097" s="5" t="s">
        <v>16</v>
      </c>
      <c r="I1097" s="6" t="s">
        <v>17</v>
      </c>
      <c r="J1097" s="7" t="s">
        <v>18</v>
      </c>
      <c r="K1097" s="7" t="s">
        <v>61</v>
      </c>
      <c r="L1097" s="8">
        <v>1.771216495412E12</v>
      </c>
      <c r="M1097" s="9"/>
      <c r="N1097" s="10"/>
      <c r="O1097" s="10"/>
      <c r="P1097" s="10"/>
      <c r="Q1097" s="10"/>
      <c r="R1097" s="10"/>
      <c r="S1097" s="10"/>
      <c r="T1097" s="10"/>
      <c r="U1097" s="10"/>
      <c r="V1097" s="10"/>
    </row>
    <row r="1098" ht="22.5" customHeight="1">
      <c r="A1098" s="5">
        <v>2.02766289051E11</v>
      </c>
      <c r="B1098" s="5" t="s">
        <v>1192</v>
      </c>
      <c r="C1098" s="5">
        <v>51982861120</v>
      </c>
      <c r="D1098" s="5" t="s">
        <v>13</v>
      </c>
      <c r="E1098" s="5">
        <v>8.0566583E7</v>
      </c>
      <c r="F1098" s="5" t="s">
        <v>259</v>
      </c>
      <c r="G1098" s="5" t="s">
        <v>15</v>
      </c>
      <c r="H1098" s="5" t="s">
        <v>24</v>
      </c>
      <c r="I1098" s="6" t="s">
        <v>17</v>
      </c>
      <c r="J1098" s="7" t="s">
        <v>18</v>
      </c>
      <c r="K1098" s="7" t="s">
        <v>19</v>
      </c>
      <c r="L1098" s="8">
        <v>1.771217430609E12</v>
      </c>
      <c r="M1098" s="9"/>
      <c r="N1098" s="10"/>
      <c r="O1098" s="10"/>
      <c r="P1098" s="10"/>
      <c r="Q1098" s="10"/>
      <c r="R1098" s="10"/>
      <c r="S1098" s="10"/>
      <c r="T1098" s="10"/>
      <c r="U1098" s="10"/>
      <c r="V1098" s="10"/>
    </row>
    <row r="1099" ht="22.5" customHeight="1">
      <c r="A1099" s="5">
        <v>2.02765150221E11</v>
      </c>
      <c r="B1099" s="5" t="s">
        <v>1193</v>
      </c>
      <c r="C1099" s="5">
        <v>528721312480</v>
      </c>
      <c r="D1099" s="5" t="s">
        <v>38</v>
      </c>
      <c r="E1099" s="5">
        <v>8.0566583E7</v>
      </c>
      <c r="F1099" s="5" t="s">
        <v>28</v>
      </c>
      <c r="G1099" s="5" t="s">
        <v>15</v>
      </c>
      <c r="H1099" s="5" t="s">
        <v>51</v>
      </c>
      <c r="I1099" s="6" t="s">
        <v>63</v>
      </c>
      <c r="J1099" s="7" t="s">
        <v>34</v>
      </c>
      <c r="K1099" s="7"/>
      <c r="L1099" s="8">
        <v>1.771219291285E12</v>
      </c>
      <c r="M1099" s="9"/>
      <c r="N1099" s="10"/>
      <c r="O1099" s="10"/>
      <c r="P1099" s="10"/>
      <c r="Q1099" s="10"/>
      <c r="R1099" s="10"/>
      <c r="S1099" s="10"/>
      <c r="T1099" s="10"/>
      <c r="U1099" s="10"/>
      <c r="V1099" s="10"/>
    </row>
    <row r="1100" ht="22.5" customHeight="1">
      <c r="A1100" s="5">
        <v>2.02777475177E11</v>
      </c>
      <c r="B1100" s="5" t="s">
        <v>1194</v>
      </c>
      <c r="C1100" s="5">
        <v>527444371993</v>
      </c>
      <c r="D1100" s="5" t="s">
        <v>22</v>
      </c>
      <c r="E1100" s="5">
        <v>8.7547393E7</v>
      </c>
      <c r="F1100" s="5" t="s">
        <v>259</v>
      </c>
      <c r="G1100" s="5">
        <v>50</v>
      </c>
      <c r="H1100" s="5" t="s">
        <v>180</v>
      </c>
      <c r="I1100" s="6" t="s">
        <v>17</v>
      </c>
      <c r="J1100" s="7" t="s">
        <v>34</v>
      </c>
      <c r="K1100" s="7"/>
      <c r="L1100" s="8">
        <v>1.771219864264E12</v>
      </c>
      <c r="M1100" s="9"/>
      <c r="N1100" s="10"/>
      <c r="O1100" s="10"/>
      <c r="P1100" s="10"/>
      <c r="Q1100" s="10"/>
      <c r="R1100" s="10"/>
      <c r="S1100" s="10"/>
      <c r="T1100" s="10"/>
      <c r="U1100" s="10"/>
      <c r="V1100" s="10"/>
    </row>
    <row r="1101" ht="22.5" customHeight="1">
      <c r="A1101" s="5">
        <v>2.02765196639E11</v>
      </c>
      <c r="B1101" s="5" t="s">
        <v>1195</v>
      </c>
      <c r="C1101" s="5">
        <v>51937441100</v>
      </c>
      <c r="D1101" s="5" t="s">
        <v>13</v>
      </c>
      <c r="E1101" s="5">
        <v>8.0566583E7</v>
      </c>
      <c r="F1101" s="5" t="s">
        <v>259</v>
      </c>
      <c r="G1101" s="5" t="s">
        <v>15</v>
      </c>
      <c r="H1101" s="5" t="s">
        <v>51</v>
      </c>
      <c r="I1101" s="6" t="s">
        <v>17</v>
      </c>
      <c r="J1101" s="7" t="s">
        <v>18</v>
      </c>
      <c r="K1101" s="7" t="s">
        <v>19</v>
      </c>
      <c r="L1101" s="8">
        <v>1.771220569653E12</v>
      </c>
      <c r="M1101" s="9"/>
      <c r="N1101" s="10"/>
      <c r="O1101" s="10"/>
      <c r="P1101" s="10"/>
      <c r="Q1101" s="10"/>
      <c r="R1101" s="10"/>
      <c r="S1101" s="10"/>
      <c r="T1101" s="10"/>
      <c r="U1101" s="10"/>
      <c r="V1101" s="10"/>
    </row>
    <row r="1102" ht="22.5" customHeight="1">
      <c r="A1102" s="5">
        <v>1.8529071437E11</v>
      </c>
      <c r="B1102" s="5" t="s">
        <v>1196</v>
      </c>
      <c r="C1102" s="5">
        <v>51910716839</v>
      </c>
      <c r="D1102" s="5" t="s">
        <v>13</v>
      </c>
      <c r="E1102" s="5">
        <v>8.7547393E7</v>
      </c>
      <c r="F1102" s="5" t="s">
        <v>259</v>
      </c>
      <c r="G1102" s="5" t="s">
        <v>15</v>
      </c>
      <c r="H1102" s="5" t="s">
        <v>51</v>
      </c>
      <c r="I1102" s="6" t="s">
        <v>17</v>
      </c>
      <c r="J1102" s="7" t="s">
        <v>18</v>
      </c>
      <c r="K1102" s="7" t="s">
        <v>19</v>
      </c>
      <c r="L1102" s="8">
        <v>1.771222224175E12</v>
      </c>
      <c r="M1102" s="9"/>
      <c r="N1102" s="10"/>
      <c r="O1102" s="10"/>
      <c r="P1102" s="10"/>
      <c r="Q1102" s="10"/>
      <c r="R1102" s="10"/>
      <c r="S1102" s="10"/>
      <c r="T1102" s="10"/>
      <c r="U1102" s="10"/>
      <c r="V1102" s="10"/>
    </row>
    <row r="1103" ht="22.5" customHeight="1">
      <c r="A1103" s="5">
        <v>2.02776221327E11</v>
      </c>
      <c r="B1103" s="5" t="s">
        <v>1197</v>
      </c>
      <c r="C1103" s="5">
        <v>541135781105</v>
      </c>
      <c r="D1103" s="5" t="s">
        <v>13</v>
      </c>
      <c r="E1103" s="5">
        <v>8.0566583E7</v>
      </c>
      <c r="F1103" s="5" t="s">
        <v>28</v>
      </c>
      <c r="G1103" s="5" t="s">
        <v>15</v>
      </c>
      <c r="H1103" s="5" t="s">
        <v>24</v>
      </c>
      <c r="I1103" s="6" t="s">
        <v>36</v>
      </c>
      <c r="J1103" s="7" t="s">
        <v>25</v>
      </c>
      <c r="K1103" s="7" t="s">
        <v>26</v>
      </c>
      <c r="L1103" s="8">
        <v>1.771222663273E12</v>
      </c>
      <c r="M1103" s="9"/>
      <c r="N1103" s="10"/>
      <c r="O1103" s="10"/>
      <c r="P1103" s="10"/>
      <c r="Q1103" s="10"/>
      <c r="R1103" s="10"/>
      <c r="S1103" s="10"/>
      <c r="T1103" s="10"/>
      <c r="U1103" s="10"/>
      <c r="V1103" s="10"/>
    </row>
    <row r="1104" ht="22.5" customHeight="1">
      <c r="A1104" s="5">
        <v>2.02781836311E11</v>
      </c>
      <c r="B1104" s="5" t="s">
        <v>1198</v>
      </c>
      <c r="C1104" s="5">
        <v>525532033284</v>
      </c>
      <c r="D1104" s="5" t="s">
        <v>13</v>
      </c>
      <c r="E1104" s="5">
        <v>8.0566583E7</v>
      </c>
      <c r="F1104" s="5" t="s">
        <v>65</v>
      </c>
      <c r="G1104" s="5" t="s">
        <v>15</v>
      </c>
      <c r="H1104" s="5" t="s">
        <v>69</v>
      </c>
      <c r="I1104" s="6" t="s">
        <v>17</v>
      </c>
      <c r="J1104" s="7" t="s">
        <v>34</v>
      </c>
      <c r="K1104" s="7"/>
      <c r="L1104" s="8">
        <v>1.771223596481E12</v>
      </c>
      <c r="M1104" s="9"/>
      <c r="N1104" s="10"/>
      <c r="O1104" s="10"/>
      <c r="P1104" s="10"/>
      <c r="Q1104" s="10"/>
      <c r="R1104" s="10"/>
      <c r="S1104" s="10"/>
      <c r="T1104" s="10"/>
      <c r="U1104" s="10"/>
      <c r="V1104" s="10"/>
    </row>
    <row r="1105" ht="22.5" customHeight="1">
      <c r="A1105" s="5">
        <v>1.95970394765E11</v>
      </c>
      <c r="B1105" s="5" t="s">
        <v>1199</v>
      </c>
      <c r="C1105" s="5">
        <v>51947398644</v>
      </c>
      <c r="D1105" s="5" t="s">
        <v>38</v>
      </c>
      <c r="E1105" s="5">
        <v>8.7547393E7</v>
      </c>
      <c r="F1105" s="5"/>
      <c r="G1105" s="5"/>
      <c r="H1105" s="5"/>
      <c r="I1105" s="6"/>
      <c r="J1105" s="7" t="s">
        <v>18</v>
      </c>
      <c r="K1105" s="7" t="s">
        <v>19</v>
      </c>
      <c r="L1105" s="8">
        <v>1.77122403027E12</v>
      </c>
      <c r="M1105" s="9"/>
      <c r="N1105" s="10"/>
      <c r="O1105" s="10"/>
      <c r="P1105" s="10"/>
      <c r="Q1105" s="10"/>
      <c r="R1105" s="10"/>
      <c r="S1105" s="10"/>
      <c r="T1105" s="10"/>
      <c r="U1105" s="10"/>
      <c r="V1105" s="10"/>
    </row>
    <row r="1106" ht="22.5" customHeight="1">
      <c r="A1106" s="5">
        <v>2.02737580422E11</v>
      </c>
      <c r="B1106" s="5" t="s">
        <v>1189</v>
      </c>
      <c r="C1106" s="5">
        <v>51928667653</v>
      </c>
      <c r="D1106" s="5" t="s">
        <v>38</v>
      </c>
      <c r="E1106" s="5">
        <v>8.7547393E7</v>
      </c>
      <c r="F1106" s="5"/>
      <c r="G1106" s="5"/>
      <c r="H1106" s="5"/>
      <c r="I1106" s="6" t="s">
        <v>17</v>
      </c>
      <c r="J1106" s="7" t="s">
        <v>34</v>
      </c>
      <c r="K1106" s="7"/>
      <c r="L1106" s="8">
        <v>1.771228079148E12</v>
      </c>
      <c r="M1106" s="9"/>
      <c r="N1106" s="10"/>
      <c r="O1106" s="10"/>
      <c r="P1106" s="10"/>
      <c r="Q1106" s="10"/>
      <c r="R1106" s="10"/>
      <c r="S1106" s="10"/>
      <c r="T1106" s="10"/>
      <c r="U1106" s="10"/>
      <c r="V1106" s="10"/>
    </row>
    <row r="1107" ht="22.5" customHeight="1">
      <c r="A1107" s="5">
        <v>2.02756893522E11</v>
      </c>
      <c r="B1107" s="5" t="s">
        <v>1200</v>
      </c>
      <c r="C1107" s="5">
        <v>51906644658</v>
      </c>
      <c r="D1107" s="5" t="s">
        <v>13</v>
      </c>
      <c r="E1107" s="5">
        <v>8.0566583E7</v>
      </c>
      <c r="F1107" s="5" t="s">
        <v>714</v>
      </c>
      <c r="G1107" s="5">
        <v>50</v>
      </c>
      <c r="H1107" s="5" t="s">
        <v>24</v>
      </c>
      <c r="I1107" s="6" t="s">
        <v>36</v>
      </c>
      <c r="J1107" s="7" t="s">
        <v>18</v>
      </c>
      <c r="K1107" s="7" t="s">
        <v>19</v>
      </c>
      <c r="L1107" s="8">
        <v>1.771229033398E12</v>
      </c>
      <c r="M1107" s="9"/>
      <c r="N1107" s="10"/>
      <c r="O1107" s="10"/>
      <c r="P1107" s="10"/>
      <c r="Q1107" s="10"/>
      <c r="R1107" s="10"/>
      <c r="S1107" s="10"/>
      <c r="T1107" s="10"/>
      <c r="U1107" s="10"/>
      <c r="V1107" s="10"/>
    </row>
    <row r="1108" ht="22.5" customHeight="1">
      <c r="A1108" s="5">
        <v>2.02800729984E11</v>
      </c>
      <c r="B1108" s="5" t="s">
        <v>1201</v>
      </c>
      <c r="C1108" s="5">
        <v>51939258704</v>
      </c>
      <c r="D1108" s="5" t="s">
        <v>13</v>
      </c>
      <c r="E1108" s="5">
        <v>8.0566583E7</v>
      </c>
      <c r="F1108" s="5" t="s">
        <v>14</v>
      </c>
      <c r="G1108" s="5" t="s">
        <v>15</v>
      </c>
      <c r="H1108" s="5" t="s">
        <v>51</v>
      </c>
      <c r="I1108" s="6" t="s">
        <v>36</v>
      </c>
      <c r="J1108" s="7" t="s">
        <v>34</v>
      </c>
      <c r="K1108" s="7"/>
      <c r="L1108" s="8">
        <v>1.771229455121E12</v>
      </c>
      <c r="M1108" s="9"/>
      <c r="N1108" s="10"/>
      <c r="O1108" s="10"/>
      <c r="P1108" s="10"/>
      <c r="Q1108" s="10"/>
      <c r="R1108" s="10"/>
      <c r="S1108" s="10"/>
      <c r="T1108" s="10"/>
      <c r="U1108" s="10"/>
      <c r="V1108" s="10"/>
    </row>
    <row r="1109" ht="22.5" customHeight="1">
      <c r="A1109" s="5">
        <v>2.028248257E11</v>
      </c>
      <c r="B1109" s="5" t="s">
        <v>1202</v>
      </c>
      <c r="C1109" s="5">
        <v>51928389426</v>
      </c>
      <c r="D1109" s="5" t="s">
        <v>13</v>
      </c>
      <c r="E1109" s="5">
        <v>8.0566583E7</v>
      </c>
      <c r="F1109" s="5" t="s">
        <v>28</v>
      </c>
      <c r="G1109" s="5" t="s">
        <v>15</v>
      </c>
      <c r="H1109" s="5" t="s">
        <v>51</v>
      </c>
      <c r="I1109" s="6" t="s">
        <v>17</v>
      </c>
      <c r="J1109" s="7" t="s">
        <v>34</v>
      </c>
      <c r="K1109" s="7"/>
      <c r="L1109" s="8">
        <v>1.771231393479E12</v>
      </c>
      <c r="M1109" s="9"/>
      <c r="N1109" s="10"/>
      <c r="O1109" s="10"/>
      <c r="P1109" s="10"/>
      <c r="Q1109" s="10"/>
      <c r="R1109" s="10"/>
      <c r="S1109" s="10"/>
      <c r="T1109" s="10"/>
      <c r="U1109" s="10"/>
      <c r="V1109" s="10"/>
    </row>
    <row r="1110" ht="22.5" customHeight="1">
      <c r="A1110" s="5">
        <v>2.02763122054E11</v>
      </c>
      <c r="B1110" s="5" t="s">
        <v>1203</v>
      </c>
      <c r="C1110" s="5">
        <v>51924004208</v>
      </c>
      <c r="D1110" s="5" t="s">
        <v>13</v>
      </c>
      <c r="E1110" s="5">
        <v>8.0566583E7</v>
      </c>
      <c r="F1110" s="5" t="s">
        <v>39</v>
      </c>
      <c r="G1110" s="5" t="s">
        <v>44</v>
      </c>
      <c r="H1110" s="5" t="s">
        <v>69</v>
      </c>
      <c r="I1110" s="6" t="s">
        <v>49</v>
      </c>
      <c r="J1110" s="7" t="s">
        <v>18</v>
      </c>
      <c r="K1110" s="7" t="s">
        <v>19</v>
      </c>
      <c r="L1110" s="8">
        <v>1.771236134014E12</v>
      </c>
      <c r="M1110" s="9"/>
      <c r="N1110" s="10"/>
      <c r="O1110" s="10"/>
      <c r="P1110" s="10"/>
      <c r="Q1110" s="10"/>
      <c r="R1110" s="10"/>
      <c r="S1110" s="10"/>
      <c r="T1110" s="10"/>
      <c r="U1110" s="10"/>
      <c r="V1110" s="10"/>
    </row>
    <row r="1111" ht="22.5" customHeight="1">
      <c r="A1111" s="5">
        <v>2.00168537884E11</v>
      </c>
      <c r="B1111" s="5" t="s">
        <v>1204</v>
      </c>
      <c r="C1111" s="5">
        <v>51988307864</v>
      </c>
      <c r="D1111" s="5" t="s">
        <v>13</v>
      </c>
      <c r="E1111" s="5">
        <v>8.7547393E7</v>
      </c>
      <c r="F1111" s="5" t="s">
        <v>39</v>
      </c>
      <c r="G1111" s="5" t="s">
        <v>15</v>
      </c>
      <c r="H1111" s="5" t="s">
        <v>51</v>
      </c>
      <c r="I1111" s="6" t="s">
        <v>36</v>
      </c>
      <c r="J1111" s="7" t="s">
        <v>25</v>
      </c>
      <c r="K1111" s="7" t="s">
        <v>501</v>
      </c>
      <c r="L1111" s="8">
        <v>1.771237960069E12</v>
      </c>
      <c r="M1111" s="9"/>
      <c r="N1111" s="10"/>
      <c r="O1111" s="10"/>
      <c r="P1111" s="10"/>
      <c r="Q1111" s="10"/>
      <c r="R1111" s="10"/>
      <c r="S1111" s="10"/>
      <c r="T1111" s="10"/>
      <c r="U1111" s="10"/>
      <c r="V1111" s="10"/>
    </row>
    <row r="1112" ht="22.5" customHeight="1">
      <c r="A1112" s="5">
        <v>2.02857189898E11</v>
      </c>
      <c r="B1112" s="5" t="s">
        <v>1205</v>
      </c>
      <c r="C1112" s="5">
        <v>525619318875</v>
      </c>
      <c r="D1112" s="5" t="s">
        <v>13</v>
      </c>
      <c r="E1112" s="5">
        <v>8.0566583E7</v>
      </c>
      <c r="F1112" s="5" t="s">
        <v>14</v>
      </c>
      <c r="G1112" s="5" t="s">
        <v>32</v>
      </c>
      <c r="H1112" s="5" t="s">
        <v>69</v>
      </c>
      <c r="I1112" s="6" t="s">
        <v>17</v>
      </c>
      <c r="J1112" s="7" t="s">
        <v>34</v>
      </c>
      <c r="K1112" s="7"/>
      <c r="L1112" s="8">
        <v>1.771239744605E12</v>
      </c>
      <c r="M1112" s="9"/>
      <c r="N1112" s="10"/>
      <c r="O1112" s="10"/>
      <c r="P1112" s="10"/>
      <c r="Q1112" s="10"/>
      <c r="R1112" s="10"/>
      <c r="S1112" s="10"/>
      <c r="T1112" s="10"/>
      <c r="U1112" s="10"/>
      <c r="V1112" s="10"/>
    </row>
    <row r="1113" ht="22.5" customHeight="1">
      <c r="A1113" s="5">
        <v>2.02853975132E11</v>
      </c>
      <c r="B1113" s="5" t="s">
        <v>1206</v>
      </c>
      <c r="C1113" s="5">
        <v>51936973149</v>
      </c>
      <c r="D1113" s="5" t="s">
        <v>13</v>
      </c>
      <c r="E1113" s="5">
        <v>8.7547393E7</v>
      </c>
      <c r="F1113" s="5" t="s">
        <v>14</v>
      </c>
      <c r="G1113" s="5" t="s">
        <v>15</v>
      </c>
      <c r="H1113" s="5" t="s">
        <v>29</v>
      </c>
      <c r="I1113" s="6" t="s">
        <v>89</v>
      </c>
      <c r="J1113" s="7" t="s">
        <v>18</v>
      </c>
      <c r="K1113" s="7" t="s">
        <v>19</v>
      </c>
      <c r="L1113" s="8">
        <v>1.771239752455E12</v>
      </c>
      <c r="M1113" s="9"/>
      <c r="N1113" s="10"/>
      <c r="O1113" s="10"/>
      <c r="P1113" s="10"/>
      <c r="Q1113" s="10"/>
      <c r="R1113" s="10"/>
      <c r="S1113" s="10"/>
      <c r="T1113" s="10"/>
      <c r="U1113" s="10"/>
      <c r="V1113" s="10"/>
    </row>
    <row r="1114" ht="22.5" customHeight="1">
      <c r="A1114" s="5">
        <v>2.02879048874E11</v>
      </c>
      <c r="B1114" s="5" t="s">
        <v>1207</v>
      </c>
      <c r="C1114" s="5">
        <v>51991202075</v>
      </c>
      <c r="D1114" s="5" t="s">
        <v>38</v>
      </c>
      <c r="E1114" s="5">
        <v>8.7547393E7</v>
      </c>
      <c r="F1114" s="5"/>
      <c r="G1114" s="5"/>
      <c r="H1114" s="5"/>
      <c r="I1114" s="6" t="s">
        <v>63</v>
      </c>
      <c r="J1114" s="7" t="s">
        <v>25</v>
      </c>
      <c r="K1114" s="7"/>
      <c r="L1114" s="8">
        <v>1.771240108709E12</v>
      </c>
      <c r="M1114" s="9"/>
      <c r="N1114" s="10"/>
      <c r="O1114" s="10"/>
      <c r="P1114" s="10"/>
      <c r="Q1114" s="10"/>
      <c r="R1114" s="10"/>
      <c r="S1114" s="10"/>
      <c r="T1114" s="10"/>
      <c r="U1114" s="10"/>
      <c r="V1114" s="10"/>
    </row>
    <row r="1115" ht="22.5" customHeight="1">
      <c r="A1115" s="5">
        <v>2.02878233946E11</v>
      </c>
      <c r="B1115" s="5" t="s">
        <v>1208</v>
      </c>
      <c r="C1115" s="5">
        <v>51962380802</v>
      </c>
      <c r="D1115" s="5" t="s">
        <v>13</v>
      </c>
      <c r="E1115" s="5">
        <v>8.7547393E7</v>
      </c>
      <c r="F1115" s="5" t="s">
        <v>28</v>
      </c>
      <c r="G1115" s="5" t="s">
        <v>15</v>
      </c>
      <c r="H1115" s="5" t="s">
        <v>55</v>
      </c>
      <c r="I1115" s="6" t="s">
        <v>36</v>
      </c>
      <c r="J1115" s="7" t="s">
        <v>18</v>
      </c>
      <c r="K1115" s="7" t="s">
        <v>19</v>
      </c>
      <c r="L1115" s="8">
        <v>1.771240792089E12</v>
      </c>
      <c r="M1115" s="9"/>
      <c r="N1115" s="10"/>
      <c r="O1115" s="10"/>
      <c r="P1115" s="10"/>
      <c r="Q1115" s="10"/>
      <c r="R1115" s="10"/>
      <c r="S1115" s="10"/>
      <c r="T1115" s="10"/>
      <c r="U1115" s="10"/>
      <c r="V1115" s="10"/>
    </row>
    <row r="1116" ht="22.5" customHeight="1">
      <c r="A1116" s="5">
        <v>2.02879234203E11</v>
      </c>
      <c r="B1116" s="5" t="s">
        <v>1209</v>
      </c>
      <c r="C1116" s="5">
        <v>5562984757073</v>
      </c>
      <c r="D1116" s="5" t="s">
        <v>22</v>
      </c>
      <c r="E1116" s="5">
        <v>7.9360573E7</v>
      </c>
      <c r="F1116" s="5" t="s">
        <v>39</v>
      </c>
      <c r="G1116" s="5" t="s">
        <v>44</v>
      </c>
      <c r="H1116" s="5" t="s">
        <v>55</v>
      </c>
      <c r="I1116" s="6" t="s">
        <v>17</v>
      </c>
      <c r="J1116" s="7" t="s">
        <v>34</v>
      </c>
      <c r="K1116" s="7"/>
      <c r="L1116" s="8">
        <v>1.77124115248E12</v>
      </c>
      <c r="M1116" s="9"/>
      <c r="N1116" s="10"/>
      <c r="O1116" s="10"/>
      <c r="P1116" s="10"/>
      <c r="Q1116" s="10"/>
      <c r="R1116" s="10"/>
      <c r="S1116" s="10"/>
      <c r="T1116" s="10"/>
      <c r="U1116" s="10"/>
      <c r="V1116" s="10"/>
    </row>
    <row r="1117" ht="22.5" customHeight="1">
      <c r="A1117" s="5">
        <v>2.02879254311E11</v>
      </c>
      <c r="B1117" s="5" t="s">
        <v>1210</v>
      </c>
      <c r="C1117" s="5">
        <v>51963865001</v>
      </c>
      <c r="D1117" s="5" t="s">
        <v>38</v>
      </c>
      <c r="E1117" s="5">
        <v>8.0566583E7</v>
      </c>
      <c r="F1117" s="5" t="s">
        <v>28</v>
      </c>
      <c r="G1117" s="5" t="s">
        <v>32</v>
      </c>
      <c r="H1117" s="5" t="s">
        <v>24</v>
      </c>
      <c r="I1117" s="6" t="s">
        <v>63</v>
      </c>
      <c r="J1117" s="7" t="s">
        <v>34</v>
      </c>
      <c r="K1117" s="7"/>
      <c r="L1117" s="8">
        <v>1.771241471417E12</v>
      </c>
      <c r="M1117" s="9"/>
      <c r="N1117" s="10"/>
      <c r="O1117" s="10"/>
      <c r="P1117" s="10"/>
      <c r="Q1117" s="10"/>
      <c r="R1117" s="10"/>
      <c r="S1117" s="10"/>
      <c r="T1117" s="10"/>
      <c r="U1117" s="10"/>
      <c r="V1117" s="10"/>
    </row>
    <row r="1118" ht="22.5" customHeight="1">
      <c r="A1118" s="5">
        <v>2.02892147619E11</v>
      </c>
      <c r="B1118" s="5" t="s">
        <v>1211</v>
      </c>
      <c r="C1118" s="5">
        <v>51997302378</v>
      </c>
      <c r="D1118" s="5" t="s">
        <v>13</v>
      </c>
      <c r="E1118" s="5">
        <v>8.7547393E7</v>
      </c>
      <c r="F1118" s="5" t="s">
        <v>39</v>
      </c>
      <c r="G1118" s="5" t="s">
        <v>15</v>
      </c>
      <c r="H1118" s="5" t="s">
        <v>66</v>
      </c>
      <c r="I1118" s="6" t="s">
        <v>17</v>
      </c>
      <c r="J1118" s="7" t="s">
        <v>34</v>
      </c>
      <c r="K1118" s="7"/>
      <c r="L1118" s="8">
        <v>1.77124178929E12</v>
      </c>
      <c r="M1118" s="9"/>
      <c r="N1118" s="10"/>
      <c r="O1118" s="10"/>
      <c r="P1118" s="10"/>
      <c r="Q1118" s="10"/>
      <c r="R1118" s="10"/>
      <c r="S1118" s="10"/>
      <c r="T1118" s="10"/>
      <c r="U1118" s="10"/>
      <c r="V1118" s="10"/>
    </row>
    <row r="1119" ht="22.5" customHeight="1">
      <c r="A1119" s="5">
        <v>1.47744711961E11</v>
      </c>
      <c r="B1119" s="5" t="s">
        <v>1212</v>
      </c>
      <c r="C1119" s="5">
        <v>525517565710</v>
      </c>
      <c r="D1119" s="5" t="s">
        <v>38</v>
      </c>
      <c r="E1119" s="5"/>
      <c r="F1119" s="5" t="s">
        <v>510</v>
      </c>
      <c r="G1119" s="5"/>
      <c r="H1119" s="5" t="s">
        <v>51</v>
      </c>
      <c r="I1119" s="6" t="s">
        <v>36</v>
      </c>
      <c r="J1119" s="7" t="s">
        <v>18</v>
      </c>
      <c r="K1119" s="7" t="s">
        <v>76</v>
      </c>
      <c r="L1119" s="8">
        <v>1.771242975188E12</v>
      </c>
      <c r="M1119" s="9"/>
      <c r="N1119" s="10"/>
      <c r="O1119" s="10"/>
      <c r="P1119" s="10"/>
      <c r="Q1119" s="10"/>
      <c r="R1119" s="10"/>
      <c r="S1119" s="10"/>
      <c r="T1119" s="10"/>
      <c r="U1119" s="10"/>
      <c r="V1119" s="10"/>
    </row>
    <row r="1120" ht="22.5" customHeight="1">
      <c r="A1120" s="5">
        <v>2.02886740621E11</v>
      </c>
      <c r="B1120" s="5" t="s">
        <v>1213</v>
      </c>
      <c r="C1120" s="5">
        <v>51983308299</v>
      </c>
      <c r="D1120" s="5" t="s">
        <v>22</v>
      </c>
      <c r="E1120" s="5">
        <v>8.0566583E7</v>
      </c>
      <c r="F1120" s="5" t="s">
        <v>714</v>
      </c>
      <c r="G1120" s="5" t="s">
        <v>44</v>
      </c>
      <c r="H1120" s="5" t="s">
        <v>16</v>
      </c>
      <c r="I1120" s="6" t="s">
        <v>63</v>
      </c>
      <c r="J1120" s="7" t="s">
        <v>18</v>
      </c>
      <c r="K1120" s="7" t="s">
        <v>19</v>
      </c>
      <c r="L1120" s="8">
        <v>1.771244430441E12</v>
      </c>
      <c r="M1120" s="9"/>
      <c r="N1120" s="10"/>
      <c r="O1120" s="10"/>
      <c r="P1120" s="10"/>
      <c r="Q1120" s="10"/>
      <c r="R1120" s="10"/>
      <c r="S1120" s="10"/>
      <c r="T1120" s="10"/>
      <c r="U1120" s="10"/>
      <c r="V1120" s="10"/>
    </row>
    <row r="1121" ht="22.5" customHeight="1">
      <c r="A1121" s="5">
        <v>2.02886264492E11</v>
      </c>
      <c r="B1121" s="5" t="s">
        <v>1214</v>
      </c>
      <c r="C1121" s="5">
        <v>595976915753</v>
      </c>
      <c r="D1121" s="5" t="s">
        <v>22</v>
      </c>
      <c r="E1121" s="5">
        <v>8.7547393E7</v>
      </c>
      <c r="F1121" s="5" t="s">
        <v>93</v>
      </c>
      <c r="G1121" s="5" t="s">
        <v>44</v>
      </c>
      <c r="H1121" s="5" t="s">
        <v>29</v>
      </c>
      <c r="I1121" s="6" t="s">
        <v>49</v>
      </c>
      <c r="J1121" s="7" t="s">
        <v>34</v>
      </c>
      <c r="K1121" s="7"/>
      <c r="L1121" s="8">
        <v>1.771244877936E12</v>
      </c>
      <c r="M1121" s="9"/>
      <c r="N1121" s="10"/>
      <c r="O1121" s="10"/>
      <c r="P1121" s="10"/>
      <c r="Q1121" s="10"/>
      <c r="R1121" s="10"/>
      <c r="S1121" s="10"/>
      <c r="T1121" s="10"/>
      <c r="U1121" s="10"/>
      <c r="V1121" s="10"/>
    </row>
    <row r="1122" ht="22.5" customHeight="1">
      <c r="A1122" s="5">
        <v>2.02886705269E11</v>
      </c>
      <c r="B1122" s="5" t="s">
        <v>1215</v>
      </c>
      <c r="C1122" s="5">
        <v>5562996239217</v>
      </c>
      <c r="D1122" s="5" t="s">
        <v>13</v>
      </c>
      <c r="E1122" s="5">
        <v>7.9360573E7</v>
      </c>
      <c r="F1122" s="5" t="s">
        <v>39</v>
      </c>
      <c r="G1122" s="5" t="s">
        <v>15</v>
      </c>
      <c r="H1122" s="5" t="s">
        <v>583</v>
      </c>
      <c r="I1122" s="6" t="s">
        <v>17</v>
      </c>
      <c r="J1122" s="7" t="s">
        <v>34</v>
      </c>
      <c r="K1122" s="7"/>
      <c r="L1122" s="8">
        <v>1.77124582981E12</v>
      </c>
      <c r="M1122" s="9"/>
      <c r="N1122" s="10"/>
      <c r="O1122" s="10"/>
      <c r="P1122" s="10"/>
      <c r="Q1122" s="10"/>
      <c r="R1122" s="10"/>
      <c r="S1122" s="10"/>
      <c r="T1122" s="10"/>
      <c r="U1122" s="10"/>
      <c r="V1122" s="10"/>
    </row>
    <row r="1123" ht="22.5" customHeight="1">
      <c r="A1123" s="5">
        <v>2.02910959766E11</v>
      </c>
      <c r="B1123" s="5" t="s">
        <v>1216</v>
      </c>
      <c r="C1123" s="5">
        <v>51984244368</v>
      </c>
      <c r="D1123" s="5" t="s">
        <v>103</v>
      </c>
      <c r="E1123" s="5">
        <v>8.7547393E7</v>
      </c>
      <c r="F1123" s="5" t="s">
        <v>65</v>
      </c>
      <c r="G1123" s="5" t="s">
        <v>79</v>
      </c>
      <c r="H1123" s="5" t="s">
        <v>66</v>
      </c>
      <c r="I1123" s="6" t="s">
        <v>17</v>
      </c>
      <c r="J1123" s="7" t="s">
        <v>34</v>
      </c>
      <c r="K1123" s="7"/>
      <c r="L1123" s="8">
        <v>1.771246493294E12</v>
      </c>
      <c r="M1123" s="9"/>
      <c r="N1123" s="10"/>
      <c r="O1123" s="10"/>
      <c r="P1123" s="10"/>
      <c r="Q1123" s="10"/>
      <c r="R1123" s="10"/>
      <c r="S1123" s="10"/>
      <c r="T1123" s="10"/>
      <c r="U1123" s="10"/>
      <c r="V1123" s="10"/>
    </row>
    <row r="1124" ht="22.5" customHeight="1">
      <c r="A1124" s="5">
        <v>2.02912174902E11</v>
      </c>
      <c r="B1124" s="5" t="s">
        <v>1217</v>
      </c>
      <c r="C1124" s="5">
        <v>5591987248427</v>
      </c>
      <c r="D1124" s="5" t="s">
        <v>13</v>
      </c>
      <c r="E1124" s="5">
        <v>7.9360573E7</v>
      </c>
      <c r="F1124" s="5" t="s">
        <v>28</v>
      </c>
      <c r="G1124" s="5" t="s">
        <v>15</v>
      </c>
      <c r="H1124" s="5" t="s">
        <v>16</v>
      </c>
      <c r="I1124" s="6" t="s">
        <v>17</v>
      </c>
      <c r="J1124" s="7" t="s">
        <v>34</v>
      </c>
      <c r="K1124" s="7"/>
      <c r="L1124" s="8">
        <v>1.771246799067E12</v>
      </c>
      <c r="M1124" s="9"/>
      <c r="N1124" s="10"/>
      <c r="O1124" s="10"/>
      <c r="P1124" s="10"/>
      <c r="Q1124" s="10"/>
      <c r="R1124" s="10"/>
      <c r="S1124" s="10"/>
      <c r="T1124" s="10"/>
      <c r="U1124" s="10"/>
      <c r="V1124" s="10"/>
    </row>
    <row r="1125" ht="22.5" customHeight="1">
      <c r="A1125" s="5">
        <v>2.02912137553E11</v>
      </c>
      <c r="B1125" s="5" t="s">
        <v>1218</v>
      </c>
      <c r="C1125" s="5">
        <v>525667739581</v>
      </c>
      <c r="D1125" s="5" t="s">
        <v>13</v>
      </c>
      <c r="E1125" s="5">
        <v>8.0566583E7</v>
      </c>
      <c r="F1125" s="5" t="s">
        <v>259</v>
      </c>
      <c r="G1125" s="5" t="s">
        <v>15</v>
      </c>
      <c r="H1125" s="5" t="s">
        <v>66</v>
      </c>
      <c r="I1125" s="6" t="s">
        <v>17</v>
      </c>
      <c r="J1125" s="7" t="s">
        <v>25</v>
      </c>
      <c r="K1125" s="7" t="s">
        <v>501</v>
      </c>
      <c r="L1125" s="8">
        <v>1.771247908158E12</v>
      </c>
      <c r="M1125" s="9"/>
      <c r="N1125" s="10"/>
      <c r="O1125" s="10"/>
      <c r="P1125" s="10"/>
      <c r="Q1125" s="10"/>
      <c r="R1125" s="10"/>
      <c r="S1125" s="10"/>
      <c r="T1125" s="10"/>
      <c r="U1125" s="10"/>
      <c r="V1125" s="10"/>
    </row>
    <row r="1126" ht="22.5" customHeight="1">
      <c r="A1126" s="5">
        <v>2.02924214305E11</v>
      </c>
      <c r="B1126" s="5" t="s">
        <v>1219</v>
      </c>
      <c r="C1126" s="5">
        <v>51919111614</v>
      </c>
      <c r="D1126" s="5" t="s">
        <v>13</v>
      </c>
      <c r="E1126" s="5">
        <v>8.7547393E7</v>
      </c>
      <c r="F1126" s="5" t="s">
        <v>510</v>
      </c>
      <c r="G1126" s="5" t="s">
        <v>15</v>
      </c>
      <c r="H1126" s="5" t="s">
        <v>16</v>
      </c>
      <c r="I1126" s="6" t="s">
        <v>17</v>
      </c>
      <c r="J1126" s="7" t="s">
        <v>34</v>
      </c>
      <c r="K1126" s="7"/>
      <c r="L1126" s="8">
        <v>1.771248627362E12</v>
      </c>
      <c r="M1126" s="9"/>
      <c r="N1126" s="10"/>
      <c r="O1126" s="10"/>
      <c r="P1126" s="10"/>
      <c r="Q1126" s="10"/>
      <c r="R1126" s="10"/>
      <c r="S1126" s="10"/>
      <c r="T1126" s="10"/>
      <c r="U1126" s="10"/>
      <c r="V1126" s="10"/>
    </row>
    <row r="1127" ht="22.5" customHeight="1">
      <c r="A1127" s="5">
        <v>1.43108077103E11</v>
      </c>
      <c r="B1127" s="5" t="s">
        <v>1220</v>
      </c>
      <c r="C1127" s="5">
        <v>522294128869</v>
      </c>
      <c r="D1127" s="5" t="s">
        <v>13</v>
      </c>
      <c r="E1127" s="5">
        <v>8.7547393E7</v>
      </c>
      <c r="F1127" s="5" t="s">
        <v>510</v>
      </c>
      <c r="G1127" s="5" t="s">
        <v>15</v>
      </c>
      <c r="H1127" s="5" t="s">
        <v>51</v>
      </c>
      <c r="I1127" s="6" t="s">
        <v>17</v>
      </c>
      <c r="J1127" s="7" t="s">
        <v>18</v>
      </c>
      <c r="K1127" s="7" t="s">
        <v>1221</v>
      </c>
      <c r="L1127" s="8">
        <v>1.771248709023E12</v>
      </c>
      <c r="M1127" s="9"/>
      <c r="N1127" s="10"/>
      <c r="O1127" s="10"/>
      <c r="P1127" s="10"/>
      <c r="Q1127" s="10"/>
      <c r="R1127" s="10"/>
      <c r="S1127" s="10"/>
      <c r="T1127" s="10"/>
      <c r="U1127" s="10"/>
      <c r="V1127" s="10"/>
    </row>
    <row r="1128" ht="22.5" customHeight="1">
      <c r="A1128" s="5">
        <v>2.02938588082E11</v>
      </c>
      <c r="B1128" s="5" t="s">
        <v>1222</v>
      </c>
      <c r="C1128" s="5">
        <v>51926713742</v>
      </c>
      <c r="D1128" s="5" t="s">
        <v>13</v>
      </c>
      <c r="E1128" s="5">
        <v>8.0566583E7</v>
      </c>
      <c r="F1128" s="5" t="s">
        <v>39</v>
      </c>
      <c r="G1128" s="5" t="s">
        <v>15</v>
      </c>
      <c r="H1128" s="5" t="s">
        <v>33</v>
      </c>
      <c r="I1128" s="6" t="s">
        <v>63</v>
      </c>
      <c r="J1128" s="7" t="s">
        <v>58</v>
      </c>
      <c r="K1128" s="11" t="s">
        <v>59</v>
      </c>
      <c r="L1128" s="8">
        <v>1.771249883105E12</v>
      </c>
      <c r="M1128" s="9"/>
      <c r="N1128" s="10"/>
      <c r="O1128" s="10"/>
      <c r="P1128" s="10"/>
      <c r="Q1128" s="10"/>
      <c r="R1128" s="10"/>
      <c r="S1128" s="10"/>
      <c r="T1128" s="10"/>
      <c r="U1128" s="10"/>
      <c r="V1128" s="10"/>
    </row>
    <row r="1129" ht="22.5" customHeight="1">
      <c r="A1129" s="5">
        <v>2.02955806299E11</v>
      </c>
      <c r="B1129" s="5" t="s">
        <v>1223</v>
      </c>
      <c r="C1129" s="5">
        <v>51957147227</v>
      </c>
      <c r="D1129" s="5" t="s">
        <v>22</v>
      </c>
      <c r="E1129" s="5">
        <v>8.7547393E7</v>
      </c>
      <c r="F1129" s="5" t="s">
        <v>39</v>
      </c>
      <c r="G1129" s="5">
        <v>50</v>
      </c>
      <c r="H1129" s="5" t="s">
        <v>33</v>
      </c>
      <c r="I1129" s="6" t="s">
        <v>49</v>
      </c>
      <c r="J1129" s="7" t="s">
        <v>34</v>
      </c>
      <c r="K1129" s="7"/>
      <c r="L1129" s="8">
        <v>1.771252629298E12</v>
      </c>
      <c r="M1129" s="9"/>
      <c r="N1129" s="10"/>
      <c r="O1129" s="10"/>
      <c r="P1129" s="10"/>
      <c r="Q1129" s="10"/>
      <c r="R1129" s="10"/>
      <c r="S1129" s="10"/>
      <c r="T1129" s="10"/>
      <c r="U1129" s="10"/>
      <c r="V1129" s="10"/>
    </row>
    <row r="1130" ht="22.5" customHeight="1">
      <c r="A1130" s="5">
        <v>1.64600634535E11</v>
      </c>
      <c r="B1130" s="5" t="s">
        <v>1224</v>
      </c>
      <c r="C1130" s="5">
        <v>51988567003</v>
      </c>
      <c r="D1130" s="5" t="s">
        <v>22</v>
      </c>
      <c r="E1130" s="5">
        <v>8.0566583E7</v>
      </c>
      <c r="F1130" s="5" t="s">
        <v>65</v>
      </c>
      <c r="G1130" s="5" t="s">
        <v>44</v>
      </c>
      <c r="H1130" s="5" t="s">
        <v>188</v>
      </c>
      <c r="I1130" s="6" t="s">
        <v>17</v>
      </c>
      <c r="J1130" s="7" t="s">
        <v>18</v>
      </c>
      <c r="K1130" s="7" t="s">
        <v>116</v>
      </c>
      <c r="L1130" s="8">
        <v>1.771253902065E12</v>
      </c>
      <c r="M1130" s="9"/>
      <c r="N1130" s="10"/>
      <c r="O1130" s="10"/>
      <c r="P1130" s="10"/>
      <c r="Q1130" s="10"/>
      <c r="R1130" s="10"/>
      <c r="S1130" s="10"/>
      <c r="T1130" s="10"/>
      <c r="U1130" s="10"/>
      <c r="V1130" s="10"/>
    </row>
    <row r="1131" ht="22.5" customHeight="1">
      <c r="A1131" s="5">
        <v>2.02950819402E11</v>
      </c>
      <c r="B1131" s="5" t="s">
        <v>1225</v>
      </c>
      <c r="C1131" s="5">
        <v>51908057802</v>
      </c>
      <c r="D1131" s="5" t="s">
        <v>13</v>
      </c>
      <c r="E1131" s="5">
        <v>8.7547393E7</v>
      </c>
      <c r="F1131" s="5"/>
      <c r="G1131" s="5" t="s">
        <v>15</v>
      </c>
      <c r="H1131" s="5" t="s">
        <v>24</v>
      </c>
      <c r="I1131" s="6" t="s">
        <v>36</v>
      </c>
      <c r="J1131" s="7" t="s">
        <v>18</v>
      </c>
      <c r="K1131" s="7" t="s">
        <v>19</v>
      </c>
      <c r="L1131" s="8">
        <v>1.771254390043E12</v>
      </c>
      <c r="M1131" s="9"/>
      <c r="N1131" s="10"/>
      <c r="O1131" s="10"/>
      <c r="P1131" s="10"/>
      <c r="Q1131" s="10"/>
      <c r="R1131" s="10"/>
      <c r="S1131" s="10"/>
      <c r="T1131" s="10"/>
      <c r="U1131" s="10"/>
      <c r="V1131" s="10"/>
    </row>
    <row r="1132" ht="22.5" customHeight="1">
      <c r="A1132" s="5">
        <v>2.02977701909E11</v>
      </c>
      <c r="B1132" s="5" t="s">
        <v>1226</v>
      </c>
      <c r="C1132" s="5">
        <v>51969637094</v>
      </c>
      <c r="D1132" s="5" t="s">
        <v>13</v>
      </c>
      <c r="E1132" s="5">
        <v>8.7547393E7</v>
      </c>
      <c r="F1132" s="5" t="s">
        <v>714</v>
      </c>
      <c r="G1132" s="5" t="s">
        <v>15</v>
      </c>
      <c r="H1132" s="5" t="s">
        <v>16</v>
      </c>
      <c r="I1132" s="6" t="s">
        <v>17</v>
      </c>
      <c r="J1132" s="7" t="s">
        <v>34</v>
      </c>
      <c r="K1132" s="7"/>
      <c r="L1132" s="8">
        <v>1.771254388082E12</v>
      </c>
      <c r="M1132" s="9"/>
      <c r="N1132" s="10"/>
      <c r="O1132" s="10"/>
      <c r="P1132" s="10"/>
      <c r="Q1132" s="10"/>
      <c r="R1132" s="10"/>
      <c r="S1132" s="10"/>
      <c r="T1132" s="10"/>
      <c r="U1132" s="10"/>
      <c r="V1132" s="10"/>
    </row>
    <row r="1133" ht="22.5" customHeight="1">
      <c r="A1133" s="5">
        <v>1.84157567604E11</v>
      </c>
      <c r="B1133" s="5" t="s">
        <v>1227</v>
      </c>
      <c r="C1133" s="5">
        <v>51976751656</v>
      </c>
      <c r="D1133" s="5" t="s">
        <v>13</v>
      </c>
      <c r="E1133" s="5">
        <v>8.0566583E7</v>
      </c>
      <c r="F1133" s="5" t="s">
        <v>259</v>
      </c>
      <c r="G1133" s="5" t="s">
        <v>15</v>
      </c>
      <c r="H1133" s="5" t="s">
        <v>51</v>
      </c>
      <c r="I1133" s="6" t="s">
        <v>17</v>
      </c>
      <c r="J1133" s="7" t="s">
        <v>34</v>
      </c>
      <c r="K1133" s="7"/>
      <c r="L1133" s="8">
        <v>1.771254511334E12</v>
      </c>
      <c r="M1133" s="9"/>
      <c r="N1133" s="10"/>
      <c r="O1133" s="10"/>
      <c r="P1133" s="10"/>
      <c r="Q1133" s="10"/>
      <c r="R1133" s="10"/>
      <c r="S1133" s="10"/>
      <c r="T1133" s="10"/>
      <c r="U1133" s="10"/>
      <c r="V1133" s="10"/>
    </row>
    <row r="1134" ht="22.5" customHeight="1">
      <c r="A1134" s="5">
        <v>2.02976696629E11</v>
      </c>
      <c r="B1134" s="5" t="s">
        <v>1228</v>
      </c>
      <c r="C1134" s="5">
        <v>51970070673</v>
      </c>
      <c r="D1134" s="5" t="s">
        <v>22</v>
      </c>
      <c r="E1134" s="5">
        <v>8.0566583E7</v>
      </c>
      <c r="F1134" s="5" t="s">
        <v>28</v>
      </c>
      <c r="G1134" s="5" t="s">
        <v>44</v>
      </c>
      <c r="H1134" s="5" t="s">
        <v>253</v>
      </c>
      <c r="I1134" s="6" t="s">
        <v>17</v>
      </c>
      <c r="J1134" s="7" t="s">
        <v>25</v>
      </c>
      <c r="K1134" s="7" t="s">
        <v>501</v>
      </c>
      <c r="L1134" s="8">
        <v>1.771255429856E12</v>
      </c>
      <c r="M1134" s="9"/>
      <c r="N1134" s="10"/>
      <c r="O1134" s="10"/>
      <c r="P1134" s="10"/>
      <c r="Q1134" s="10"/>
      <c r="R1134" s="10"/>
      <c r="S1134" s="10"/>
      <c r="T1134" s="10"/>
      <c r="U1134" s="10"/>
      <c r="V1134" s="10"/>
    </row>
    <row r="1135" ht="22.5" customHeight="1">
      <c r="A1135" s="5">
        <v>2.02951637633E11</v>
      </c>
      <c r="B1135" s="5" t="s">
        <v>1229</v>
      </c>
      <c r="C1135" s="5">
        <v>51982488893</v>
      </c>
      <c r="D1135" s="5" t="s">
        <v>13</v>
      </c>
      <c r="E1135" s="5">
        <v>8.7547393E7</v>
      </c>
      <c r="F1135" s="5" t="s">
        <v>28</v>
      </c>
      <c r="G1135" s="5" t="s">
        <v>32</v>
      </c>
      <c r="H1135" s="5" t="s">
        <v>188</v>
      </c>
      <c r="I1135" s="6" t="s">
        <v>49</v>
      </c>
      <c r="J1135" s="7" t="s">
        <v>58</v>
      </c>
      <c r="K1135" s="11" t="s">
        <v>59</v>
      </c>
      <c r="L1135" s="8">
        <v>1.771256245501E12</v>
      </c>
      <c r="M1135" s="9"/>
      <c r="N1135" s="10"/>
      <c r="O1135" s="10"/>
      <c r="P1135" s="10"/>
      <c r="Q1135" s="10"/>
      <c r="R1135" s="10"/>
      <c r="S1135" s="10"/>
      <c r="T1135" s="10"/>
      <c r="U1135" s="10"/>
      <c r="V1135" s="10"/>
    </row>
    <row r="1136" ht="22.5" customHeight="1">
      <c r="A1136" s="5">
        <v>2.0297898253E11</v>
      </c>
      <c r="B1136" s="5" t="s">
        <v>1230</v>
      </c>
      <c r="C1136" s="5">
        <v>51953529838</v>
      </c>
      <c r="D1136" s="5" t="s">
        <v>13</v>
      </c>
      <c r="E1136" s="5">
        <v>8.7547393E7</v>
      </c>
      <c r="F1136" s="5" t="s">
        <v>39</v>
      </c>
      <c r="G1136" s="5" t="s">
        <v>15</v>
      </c>
      <c r="H1136" s="5"/>
      <c r="I1136" s="6" t="s">
        <v>17</v>
      </c>
      <c r="J1136" s="7" t="s">
        <v>18</v>
      </c>
      <c r="K1136" s="7" t="s">
        <v>19</v>
      </c>
      <c r="L1136" s="8">
        <v>1.771256451717E12</v>
      </c>
      <c r="M1136" s="9"/>
      <c r="N1136" s="10"/>
      <c r="O1136" s="10"/>
      <c r="P1136" s="10"/>
      <c r="Q1136" s="10"/>
      <c r="R1136" s="10"/>
      <c r="S1136" s="10"/>
      <c r="T1136" s="10"/>
      <c r="U1136" s="10"/>
      <c r="V1136" s="10"/>
    </row>
    <row r="1137" ht="22.5" customHeight="1">
      <c r="A1137" s="5">
        <v>2.02979124042E11</v>
      </c>
      <c r="B1137" s="5" t="s">
        <v>1231</v>
      </c>
      <c r="C1137" s="5">
        <v>51918709972</v>
      </c>
      <c r="D1137" s="5" t="s">
        <v>13</v>
      </c>
      <c r="E1137" s="5">
        <v>8.0566583E7</v>
      </c>
      <c r="F1137" s="5" t="s">
        <v>65</v>
      </c>
      <c r="G1137" s="5" t="s">
        <v>15</v>
      </c>
      <c r="H1137" s="5" t="s">
        <v>66</v>
      </c>
      <c r="I1137" s="6" t="s">
        <v>17</v>
      </c>
      <c r="J1137" s="7" t="s">
        <v>18</v>
      </c>
      <c r="K1137" s="7" t="s">
        <v>19</v>
      </c>
      <c r="L1137" s="8">
        <v>1.771256490334E12</v>
      </c>
      <c r="M1137" s="9"/>
      <c r="N1137" s="10"/>
      <c r="O1137" s="10"/>
      <c r="P1137" s="10"/>
      <c r="Q1137" s="10"/>
      <c r="R1137" s="10"/>
      <c r="S1137" s="10"/>
      <c r="T1137" s="10"/>
      <c r="U1137" s="10"/>
      <c r="V1137" s="10"/>
    </row>
    <row r="1138" ht="22.5" customHeight="1">
      <c r="A1138" s="5">
        <v>2.02954485845E11</v>
      </c>
      <c r="B1138" s="5" t="s">
        <v>1232</v>
      </c>
      <c r="C1138" s="5">
        <v>51981370881</v>
      </c>
      <c r="D1138" s="5" t="s">
        <v>13</v>
      </c>
      <c r="E1138" s="5">
        <v>8.0566583E7</v>
      </c>
      <c r="F1138" s="5" t="s">
        <v>39</v>
      </c>
      <c r="G1138" s="5" t="s">
        <v>32</v>
      </c>
      <c r="H1138" s="5" t="s">
        <v>66</v>
      </c>
      <c r="I1138" s="6" t="s">
        <v>17</v>
      </c>
      <c r="J1138" s="7" t="s">
        <v>34</v>
      </c>
      <c r="K1138" s="7"/>
      <c r="L1138" s="8">
        <v>1.771257297228E12</v>
      </c>
      <c r="M1138" s="9"/>
      <c r="N1138" s="10"/>
      <c r="O1138" s="10"/>
      <c r="P1138" s="10"/>
      <c r="Q1138" s="10"/>
      <c r="R1138" s="10"/>
      <c r="S1138" s="10"/>
      <c r="T1138" s="10"/>
      <c r="U1138" s="10"/>
      <c r="V1138" s="10"/>
    </row>
    <row r="1139" ht="22.5" customHeight="1">
      <c r="A1139" s="5">
        <v>2.03002304677E11</v>
      </c>
      <c r="B1139" s="5" t="s">
        <v>1233</v>
      </c>
      <c r="C1139" s="5">
        <v>5521969690449</v>
      </c>
      <c r="D1139" s="5" t="s">
        <v>13</v>
      </c>
      <c r="E1139" s="5">
        <v>7.9360573E7</v>
      </c>
      <c r="F1139" s="5" t="s">
        <v>714</v>
      </c>
      <c r="G1139" s="5" t="s">
        <v>15</v>
      </c>
      <c r="H1139" s="5" t="s">
        <v>16</v>
      </c>
      <c r="I1139" s="6" t="s">
        <v>17</v>
      </c>
      <c r="J1139" s="7" t="s">
        <v>34</v>
      </c>
      <c r="K1139" s="7"/>
      <c r="L1139" s="8">
        <v>1.771257973083E12</v>
      </c>
      <c r="M1139" s="9"/>
      <c r="N1139" s="10"/>
      <c r="O1139" s="10"/>
      <c r="P1139" s="10"/>
      <c r="Q1139" s="10"/>
      <c r="R1139" s="10"/>
      <c r="S1139" s="10"/>
      <c r="T1139" s="10"/>
      <c r="U1139" s="10"/>
      <c r="V1139" s="10"/>
    </row>
    <row r="1140" ht="22.5" customHeight="1">
      <c r="A1140" s="5">
        <v>2.03003873696E11</v>
      </c>
      <c r="B1140" s="5" t="s">
        <v>1234</v>
      </c>
      <c r="C1140" s="5">
        <v>51945139174</v>
      </c>
      <c r="D1140" s="5" t="s">
        <v>38</v>
      </c>
      <c r="E1140" s="5">
        <v>8.0566583E7</v>
      </c>
      <c r="F1140" s="5"/>
      <c r="G1140" s="5"/>
      <c r="H1140" s="5"/>
      <c r="I1140" s="6"/>
      <c r="J1140" s="7" t="s">
        <v>18</v>
      </c>
      <c r="K1140" s="7" t="s">
        <v>19</v>
      </c>
      <c r="L1140" s="8">
        <v>1.771258556861E12</v>
      </c>
      <c r="M1140" s="9"/>
      <c r="N1140" s="10"/>
      <c r="O1140" s="10"/>
      <c r="P1140" s="10"/>
      <c r="Q1140" s="10"/>
      <c r="R1140" s="10"/>
      <c r="S1140" s="10"/>
      <c r="T1140" s="10"/>
      <c r="U1140" s="10"/>
      <c r="V1140" s="10"/>
    </row>
    <row r="1141" ht="22.5" customHeight="1">
      <c r="A1141" s="5">
        <v>2.03002279481E11</v>
      </c>
      <c r="B1141" s="5" t="s">
        <v>1235</v>
      </c>
      <c r="C1141" s="5">
        <v>51943519525</v>
      </c>
      <c r="D1141" s="5" t="s">
        <v>22</v>
      </c>
      <c r="E1141" s="5">
        <v>8.0566583E7</v>
      </c>
      <c r="F1141" s="5" t="s">
        <v>65</v>
      </c>
      <c r="G1141" s="5" t="s">
        <v>44</v>
      </c>
      <c r="H1141" s="5" t="s">
        <v>48</v>
      </c>
      <c r="I1141" s="6" t="s">
        <v>148</v>
      </c>
      <c r="J1141" s="7" t="s">
        <v>34</v>
      </c>
      <c r="K1141" s="7"/>
      <c r="L1141" s="8">
        <v>1.771261515602E12</v>
      </c>
      <c r="M1141" s="9"/>
      <c r="N1141" s="10"/>
      <c r="O1141" s="10"/>
      <c r="P1141" s="10"/>
      <c r="Q1141" s="10"/>
      <c r="R1141" s="10"/>
      <c r="S1141" s="10"/>
      <c r="T1141" s="10"/>
      <c r="U1141" s="10"/>
      <c r="V1141" s="10"/>
    </row>
    <row r="1142" ht="22.5" customHeight="1">
      <c r="A1142" s="5">
        <v>2.03006709307E11</v>
      </c>
      <c r="B1142" s="5" t="s">
        <v>1236</v>
      </c>
      <c r="C1142" s="5">
        <v>51927616593</v>
      </c>
      <c r="D1142" s="5" t="s">
        <v>13</v>
      </c>
      <c r="E1142" s="5">
        <v>8.0566583E7</v>
      </c>
      <c r="F1142" s="5" t="s">
        <v>39</v>
      </c>
      <c r="G1142" s="5" t="s">
        <v>15</v>
      </c>
      <c r="H1142" s="5" t="s">
        <v>66</v>
      </c>
      <c r="I1142" s="6" t="s">
        <v>17</v>
      </c>
      <c r="J1142" s="7" t="s">
        <v>18</v>
      </c>
      <c r="K1142" s="7" t="s">
        <v>19</v>
      </c>
      <c r="L1142" s="8">
        <v>1.771261741005E12</v>
      </c>
      <c r="M1142" s="9"/>
      <c r="N1142" s="10"/>
      <c r="O1142" s="10"/>
      <c r="P1142" s="10"/>
      <c r="Q1142" s="10"/>
      <c r="R1142" s="10"/>
      <c r="S1142" s="10"/>
      <c r="T1142" s="10"/>
      <c r="U1142" s="10"/>
      <c r="V1142" s="10"/>
    </row>
    <row r="1143" ht="22.5" customHeight="1">
      <c r="A1143" s="5">
        <v>2.0300751391E11</v>
      </c>
      <c r="B1143" s="5" t="s">
        <v>1237</v>
      </c>
      <c r="C1143" s="5">
        <v>51968629558</v>
      </c>
      <c r="D1143" s="5" t="s">
        <v>38</v>
      </c>
      <c r="E1143" s="5">
        <v>8.7547393E7</v>
      </c>
      <c r="F1143" s="5" t="s">
        <v>259</v>
      </c>
      <c r="G1143" s="5" t="s">
        <v>15</v>
      </c>
      <c r="H1143" s="5" t="s">
        <v>16</v>
      </c>
      <c r="I1143" s="6" t="s">
        <v>17</v>
      </c>
      <c r="J1143" s="7" t="s">
        <v>18</v>
      </c>
      <c r="K1143" s="7" t="s">
        <v>19</v>
      </c>
      <c r="L1143" s="8">
        <v>1.771262370724E12</v>
      </c>
      <c r="M1143" s="9"/>
      <c r="N1143" s="10"/>
      <c r="O1143" s="10"/>
      <c r="P1143" s="10"/>
      <c r="Q1143" s="10"/>
      <c r="R1143" s="10"/>
      <c r="S1143" s="10"/>
      <c r="T1143" s="10"/>
      <c r="U1143" s="10"/>
      <c r="V1143" s="10"/>
    </row>
    <row r="1144" ht="22.5" customHeight="1">
      <c r="A1144" s="5">
        <v>1.72366420842E11</v>
      </c>
      <c r="B1144" s="5" t="s">
        <v>1238</v>
      </c>
      <c r="C1144" s="5">
        <v>51902237040</v>
      </c>
      <c r="D1144" s="5" t="s">
        <v>22</v>
      </c>
      <c r="E1144" s="5">
        <v>8.0566583E7</v>
      </c>
      <c r="F1144" s="5" t="s">
        <v>14</v>
      </c>
      <c r="G1144" s="5" t="s">
        <v>79</v>
      </c>
      <c r="H1144" s="5" t="s">
        <v>55</v>
      </c>
      <c r="I1144" s="6"/>
      <c r="J1144" s="7" t="s">
        <v>34</v>
      </c>
      <c r="K1144" s="7"/>
      <c r="L1144" s="8">
        <v>1.771263140577E12</v>
      </c>
      <c r="M1144" s="9"/>
      <c r="N1144" s="10"/>
      <c r="O1144" s="10"/>
      <c r="P1144" s="10"/>
      <c r="Q1144" s="10"/>
      <c r="R1144" s="10"/>
      <c r="S1144" s="10"/>
      <c r="T1144" s="10"/>
      <c r="U1144" s="10"/>
      <c r="V1144" s="10"/>
    </row>
    <row r="1145" ht="22.5" customHeight="1">
      <c r="A1145" s="5">
        <v>1.80299100228E11</v>
      </c>
      <c r="B1145" s="5" t="s">
        <v>1239</v>
      </c>
      <c r="C1145" s="5">
        <v>51975454646</v>
      </c>
      <c r="D1145" s="5" t="s">
        <v>13</v>
      </c>
      <c r="E1145" s="5">
        <v>8.0566583E7</v>
      </c>
      <c r="F1145" s="5" t="s">
        <v>28</v>
      </c>
      <c r="G1145" s="5" t="s">
        <v>32</v>
      </c>
      <c r="H1145" s="5" t="s">
        <v>16</v>
      </c>
      <c r="I1145" s="6" t="s">
        <v>17</v>
      </c>
      <c r="J1145" s="7" t="s">
        <v>34</v>
      </c>
      <c r="K1145" s="7"/>
      <c r="L1145" s="8">
        <v>1.771263436385E12</v>
      </c>
      <c r="M1145" s="9"/>
      <c r="N1145" s="10"/>
      <c r="O1145" s="10"/>
      <c r="P1145" s="10"/>
      <c r="Q1145" s="10"/>
      <c r="R1145" s="10"/>
      <c r="S1145" s="10"/>
      <c r="T1145" s="10"/>
      <c r="U1145" s="10"/>
      <c r="V1145" s="10"/>
    </row>
    <row r="1146" ht="22.5" customHeight="1">
      <c r="A1146" s="5">
        <v>2.02990646191E11</v>
      </c>
      <c r="B1146" s="5" t="s">
        <v>1240</v>
      </c>
      <c r="C1146" s="5">
        <v>51989018491</v>
      </c>
      <c r="D1146" s="5" t="s">
        <v>13</v>
      </c>
      <c r="E1146" s="5">
        <v>8.0566583E7</v>
      </c>
      <c r="F1146" s="5" t="s">
        <v>42</v>
      </c>
      <c r="G1146" s="5" t="s">
        <v>15</v>
      </c>
      <c r="H1146" s="5" t="s">
        <v>66</v>
      </c>
      <c r="I1146" s="6" t="s">
        <v>36</v>
      </c>
      <c r="J1146" s="7" t="s">
        <v>34</v>
      </c>
      <c r="K1146" s="7"/>
      <c r="L1146" s="8">
        <v>1.771264204676E12</v>
      </c>
      <c r="M1146" s="9"/>
      <c r="N1146" s="10"/>
      <c r="O1146" s="10"/>
      <c r="P1146" s="10"/>
      <c r="Q1146" s="10"/>
      <c r="R1146" s="10"/>
      <c r="S1146" s="10"/>
      <c r="T1146" s="10"/>
      <c r="U1146" s="10"/>
      <c r="V1146" s="10"/>
    </row>
    <row r="1147" ht="22.5" customHeight="1">
      <c r="A1147" s="5">
        <v>2.03006818701E11</v>
      </c>
      <c r="B1147" s="5" t="s">
        <v>1241</v>
      </c>
      <c r="C1147" s="5">
        <v>51934920188</v>
      </c>
      <c r="D1147" s="5" t="s">
        <v>13</v>
      </c>
      <c r="E1147" s="5">
        <v>8.0566583E7</v>
      </c>
      <c r="F1147" s="5" t="s">
        <v>65</v>
      </c>
      <c r="G1147" s="5" t="s">
        <v>15</v>
      </c>
      <c r="H1147" s="5" t="s">
        <v>80</v>
      </c>
      <c r="I1147" s="6" t="s">
        <v>17</v>
      </c>
      <c r="J1147" s="7" t="s">
        <v>34</v>
      </c>
      <c r="K1147" s="7"/>
      <c r="L1147" s="8">
        <v>1.771265332828E12</v>
      </c>
      <c r="M1147" s="9"/>
      <c r="N1147" s="10"/>
      <c r="O1147" s="10"/>
      <c r="P1147" s="10"/>
      <c r="Q1147" s="10"/>
      <c r="R1147" s="10"/>
      <c r="S1147" s="10"/>
      <c r="T1147" s="10"/>
      <c r="U1147" s="10"/>
      <c r="V1147" s="10"/>
    </row>
    <row r="1148" ht="22.5" customHeight="1">
      <c r="A1148" s="5">
        <v>2.03010196291E11</v>
      </c>
      <c r="B1148" s="5" t="s">
        <v>1242</v>
      </c>
      <c r="C1148" s="5">
        <v>5562996595671</v>
      </c>
      <c r="D1148" s="5" t="s">
        <v>13</v>
      </c>
      <c r="E1148" s="5">
        <v>7.9360573E7</v>
      </c>
      <c r="F1148" s="5"/>
      <c r="G1148" s="5"/>
      <c r="H1148" s="5" t="s">
        <v>24</v>
      </c>
      <c r="I1148" s="6" t="s">
        <v>17</v>
      </c>
      <c r="J1148" s="7" t="s">
        <v>34</v>
      </c>
      <c r="K1148" s="7"/>
      <c r="L1148" s="8">
        <v>1.771265773889E12</v>
      </c>
      <c r="M1148" s="9"/>
      <c r="N1148" s="10"/>
      <c r="O1148" s="10"/>
      <c r="P1148" s="10"/>
      <c r="Q1148" s="10"/>
      <c r="R1148" s="10"/>
      <c r="S1148" s="10"/>
      <c r="T1148" s="10"/>
      <c r="U1148" s="10"/>
      <c r="V1148" s="10"/>
    </row>
    <row r="1149" ht="22.5" customHeight="1">
      <c r="A1149" s="5">
        <v>2.03015930007E11</v>
      </c>
      <c r="B1149" s="5" t="s">
        <v>1243</v>
      </c>
      <c r="C1149" s="5">
        <v>5547999889730</v>
      </c>
      <c r="D1149" s="5" t="s">
        <v>13</v>
      </c>
      <c r="E1149" s="5">
        <v>7.9360573E7</v>
      </c>
      <c r="F1149" s="5" t="s">
        <v>259</v>
      </c>
      <c r="G1149" s="5" t="s">
        <v>15</v>
      </c>
      <c r="H1149" s="5" t="s">
        <v>24</v>
      </c>
      <c r="I1149" s="6" t="s">
        <v>17</v>
      </c>
      <c r="J1149" s="7" t="s">
        <v>34</v>
      </c>
      <c r="K1149" s="7"/>
      <c r="L1149" s="8">
        <v>1.771266487802E12</v>
      </c>
      <c r="M1149" s="9"/>
      <c r="N1149" s="10"/>
      <c r="O1149" s="10"/>
      <c r="P1149" s="10"/>
      <c r="Q1149" s="10"/>
      <c r="R1149" s="10"/>
      <c r="S1149" s="10"/>
      <c r="T1149" s="10"/>
      <c r="U1149" s="10"/>
      <c r="V1149" s="10"/>
    </row>
    <row r="1150" ht="22.5" customHeight="1">
      <c r="A1150" s="5">
        <v>1.63610263315E11</v>
      </c>
      <c r="B1150" s="5" t="s">
        <v>1244</v>
      </c>
      <c r="C1150" s="5">
        <v>527225066781</v>
      </c>
      <c r="D1150" s="5" t="s">
        <v>38</v>
      </c>
      <c r="E1150" s="5">
        <v>8.0566583E7</v>
      </c>
      <c r="F1150" s="5"/>
      <c r="G1150" s="5"/>
      <c r="H1150" s="5"/>
      <c r="I1150" s="6"/>
      <c r="J1150" s="7" t="s">
        <v>34</v>
      </c>
      <c r="K1150" s="7"/>
      <c r="L1150" s="8">
        <v>1.771267248733E12</v>
      </c>
      <c r="M1150" s="9"/>
      <c r="N1150" s="10"/>
      <c r="O1150" s="10"/>
      <c r="P1150" s="10"/>
      <c r="Q1150" s="10"/>
      <c r="R1150" s="10"/>
      <c r="S1150" s="10"/>
      <c r="T1150" s="10"/>
      <c r="U1150" s="10"/>
      <c r="V1150" s="10"/>
    </row>
    <row r="1151" ht="22.5" customHeight="1">
      <c r="A1151" s="5">
        <v>1.4359235518E11</v>
      </c>
      <c r="B1151" s="5" t="s">
        <v>1113</v>
      </c>
      <c r="C1151" s="5">
        <v>51941840823</v>
      </c>
      <c r="D1151" s="5" t="s">
        <v>13</v>
      </c>
      <c r="E1151" s="5">
        <v>8.7547393E7</v>
      </c>
      <c r="F1151" s="5" t="s">
        <v>28</v>
      </c>
      <c r="G1151" s="5" t="s">
        <v>32</v>
      </c>
      <c r="H1151" s="5" t="s">
        <v>16</v>
      </c>
      <c r="I1151" s="6" t="s">
        <v>17</v>
      </c>
      <c r="J1151" s="7" t="s">
        <v>34</v>
      </c>
      <c r="K1151" s="7"/>
      <c r="L1151" s="8">
        <v>1.771268657388E12</v>
      </c>
      <c r="M1151" s="9"/>
      <c r="N1151" s="10"/>
      <c r="O1151" s="10"/>
      <c r="P1151" s="10"/>
      <c r="Q1151" s="10"/>
      <c r="R1151" s="10"/>
      <c r="S1151" s="10"/>
      <c r="T1151" s="10"/>
      <c r="U1151" s="10"/>
      <c r="V1151" s="10"/>
    </row>
    <row r="1152" ht="22.5" customHeight="1">
      <c r="A1152" s="5">
        <v>2.03037040178E11</v>
      </c>
      <c r="B1152" s="5" t="s">
        <v>1245</v>
      </c>
      <c r="C1152" s="5">
        <v>51916284222</v>
      </c>
      <c r="D1152" s="5" t="s">
        <v>13</v>
      </c>
      <c r="E1152" s="5">
        <v>8.7547393E7</v>
      </c>
      <c r="F1152" s="5" t="s">
        <v>14</v>
      </c>
      <c r="G1152" s="5" t="s">
        <v>15</v>
      </c>
      <c r="H1152" s="5" t="s">
        <v>16</v>
      </c>
      <c r="I1152" s="6" t="s">
        <v>17</v>
      </c>
      <c r="J1152" s="7" t="s">
        <v>34</v>
      </c>
      <c r="K1152" s="7"/>
      <c r="L1152" s="8">
        <v>1.77127237528E12</v>
      </c>
      <c r="M1152" s="9"/>
      <c r="N1152" s="10"/>
      <c r="O1152" s="10"/>
      <c r="P1152" s="10"/>
      <c r="Q1152" s="10"/>
      <c r="R1152" s="10"/>
      <c r="S1152" s="10"/>
      <c r="T1152" s="10"/>
      <c r="U1152" s="10"/>
      <c r="V1152" s="10"/>
    </row>
    <row r="1153" ht="22.5" customHeight="1">
      <c r="A1153" s="5">
        <v>2.03030328736E11</v>
      </c>
      <c r="B1153" s="5" t="s">
        <v>1246</v>
      </c>
      <c r="C1153" s="5">
        <v>526601340304</v>
      </c>
      <c r="D1153" s="5" t="s">
        <v>38</v>
      </c>
      <c r="E1153" s="5">
        <v>8.7547393E7</v>
      </c>
      <c r="F1153" s="5" t="s">
        <v>28</v>
      </c>
      <c r="G1153" s="5" t="s">
        <v>32</v>
      </c>
      <c r="H1153" s="5" t="s">
        <v>16</v>
      </c>
      <c r="I1153" s="6" t="s">
        <v>17</v>
      </c>
      <c r="J1153" s="7" t="s">
        <v>34</v>
      </c>
      <c r="K1153" s="7"/>
      <c r="L1153" s="8">
        <v>1.771275392517E12</v>
      </c>
      <c r="M1153" s="9"/>
      <c r="N1153" s="10"/>
      <c r="O1153" s="10"/>
      <c r="P1153" s="10"/>
      <c r="Q1153" s="10"/>
      <c r="R1153" s="10"/>
      <c r="S1153" s="10"/>
      <c r="T1153" s="10"/>
      <c r="U1153" s="10"/>
      <c r="V1153" s="10"/>
    </row>
    <row r="1154" ht="22.5" customHeight="1">
      <c r="A1154" s="5">
        <v>2.03030561806E11</v>
      </c>
      <c r="B1154" s="5" t="s">
        <v>1247</v>
      </c>
      <c r="C1154" s="5">
        <v>51964473627</v>
      </c>
      <c r="D1154" s="5" t="s">
        <v>38</v>
      </c>
      <c r="E1154" s="5">
        <v>8.7547393E7</v>
      </c>
      <c r="F1154" s="5"/>
      <c r="G1154" s="5"/>
      <c r="H1154" s="5"/>
      <c r="I1154" s="6"/>
      <c r="J1154" s="7" t="s">
        <v>18</v>
      </c>
      <c r="K1154" s="7" t="s">
        <v>116</v>
      </c>
      <c r="L1154" s="8">
        <v>1.771275556173E12</v>
      </c>
      <c r="M1154" s="9"/>
      <c r="N1154" s="10"/>
      <c r="O1154" s="10"/>
      <c r="P1154" s="10"/>
      <c r="Q1154" s="10"/>
      <c r="R1154" s="10"/>
      <c r="S1154" s="10"/>
      <c r="T1154" s="10"/>
      <c r="U1154" s="10"/>
      <c r="V1154" s="10"/>
    </row>
    <row r="1155" ht="22.5" customHeight="1">
      <c r="A1155" s="5">
        <v>2.03091987849E11</v>
      </c>
      <c r="B1155" s="5" t="s">
        <v>1248</v>
      </c>
      <c r="C1155" s="5">
        <v>51940141235</v>
      </c>
      <c r="D1155" s="5" t="s">
        <v>13</v>
      </c>
      <c r="E1155" s="5">
        <v>8.0566583E7</v>
      </c>
      <c r="F1155" s="5" t="s">
        <v>14</v>
      </c>
      <c r="G1155" s="5" t="s">
        <v>15</v>
      </c>
      <c r="H1155" s="5" t="s">
        <v>53</v>
      </c>
      <c r="I1155" s="6" t="s">
        <v>17</v>
      </c>
      <c r="J1155" s="7" t="s">
        <v>34</v>
      </c>
      <c r="K1155" s="7"/>
      <c r="L1155" s="8">
        <v>1.771277555866E12</v>
      </c>
      <c r="M1155" s="9"/>
      <c r="N1155" s="10"/>
      <c r="O1155" s="10"/>
      <c r="P1155" s="10"/>
      <c r="Q1155" s="10"/>
      <c r="R1155" s="10"/>
      <c r="S1155" s="10"/>
      <c r="T1155" s="10"/>
      <c r="U1155" s="10"/>
      <c r="V1155" s="10"/>
    </row>
    <row r="1156" ht="22.5" customHeight="1">
      <c r="A1156" s="5">
        <v>1.73695639587E11</v>
      </c>
      <c r="B1156" s="5" t="s">
        <v>1249</v>
      </c>
      <c r="C1156" s="5">
        <v>51969221840</v>
      </c>
      <c r="D1156" s="5" t="s">
        <v>13</v>
      </c>
      <c r="E1156" s="5">
        <v>8.7547393E7</v>
      </c>
      <c r="F1156" s="5" t="s">
        <v>39</v>
      </c>
      <c r="G1156" s="5" t="s">
        <v>15</v>
      </c>
      <c r="H1156" s="5" t="s">
        <v>51</v>
      </c>
      <c r="I1156" s="6" t="s">
        <v>36</v>
      </c>
      <c r="J1156" s="7" t="s">
        <v>18</v>
      </c>
      <c r="K1156" s="7" t="s">
        <v>116</v>
      </c>
      <c r="L1156" s="8">
        <v>1.771278581271E12</v>
      </c>
      <c r="M1156" s="9"/>
      <c r="N1156" s="10"/>
      <c r="O1156" s="10"/>
      <c r="P1156" s="10"/>
      <c r="Q1156" s="10"/>
      <c r="R1156" s="10"/>
      <c r="S1156" s="10"/>
      <c r="T1156" s="10"/>
      <c r="U1156" s="10"/>
      <c r="V1156" s="10"/>
    </row>
    <row r="1157" ht="22.5" customHeight="1">
      <c r="A1157" s="5">
        <v>1.88940037487E11</v>
      </c>
      <c r="B1157" s="5" t="s">
        <v>1250</v>
      </c>
      <c r="C1157" s="5">
        <v>5581992313074</v>
      </c>
      <c r="D1157" s="5" t="s">
        <v>13</v>
      </c>
      <c r="E1157" s="5">
        <v>7.9360573E7</v>
      </c>
      <c r="F1157" s="5" t="s">
        <v>510</v>
      </c>
      <c r="G1157" s="5" t="s">
        <v>44</v>
      </c>
      <c r="H1157" s="5" t="s">
        <v>16</v>
      </c>
      <c r="I1157" s="6" t="s">
        <v>17</v>
      </c>
      <c r="J1157" s="7" t="s">
        <v>34</v>
      </c>
      <c r="K1157" s="7"/>
      <c r="L1157" s="8">
        <v>1.771280187903E12</v>
      </c>
      <c r="M1157" s="9"/>
      <c r="N1157" s="10"/>
      <c r="O1157" s="10"/>
      <c r="P1157" s="10"/>
      <c r="Q1157" s="10"/>
      <c r="R1157" s="10"/>
      <c r="S1157" s="10"/>
      <c r="T1157" s="10"/>
      <c r="U1157" s="10"/>
      <c r="V1157" s="10"/>
    </row>
    <row r="1158" ht="22.5" customHeight="1">
      <c r="A1158" s="5">
        <v>2.03097029256E11</v>
      </c>
      <c r="B1158" s="5" t="s">
        <v>1251</v>
      </c>
      <c r="C1158" s="5">
        <v>525533742123</v>
      </c>
      <c r="D1158" s="5" t="s">
        <v>38</v>
      </c>
      <c r="E1158" s="5">
        <v>8.7547393E7</v>
      </c>
      <c r="F1158" s="5"/>
      <c r="G1158" s="5"/>
      <c r="H1158" s="5"/>
      <c r="I1158" s="6"/>
      <c r="J1158" s="7" t="s">
        <v>124</v>
      </c>
      <c r="K1158" s="7" t="s">
        <v>125</v>
      </c>
      <c r="L1158" s="8">
        <v>1.771280960055E12</v>
      </c>
      <c r="M1158" s="9"/>
      <c r="N1158" s="10"/>
      <c r="O1158" s="10"/>
      <c r="P1158" s="10"/>
      <c r="Q1158" s="10"/>
      <c r="R1158" s="10"/>
      <c r="S1158" s="10"/>
      <c r="T1158" s="10"/>
      <c r="U1158" s="10"/>
      <c r="V1158" s="10"/>
    </row>
    <row r="1159" ht="22.5" customHeight="1">
      <c r="A1159" s="5">
        <v>2.03136678814E11</v>
      </c>
      <c r="B1159" s="5" t="s">
        <v>1252</v>
      </c>
      <c r="C1159" s="5">
        <v>528711557919</v>
      </c>
      <c r="D1159" s="5" t="s">
        <v>13</v>
      </c>
      <c r="E1159" s="5">
        <v>8.0566583E7</v>
      </c>
      <c r="F1159" s="5" t="s">
        <v>93</v>
      </c>
      <c r="G1159" s="5" t="s">
        <v>15</v>
      </c>
      <c r="H1159" s="5" t="s">
        <v>29</v>
      </c>
      <c r="I1159" s="6" t="s">
        <v>17</v>
      </c>
      <c r="J1159" s="7" t="s">
        <v>25</v>
      </c>
      <c r="K1159" s="7" t="s">
        <v>26</v>
      </c>
      <c r="L1159" s="8">
        <v>1.771282017205E12</v>
      </c>
      <c r="M1159" s="9"/>
      <c r="N1159" s="10"/>
      <c r="O1159" s="10"/>
      <c r="P1159" s="10"/>
      <c r="Q1159" s="10"/>
      <c r="R1159" s="10"/>
      <c r="S1159" s="10"/>
      <c r="T1159" s="10"/>
      <c r="U1159" s="10"/>
      <c r="V1159" s="10"/>
    </row>
    <row r="1160" ht="22.5" customHeight="1">
      <c r="A1160" s="5">
        <v>2.03095788321E11</v>
      </c>
      <c r="B1160" s="5" t="s">
        <v>1253</v>
      </c>
      <c r="C1160" s="5">
        <v>5564993197519</v>
      </c>
      <c r="D1160" s="5" t="s">
        <v>13</v>
      </c>
      <c r="E1160" s="5">
        <v>7.9360573E7</v>
      </c>
      <c r="F1160" s="5" t="s">
        <v>28</v>
      </c>
      <c r="G1160" s="5" t="s">
        <v>79</v>
      </c>
      <c r="H1160" s="5" t="s">
        <v>24</v>
      </c>
      <c r="I1160" s="6" t="s">
        <v>17</v>
      </c>
      <c r="J1160" s="7" t="s">
        <v>18</v>
      </c>
      <c r="K1160" s="7" t="s">
        <v>45</v>
      </c>
      <c r="L1160" s="8">
        <v>1.771282030292E12</v>
      </c>
      <c r="M1160" s="9"/>
      <c r="N1160" s="10"/>
      <c r="O1160" s="10"/>
      <c r="P1160" s="10"/>
      <c r="Q1160" s="10"/>
      <c r="R1160" s="10"/>
      <c r="S1160" s="10"/>
      <c r="T1160" s="10"/>
      <c r="U1160" s="10"/>
      <c r="V1160" s="10"/>
    </row>
    <row r="1161" ht="22.5" customHeight="1">
      <c r="A1161" s="5">
        <v>2.03105555607E11</v>
      </c>
      <c r="B1161" s="5" t="s">
        <v>1254</v>
      </c>
      <c r="C1161" s="5">
        <v>51951280970</v>
      </c>
      <c r="D1161" s="5" t="s">
        <v>38</v>
      </c>
      <c r="E1161" s="5">
        <v>8.7547393E7</v>
      </c>
      <c r="F1161" s="5"/>
      <c r="G1161" s="5"/>
      <c r="H1161" s="5"/>
      <c r="I1161" s="6"/>
      <c r="J1161" s="7" t="s">
        <v>18</v>
      </c>
      <c r="K1161" s="7" t="s">
        <v>19</v>
      </c>
      <c r="L1161" s="8">
        <v>1.771282281747E12</v>
      </c>
      <c r="M1161" s="9"/>
      <c r="N1161" s="10"/>
      <c r="O1161" s="10"/>
      <c r="P1161" s="10"/>
      <c r="Q1161" s="10"/>
      <c r="R1161" s="10"/>
      <c r="S1161" s="10"/>
      <c r="T1161" s="10"/>
      <c r="U1161" s="10"/>
      <c r="V1161" s="10"/>
    </row>
    <row r="1162" ht="22.5" customHeight="1">
      <c r="A1162" s="5">
        <v>2.03170677858E11</v>
      </c>
      <c r="B1162" s="5" t="s">
        <v>1255</v>
      </c>
      <c r="C1162" s="5">
        <v>5573982291680</v>
      </c>
      <c r="D1162" s="5" t="s">
        <v>13</v>
      </c>
      <c r="E1162" s="5">
        <v>7.9360573E7</v>
      </c>
      <c r="F1162" s="5" t="s">
        <v>65</v>
      </c>
      <c r="G1162" s="5"/>
      <c r="H1162" s="5" t="s">
        <v>33</v>
      </c>
      <c r="I1162" s="6"/>
      <c r="J1162" s="7" t="s">
        <v>124</v>
      </c>
      <c r="K1162" s="7" t="s">
        <v>1256</v>
      </c>
      <c r="L1162" s="8">
        <v>1.771285994783E12</v>
      </c>
      <c r="M1162" s="9"/>
      <c r="N1162" s="10"/>
      <c r="O1162" s="10"/>
      <c r="P1162" s="10"/>
      <c r="Q1162" s="10"/>
      <c r="R1162" s="10"/>
      <c r="S1162" s="10"/>
      <c r="T1162" s="10"/>
      <c r="U1162" s="10"/>
      <c r="V1162" s="10"/>
    </row>
    <row r="1163" ht="22.5" customHeight="1">
      <c r="A1163" s="5">
        <v>2.03172409893E11</v>
      </c>
      <c r="B1163" s="5" t="s">
        <v>1257</v>
      </c>
      <c r="C1163" s="5">
        <v>524742075250</v>
      </c>
      <c r="D1163" s="5" t="s">
        <v>13</v>
      </c>
      <c r="E1163" s="5">
        <v>8.7547393E7</v>
      </c>
      <c r="F1163" s="5" t="s">
        <v>42</v>
      </c>
      <c r="G1163" s="5" t="s">
        <v>15</v>
      </c>
      <c r="H1163" s="5" t="s">
        <v>51</v>
      </c>
      <c r="I1163" s="6" t="s">
        <v>36</v>
      </c>
      <c r="J1163" s="7" t="s">
        <v>34</v>
      </c>
      <c r="K1163" s="7"/>
      <c r="L1163" s="8">
        <v>1.771286586489E12</v>
      </c>
      <c r="M1163" s="9"/>
      <c r="N1163" s="10"/>
      <c r="O1163" s="10"/>
      <c r="P1163" s="10"/>
      <c r="Q1163" s="10"/>
      <c r="R1163" s="10"/>
      <c r="S1163" s="10"/>
      <c r="T1163" s="10"/>
      <c r="U1163" s="10"/>
      <c r="V1163" s="10"/>
    </row>
    <row r="1164" ht="22.5" customHeight="1">
      <c r="A1164" s="5">
        <v>2.03104404305E11</v>
      </c>
      <c r="B1164" s="5" t="s">
        <v>1258</v>
      </c>
      <c r="C1164" s="5">
        <v>51950220832</v>
      </c>
      <c r="D1164" s="5" t="s">
        <v>103</v>
      </c>
      <c r="E1164" s="5">
        <v>8.0566583E7</v>
      </c>
      <c r="F1164" s="5" t="s">
        <v>259</v>
      </c>
      <c r="G1164" s="5" t="s">
        <v>79</v>
      </c>
      <c r="H1164" s="5" t="s">
        <v>55</v>
      </c>
      <c r="I1164" s="6" t="s">
        <v>17</v>
      </c>
      <c r="J1164" s="7" t="s">
        <v>124</v>
      </c>
      <c r="K1164" s="7" t="s">
        <v>284</v>
      </c>
      <c r="L1164" s="8">
        <v>1.771287042258E12</v>
      </c>
      <c r="M1164" s="9"/>
      <c r="N1164" s="10"/>
      <c r="O1164" s="10"/>
      <c r="P1164" s="10"/>
      <c r="Q1164" s="10"/>
      <c r="R1164" s="10"/>
      <c r="S1164" s="10"/>
      <c r="T1164" s="10"/>
      <c r="U1164" s="10"/>
      <c r="V1164" s="10"/>
    </row>
    <row r="1165" ht="22.5" customHeight="1">
      <c r="A1165" s="5">
        <v>1.86094766243E11</v>
      </c>
      <c r="B1165" s="5" t="s">
        <v>1259</v>
      </c>
      <c r="C1165" s="5">
        <v>5563984442764</v>
      </c>
      <c r="D1165" s="5" t="s">
        <v>13</v>
      </c>
      <c r="E1165" s="5">
        <v>7.9360573E7</v>
      </c>
      <c r="F1165" s="5" t="s">
        <v>28</v>
      </c>
      <c r="G1165" s="5" t="s">
        <v>32</v>
      </c>
      <c r="H1165" s="5" t="s">
        <v>24</v>
      </c>
      <c r="I1165" s="6" t="s">
        <v>17</v>
      </c>
      <c r="J1165" s="7" t="s">
        <v>34</v>
      </c>
      <c r="K1165" s="7"/>
      <c r="L1165" s="8">
        <v>1.771287540524E12</v>
      </c>
      <c r="M1165" s="9"/>
      <c r="N1165" s="10"/>
      <c r="O1165" s="10"/>
      <c r="P1165" s="10"/>
      <c r="Q1165" s="10"/>
      <c r="R1165" s="10"/>
      <c r="S1165" s="10"/>
      <c r="T1165" s="10"/>
      <c r="U1165" s="10"/>
      <c r="V1165" s="10"/>
    </row>
    <row r="1166" ht="22.5" customHeight="1">
      <c r="A1166" s="5">
        <v>1.86094766243E11</v>
      </c>
      <c r="B1166" s="5" t="s">
        <v>1259</v>
      </c>
      <c r="C1166" s="5">
        <v>5563984442764</v>
      </c>
      <c r="D1166" s="5" t="s">
        <v>13</v>
      </c>
      <c r="E1166" s="5">
        <v>7.9360573E7</v>
      </c>
      <c r="F1166" s="5" t="s">
        <v>28</v>
      </c>
      <c r="G1166" s="5" t="s">
        <v>32</v>
      </c>
      <c r="H1166" s="5" t="s">
        <v>24</v>
      </c>
      <c r="I1166" s="6" t="s">
        <v>17</v>
      </c>
      <c r="J1166" s="7" t="s">
        <v>34</v>
      </c>
      <c r="K1166" s="7"/>
      <c r="L1166" s="8">
        <v>1.771287559784E12</v>
      </c>
      <c r="M1166" s="9"/>
      <c r="N1166" s="10"/>
      <c r="O1166" s="10"/>
      <c r="P1166" s="10"/>
      <c r="Q1166" s="10"/>
      <c r="R1166" s="10"/>
      <c r="S1166" s="10"/>
      <c r="T1166" s="10"/>
      <c r="U1166" s="10"/>
      <c r="V1166" s="10"/>
    </row>
    <row r="1167" ht="22.5" customHeight="1">
      <c r="A1167" s="5">
        <v>2.03184577681E11</v>
      </c>
      <c r="B1167" s="5" t="s">
        <v>1260</v>
      </c>
      <c r="C1167" s="5">
        <v>525619708151</v>
      </c>
      <c r="D1167" s="5" t="s">
        <v>38</v>
      </c>
      <c r="E1167" s="5">
        <v>8.0566583E7</v>
      </c>
      <c r="F1167" s="5" t="s">
        <v>28</v>
      </c>
      <c r="G1167" s="5" t="s">
        <v>15</v>
      </c>
      <c r="H1167" s="5" t="s">
        <v>51</v>
      </c>
      <c r="I1167" s="6" t="s">
        <v>17</v>
      </c>
      <c r="J1167" s="7" t="s">
        <v>34</v>
      </c>
      <c r="K1167" s="7"/>
      <c r="L1167" s="8">
        <v>1.771287810627E12</v>
      </c>
      <c r="M1167" s="9"/>
      <c r="N1167" s="10"/>
      <c r="O1167" s="10"/>
      <c r="P1167" s="10"/>
      <c r="Q1167" s="10"/>
      <c r="R1167" s="10"/>
      <c r="S1167" s="10"/>
      <c r="T1167" s="10"/>
      <c r="U1167" s="10"/>
      <c r="V1167" s="10"/>
    </row>
    <row r="1168" ht="22.5" customHeight="1">
      <c r="A1168" s="5">
        <v>2.0318210724E11</v>
      </c>
      <c r="B1168" s="5" t="s">
        <v>1261</v>
      </c>
      <c r="C1168" s="5">
        <v>573012691625</v>
      </c>
      <c r="D1168" s="5" t="s">
        <v>13</v>
      </c>
      <c r="E1168" s="5">
        <v>8.7547393E7</v>
      </c>
      <c r="F1168" s="5" t="s">
        <v>714</v>
      </c>
      <c r="G1168" s="5" t="s">
        <v>15</v>
      </c>
      <c r="H1168" s="5" t="s">
        <v>24</v>
      </c>
      <c r="I1168" s="6" t="s">
        <v>49</v>
      </c>
      <c r="J1168" s="7" t="s">
        <v>34</v>
      </c>
      <c r="K1168" s="7"/>
      <c r="L1168" s="8">
        <v>1.771289017297E12</v>
      </c>
      <c r="M1168" s="9"/>
      <c r="N1168" s="10"/>
      <c r="O1168" s="10"/>
      <c r="P1168" s="10"/>
      <c r="Q1168" s="10"/>
      <c r="R1168" s="10"/>
      <c r="S1168" s="10"/>
      <c r="T1168" s="10"/>
      <c r="U1168" s="10"/>
      <c r="V1168" s="10"/>
    </row>
    <row r="1169" ht="22.5" customHeight="1">
      <c r="A1169" s="5">
        <v>2.03100727399E11</v>
      </c>
      <c r="B1169" s="5" t="s">
        <v>1262</v>
      </c>
      <c r="C1169" s="5">
        <v>5511951689954</v>
      </c>
      <c r="D1169" s="5" t="s">
        <v>13</v>
      </c>
      <c r="E1169" s="5">
        <v>7.9360573E7</v>
      </c>
      <c r="F1169" s="5" t="s">
        <v>510</v>
      </c>
      <c r="G1169" s="5" t="s">
        <v>32</v>
      </c>
      <c r="H1169" s="5" t="s">
        <v>128</v>
      </c>
      <c r="I1169" s="6" t="s">
        <v>17</v>
      </c>
      <c r="J1169" s="7" t="s">
        <v>124</v>
      </c>
      <c r="K1169" s="7" t="s">
        <v>1256</v>
      </c>
      <c r="L1169" s="8">
        <v>1.771290005589E12</v>
      </c>
      <c r="M1169" s="9"/>
      <c r="N1169" s="10"/>
      <c r="O1169" s="10"/>
      <c r="P1169" s="10"/>
      <c r="Q1169" s="10"/>
      <c r="R1169" s="10"/>
      <c r="S1169" s="10"/>
      <c r="T1169" s="10"/>
      <c r="U1169" s="10"/>
      <c r="V1169" s="10"/>
    </row>
    <row r="1170" ht="22.5" customHeight="1">
      <c r="A1170" s="5">
        <v>2.03197361958E11</v>
      </c>
      <c r="B1170" s="5" t="s">
        <v>1263</v>
      </c>
      <c r="C1170" s="5">
        <v>5599981488718</v>
      </c>
      <c r="D1170" s="5" t="s">
        <v>13</v>
      </c>
      <c r="E1170" s="5">
        <v>7.9360573E7</v>
      </c>
      <c r="F1170" s="5" t="s">
        <v>65</v>
      </c>
      <c r="G1170" s="5" t="s">
        <v>15</v>
      </c>
      <c r="H1170" s="5" t="s">
        <v>100</v>
      </c>
      <c r="I1170" s="6" t="s">
        <v>17</v>
      </c>
      <c r="J1170" s="7" t="s">
        <v>34</v>
      </c>
      <c r="K1170" s="7"/>
      <c r="L1170" s="8">
        <v>1.771291164672E12</v>
      </c>
      <c r="M1170" s="9"/>
      <c r="N1170" s="10"/>
      <c r="O1170" s="10"/>
      <c r="P1170" s="10"/>
      <c r="Q1170" s="10"/>
      <c r="R1170" s="10"/>
      <c r="S1170" s="10"/>
      <c r="T1170" s="10"/>
      <c r="U1170" s="10"/>
      <c r="V1170" s="10"/>
    </row>
    <row r="1171" ht="22.5" customHeight="1">
      <c r="A1171" s="5">
        <v>2.03182723156E11</v>
      </c>
      <c r="B1171" s="5" t="s">
        <v>1264</v>
      </c>
      <c r="C1171" s="5">
        <v>34655067331</v>
      </c>
      <c r="D1171" s="5" t="s">
        <v>38</v>
      </c>
      <c r="E1171" s="5">
        <v>8.0566583E7</v>
      </c>
      <c r="F1171" s="5" t="s">
        <v>510</v>
      </c>
      <c r="G1171" s="5" t="s">
        <v>15</v>
      </c>
      <c r="H1171" s="5" t="s">
        <v>16</v>
      </c>
      <c r="I1171" s="6" t="s">
        <v>17</v>
      </c>
      <c r="J1171" s="7" t="s">
        <v>34</v>
      </c>
      <c r="K1171" s="7"/>
      <c r="L1171" s="8">
        <v>1.771292135937E12</v>
      </c>
      <c r="M1171" s="9"/>
      <c r="N1171" s="10"/>
      <c r="O1171" s="10"/>
      <c r="P1171" s="10"/>
      <c r="Q1171" s="10"/>
      <c r="R1171" s="10"/>
      <c r="S1171" s="10"/>
      <c r="T1171" s="10"/>
      <c r="U1171" s="10"/>
      <c r="V1171" s="10"/>
    </row>
    <row r="1172" ht="22.5" customHeight="1">
      <c r="A1172" s="5">
        <v>2.03103569693E11</v>
      </c>
      <c r="B1172" s="5" t="s">
        <v>1265</v>
      </c>
      <c r="C1172" s="5">
        <v>51930462270</v>
      </c>
      <c r="D1172" s="5" t="s">
        <v>22</v>
      </c>
      <c r="E1172" s="5">
        <v>8.7547393E7</v>
      </c>
      <c r="F1172" s="5" t="s">
        <v>39</v>
      </c>
      <c r="G1172" s="5" t="s">
        <v>44</v>
      </c>
      <c r="H1172" s="5" t="s">
        <v>74</v>
      </c>
      <c r="I1172" s="6" t="s">
        <v>17</v>
      </c>
      <c r="J1172" s="7" t="s">
        <v>34</v>
      </c>
      <c r="K1172" s="7"/>
      <c r="L1172" s="8">
        <v>1.771292972854E12</v>
      </c>
      <c r="M1172" s="9"/>
      <c r="N1172" s="10"/>
      <c r="O1172" s="10"/>
      <c r="P1172" s="10"/>
      <c r="Q1172" s="10"/>
      <c r="R1172" s="10"/>
      <c r="S1172" s="10"/>
      <c r="T1172" s="10"/>
      <c r="U1172" s="10"/>
      <c r="V1172" s="10"/>
    </row>
    <row r="1173" ht="22.5" customHeight="1">
      <c r="A1173" s="5">
        <v>2.0319877354E11</v>
      </c>
      <c r="B1173" s="5" t="s">
        <v>1266</v>
      </c>
      <c r="C1173" s="5">
        <v>51970246686</v>
      </c>
      <c r="D1173" s="5" t="s">
        <v>13</v>
      </c>
      <c r="E1173" s="5">
        <v>8.7547393E7</v>
      </c>
      <c r="F1173" s="5" t="s">
        <v>259</v>
      </c>
      <c r="G1173" s="5" t="s">
        <v>15</v>
      </c>
      <c r="H1173" s="5" t="s">
        <v>16</v>
      </c>
      <c r="I1173" s="6" t="s">
        <v>49</v>
      </c>
      <c r="J1173" s="7" t="s">
        <v>34</v>
      </c>
      <c r="K1173" s="7"/>
      <c r="L1173" s="8">
        <v>1.771293013901E12</v>
      </c>
      <c r="M1173" s="9"/>
      <c r="N1173" s="10"/>
      <c r="O1173" s="10"/>
      <c r="P1173" s="10"/>
      <c r="Q1173" s="10"/>
      <c r="R1173" s="10"/>
      <c r="S1173" s="10"/>
      <c r="T1173" s="10"/>
      <c r="U1173" s="10"/>
      <c r="V1173" s="10"/>
    </row>
    <row r="1174" ht="22.5" customHeight="1">
      <c r="A1174" s="5">
        <v>2.0311522872E11</v>
      </c>
      <c r="B1174" s="5" t="s">
        <v>1267</v>
      </c>
      <c r="C1174" s="5">
        <v>5584996030087</v>
      </c>
      <c r="D1174" s="5" t="s">
        <v>38</v>
      </c>
      <c r="E1174" s="5">
        <v>7.9360573E7</v>
      </c>
      <c r="F1174" s="5"/>
      <c r="G1174" s="5"/>
      <c r="H1174" s="5"/>
      <c r="I1174" s="6"/>
      <c r="J1174" s="7" t="s">
        <v>34</v>
      </c>
      <c r="K1174" s="7"/>
      <c r="L1174" s="8">
        <v>1.771293182886E12</v>
      </c>
      <c r="M1174" s="9"/>
      <c r="N1174" s="10"/>
      <c r="O1174" s="10"/>
      <c r="P1174" s="10"/>
      <c r="Q1174" s="10"/>
      <c r="R1174" s="10"/>
      <c r="S1174" s="10"/>
      <c r="T1174" s="10"/>
      <c r="U1174" s="10"/>
      <c r="V1174" s="10"/>
    </row>
    <row r="1175" ht="22.5" customHeight="1">
      <c r="A1175" s="5">
        <v>2.0311522872E11</v>
      </c>
      <c r="B1175" s="5" t="s">
        <v>1267</v>
      </c>
      <c r="C1175" s="5">
        <v>5584996030087</v>
      </c>
      <c r="D1175" s="5" t="s">
        <v>38</v>
      </c>
      <c r="E1175" s="5">
        <v>7.9360573E7</v>
      </c>
      <c r="F1175" s="5"/>
      <c r="G1175" s="5"/>
      <c r="H1175" s="5"/>
      <c r="I1175" s="6"/>
      <c r="J1175" s="7" t="s">
        <v>34</v>
      </c>
      <c r="K1175" s="7"/>
      <c r="L1175" s="8">
        <v>1.771293195904E12</v>
      </c>
      <c r="M1175" s="9"/>
      <c r="N1175" s="10"/>
      <c r="O1175" s="10"/>
      <c r="P1175" s="10"/>
      <c r="Q1175" s="10"/>
      <c r="R1175" s="10"/>
      <c r="S1175" s="10"/>
      <c r="T1175" s="10"/>
      <c r="U1175" s="10"/>
      <c r="V1175" s="10"/>
    </row>
    <row r="1176" ht="22.5" customHeight="1">
      <c r="A1176" s="5">
        <v>2.03114744954E11</v>
      </c>
      <c r="B1176" s="5" t="s">
        <v>1268</v>
      </c>
      <c r="C1176" s="5">
        <v>5589981357366</v>
      </c>
      <c r="D1176" s="5" t="s">
        <v>13</v>
      </c>
      <c r="E1176" s="5">
        <v>7.9360573E7</v>
      </c>
      <c r="F1176" s="5" t="s">
        <v>93</v>
      </c>
      <c r="G1176" s="5" t="s">
        <v>15</v>
      </c>
      <c r="H1176" s="5" t="s">
        <v>16</v>
      </c>
      <c r="I1176" s="6" t="s">
        <v>17</v>
      </c>
      <c r="J1176" s="7" t="s">
        <v>124</v>
      </c>
      <c r="K1176" s="7" t="s">
        <v>1256</v>
      </c>
      <c r="L1176" s="8">
        <v>1.77129324453E12</v>
      </c>
      <c r="M1176" s="9"/>
      <c r="N1176" s="10"/>
      <c r="O1176" s="10"/>
      <c r="P1176" s="10"/>
      <c r="Q1176" s="10"/>
      <c r="R1176" s="10"/>
      <c r="S1176" s="10"/>
      <c r="T1176" s="10"/>
      <c r="U1176" s="10"/>
      <c r="V1176" s="10"/>
    </row>
    <row r="1177" ht="22.5" customHeight="1">
      <c r="A1177" s="5">
        <v>2.03115436375E11</v>
      </c>
      <c r="B1177" s="5" t="s">
        <v>1269</v>
      </c>
      <c r="C1177" s="5">
        <v>5581986659073</v>
      </c>
      <c r="D1177" s="5" t="s">
        <v>38</v>
      </c>
      <c r="E1177" s="5">
        <v>7.9360573E7</v>
      </c>
      <c r="F1177" s="5" t="s">
        <v>259</v>
      </c>
      <c r="G1177" s="5" t="s">
        <v>32</v>
      </c>
      <c r="H1177" s="5" t="s">
        <v>66</v>
      </c>
      <c r="I1177" s="6" t="s">
        <v>17</v>
      </c>
      <c r="J1177" s="7" t="s">
        <v>124</v>
      </c>
      <c r="K1177" s="7" t="s">
        <v>1256</v>
      </c>
      <c r="L1177" s="8">
        <v>1.771294248711E12</v>
      </c>
      <c r="M1177" s="9"/>
      <c r="N1177" s="10"/>
      <c r="O1177" s="10"/>
      <c r="P1177" s="10"/>
      <c r="Q1177" s="10"/>
      <c r="R1177" s="10"/>
      <c r="S1177" s="10"/>
      <c r="T1177" s="10"/>
      <c r="U1177" s="10"/>
      <c r="V1177" s="10"/>
    </row>
    <row r="1178" ht="22.5" customHeight="1">
      <c r="A1178" s="5">
        <v>2.03116983163E11</v>
      </c>
      <c r="B1178" s="5" t="s">
        <v>1270</v>
      </c>
      <c r="C1178" s="5">
        <v>5537999489093</v>
      </c>
      <c r="D1178" s="5" t="s">
        <v>13</v>
      </c>
      <c r="E1178" s="5">
        <v>7.9360573E7</v>
      </c>
      <c r="F1178" s="5"/>
      <c r="G1178" s="5" t="s">
        <v>32</v>
      </c>
      <c r="H1178" s="5" t="s">
        <v>33</v>
      </c>
      <c r="I1178" s="6" t="s">
        <v>17</v>
      </c>
      <c r="J1178" s="7" t="s">
        <v>124</v>
      </c>
      <c r="K1178" s="7" t="s">
        <v>1256</v>
      </c>
      <c r="L1178" s="8">
        <v>1.77129675105E12</v>
      </c>
      <c r="M1178" s="9"/>
      <c r="N1178" s="10"/>
      <c r="O1178" s="10"/>
      <c r="P1178" s="10"/>
      <c r="Q1178" s="10"/>
      <c r="R1178" s="10"/>
      <c r="S1178" s="10"/>
      <c r="T1178" s="10"/>
      <c r="U1178" s="10"/>
      <c r="V1178" s="10"/>
    </row>
    <row r="1179" ht="22.5" customHeight="1">
      <c r="A1179" s="5">
        <v>2.03200828289E11</v>
      </c>
      <c r="B1179" s="5" t="s">
        <v>1271</v>
      </c>
      <c r="C1179" s="5">
        <v>5531983014168</v>
      </c>
      <c r="D1179" s="5" t="s">
        <v>13</v>
      </c>
      <c r="E1179" s="5">
        <v>7.9360573E7</v>
      </c>
      <c r="F1179" s="5" t="s">
        <v>510</v>
      </c>
      <c r="G1179" s="5" t="s">
        <v>15</v>
      </c>
      <c r="H1179" s="5" t="s">
        <v>188</v>
      </c>
      <c r="I1179" s="6" t="s">
        <v>17</v>
      </c>
      <c r="J1179" s="7" t="s">
        <v>34</v>
      </c>
      <c r="K1179" s="7"/>
      <c r="L1179" s="8">
        <v>1.771297481369E12</v>
      </c>
      <c r="M1179" s="9"/>
      <c r="N1179" s="10"/>
      <c r="O1179" s="10"/>
      <c r="P1179" s="10"/>
      <c r="Q1179" s="10"/>
      <c r="R1179" s="10"/>
      <c r="S1179" s="10"/>
      <c r="T1179" s="10"/>
      <c r="U1179" s="10"/>
      <c r="V1179" s="10"/>
    </row>
    <row r="1180" ht="22.5" customHeight="1">
      <c r="A1180" s="5">
        <v>2.03201157229E11</v>
      </c>
      <c r="B1180" s="5" t="s">
        <v>1272</v>
      </c>
      <c r="C1180" s="5">
        <v>51933507957</v>
      </c>
      <c r="D1180" s="5" t="s">
        <v>22</v>
      </c>
      <c r="E1180" s="5">
        <v>8.0566583E7</v>
      </c>
      <c r="F1180" s="5" t="s">
        <v>259</v>
      </c>
      <c r="G1180" s="5" t="s">
        <v>44</v>
      </c>
      <c r="H1180" s="5" t="s">
        <v>188</v>
      </c>
      <c r="I1180" s="6" t="s">
        <v>17</v>
      </c>
      <c r="J1180" s="7" t="s">
        <v>18</v>
      </c>
      <c r="K1180" s="7" t="s">
        <v>19</v>
      </c>
      <c r="L1180" s="8">
        <v>1.771297837022E12</v>
      </c>
      <c r="M1180" s="9"/>
      <c r="N1180" s="10"/>
      <c r="O1180" s="10"/>
      <c r="P1180" s="10"/>
      <c r="Q1180" s="10"/>
      <c r="R1180" s="10"/>
      <c r="S1180" s="10"/>
      <c r="T1180" s="10"/>
      <c r="U1180" s="10"/>
      <c r="V1180" s="10"/>
    </row>
    <row r="1181" ht="22.5" customHeight="1">
      <c r="A1181" s="5">
        <v>2.03120766503E11</v>
      </c>
      <c r="B1181" s="5" t="s">
        <v>1273</v>
      </c>
      <c r="C1181" s="5">
        <v>5544984064459</v>
      </c>
      <c r="D1181" s="5" t="s">
        <v>22</v>
      </c>
      <c r="E1181" s="5">
        <v>7.9360573E7</v>
      </c>
      <c r="F1181" s="5" t="s">
        <v>42</v>
      </c>
      <c r="G1181" s="5" t="s">
        <v>32</v>
      </c>
      <c r="H1181" s="5" t="s">
        <v>1005</v>
      </c>
      <c r="I1181" s="6" t="s">
        <v>17</v>
      </c>
      <c r="J1181" s="7" t="s">
        <v>124</v>
      </c>
      <c r="K1181" s="7" t="s">
        <v>1256</v>
      </c>
      <c r="L1181" s="8">
        <v>1.771299664852E12</v>
      </c>
      <c r="M1181" s="9"/>
      <c r="N1181" s="10"/>
      <c r="O1181" s="10"/>
      <c r="P1181" s="10"/>
      <c r="Q1181" s="10"/>
      <c r="R1181" s="10"/>
      <c r="S1181" s="10"/>
      <c r="T1181" s="10"/>
      <c r="U1181" s="10"/>
      <c r="V1181" s="10"/>
    </row>
    <row r="1182" ht="22.5" customHeight="1">
      <c r="A1182" s="5">
        <v>2.03121996319E11</v>
      </c>
      <c r="B1182" s="5" t="s">
        <v>1274</v>
      </c>
      <c r="C1182" s="5">
        <v>527299317693</v>
      </c>
      <c r="D1182" s="5" t="s">
        <v>13</v>
      </c>
      <c r="E1182" s="5">
        <v>8.0566583E7</v>
      </c>
      <c r="F1182" s="5" t="s">
        <v>39</v>
      </c>
      <c r="G1182" s="5" t="s">
        <v>15</v>
      </c>
      <c r="H1182" s="5" t="s">
        <v>114</v>
      </c>
      <c r="I1182" s="6" t="s">
        <v>17</v>
      </c>
      <c r="J1182" s="7" t="s">
        <v>34</v>
      </c>
      <c r="K1182" s="7"/>
      <c r="L1182" s="8">
        <v>1.7713001494E12</v>
      </c>
      <c r="M1182" s="9"/>
      <c r="N1182" s="10"/>
      <c r="O1182" s="10"/>
      <c r="P1182" s="10"/>
      <c r="Q1182" s="10"/>
      <c r="R1182" s="10"/>
      <c r="S1182" s="10"/>
      <c r="T1182" s="10"/>
      <c r="U1182" s="10"/>
      <c r="V1182" s="10"/>
    </row>
    <row r="1183" ht="22.5" customHeight="1">
      <c r="A1183" s="5">
        <v>2.03121894754E11</v>
      </c>
      <c r="B1183" s="5" t="s">
        <v>1275</v>
      </c>
      <c r="C1183" s="5">
        <v>51991285435</v>
      </c>
      <c r="D1183" s="5" t="s">
        <v>13</v>
      </c>
      <c r="E1183" s="5">
        <v>8.7547393E7</v>
      </c>
      <c r="F1183" s="5" t="s">
        <v>510</v>
      </c>
      <c r="G1183" s="5" t="s">
        <v>15</v>
      </c>
      <c r="H1183" s="5" t="s">
        <v>24</v>
      </c>
      <c r="I1183" s="6" t="s">
        <v>17</v>
      </c>
      <c r="J1183" s="7" t="s">
        <v>18</v>
      </c>
      <c r="K1183" s="7" t="s">
        <v>19</v>
      </c>
      <c r="L1183" s="8">
        <v>1.77130051163E12</v>
      </c>
      <c r="M1183" s="9"/>
      <c r="N1183" s="10"/>
      <c r="O1183" s="10"/>
      <c r="P1183" s="10"/>
      <c r="Q1183" s="10"/>
      <c r="R1183" s="10"/>
      <c r="S1183" s="10"/>
      <c r="T1183" s="10"/>
      <c r="U1183" s="10"/>
      <c r="V1183" s="10"/>
    </row>
    <row r="1184" ht="22.5" customHeight="1">
      <c r="A1184" s="5">
        <v>2.03121563577E11</v>
      </c>
      <c r="B1184" s="5" t="s">
        <v>1276</v>
      </c>
      <c r="C1184" s="5">
        <v>5516997507924</v>
      </c>
      <c r="D1184" s="5" t="s">
        <v>13</v>
      </c>
      <c r="E1184" s="5">
        <v>7.9360573E7</v>
      </c>
      <c r="F1184" s="5" t="s">
        <v>39</v>
      </c>
      <c r="G1184" s="5" t="s">
        <v>15</v>
      </c>
      <c r="H1184" s="5" t="s">
        <v>16</v>
      </c>
      <c r="I1184" s="6" t="s">
        <v>17</v>
      </c>
      <c r="J1184" s="7" t="s">
        <v>34</v>
      </c>
      <c r="K1184" s="7"/>
      <c r="L1184" s="8">
        <v>1.771301002832E12</v>
      </c>
      <c r="M1184" s="9"/>
      <c r="N1184" s="10"/>
      <c r="O1184" s="10"/>
      <c r="P1184" s="10"/>
      <c r="Q1184" s="10"/>
      <c r="R1184" s="10"/>
      <c r="S1184" s="10"/>
      <c r="T1184" s="10"/>
      <c r="U1184" s="10"/>
      <c r="V1184" s="10"/>
    </row>
    <row r="1185" ht="22.5" customHeight="1">
      <c r="A1185" s="5">
        <v>2.03124788028E11</v>
      </c>
      <c r="B1185" s="5" t="s">
        <v>1277</v>
      </c>
      <c r="C1185" s="5">
        <v>524771240047</v>
      </c>
      <c r="D1185" s="5" t="s">
        <v>13</v>
      </c>
      <c r="E1185" s="5">
        <v>8.0566583E7</v>
      </c>
      <c r="F1185" s="5" t="s">
        <v>28</v>
      </c>
      <c r="G1185" s="5" t="s">
        <v>15</v>
      </c>
      <c r="H1185" s="5" t="s">
        <v>66</v>
      </c>
      <c r="I1185" s="6" t="s">
        <v>17</v>
      </c>
      <c r="J1185" s="7" t="s">
        <v>34</v>
      </c>
      <c r="K1185" s="7"/>
      <c r="L1185" s="8">
        <v>1.771304710957E12</v>
      </c>
      <c r="M1185" s="9"/>
      <c r="N1185" s="10"/>
      <c r="O1185" s="10"/>
      <c r="P1185" s="10"/>
      <c r="Q1185" s="10"/>
      <c r="R1185" s="10"/>
      <c r="S1185" s="10"/>
      <c r="T1185" s="10"/>
      <c r="U1185" s="10"/>
      <c r="V1185" s="10"/>
    </row>
    <row r="1186" ht="22.5" customHeight="1">
      <c r="A1186" s="5">
        <v>2.03208386314E11</v>
      </c>
      <c r="B1186" s="5" t="s">
        <v>1278</v>
      </c>
      <c r="C1186" s="5">
        <v>51945678972</v>
      </c>
      <c r="D1186" s="5" t="s">
        <v>13</v>
      </c>
      <c r="E1186" s="5">
        <v>8.0566583E7</v>
      </c>
      <c r="F1186" s="5" t="s">
        <v>28</v>
      </c>
      <c r="G1186" s="5" t="s">
        <v>15</v>
      </c>
      <c r="H1186" s="5" t="s">
        <v>51</v>
      </c>
      <c r="I1186" s="6" t="s">
        <v>36</v>
      </c>
      <c r="J1186" s="7" t="s">
        <v>58</v>
      </c>
      <c r="K1186" s="11" t="s">
        <v>59</v>
      </c>
      <c r="L1186" s="8">
        <v>1.77130515857E12</v>
      </c>
      <c r="M1186" s="9"/>
      <c r="N1186" s="10"/>
      <c r="O1186" s="10"/>
      <c r="P1186" s="10"/>
      <c r="Q1186" s="10"/>
      <c r="R1186" s="10"/>
      <c r="S1186" s="10"/>
      <c r="T1186" s="10"/>
      <c r="U1186" s="10"/>
      <c r="V1186" s="10"/>
    </row>
    <row r="1187" ht="22.5" customHeight="1">
      <c r="A1187" s="5">
        <v>2.03210012447E11</v>
      </c>
      <c r="B1187" s="5" t="s">
        <v>1279</v>
      </c>
      <c r="C1187" s="5">
        <v>51916153578</v>
      </c>
      <c r="D1187" s="5" t="s">
        <v>13</v>
      </c>
      <c r="E1187" s="5">
        <v>8.0566583E7</v>
      </c>
      <c r="F1187" s="5" t="s">
        <v>510</v>
      </c>
      <c r="G1187" s="5" t="s">
        <v>44</v>
      </c>
      <c r="H1187" s="5" t="s">
        <v>51</v>
      </c>
      <c r="I1187" s="6" t="s">
        <v>17</v>
      </c>
      <c r="J1187" s="7" t="s">
        <v>34</v>
      </c>
      <c r="K1187" s="7"/>
      <c r="L1187" s="8">
        <v>1.771305921332E12</v>
      </c>
      <c r="M1187" s="9"/>
      <c r="N1187" s="10"/>
      <c r="O1187" s="10"/>
      <c r="P1187" s="10"/>
      <c r="Q1187" s="10"/>
      <c r="R1187" s="10"/>
      <c r="S1187" s="10"/>
      <c r="T1187" s="10"/>
      <c r="U1187" s="10"/>
      <c r="V1187" s="10"/>
    </row>
    <row r="1188" ht="22.5" customHeight="1">
      <c r="A1188" s="5">
        <v>2.03126731575E11</v>
      </c>
      <c r="B1188" s="5" t="s">
        <v>1280</v>
      </c>
      <c r="C1188" s="5">
        <v>528448740038</v>
      </c>
      <c r="D1188" s="5" t="s">
        <v>13</v>
      </c>
      <c r="E1188" s="5">
        <v>8.7547393E7</v>
      </c>
      <c r="F1188" s="5" t="s">
        <v>65</v>
      </c>
      <c r="G1188" s="5" t="s">
        <v>15</v>
      </c>
      <c r="H1188" s="5" t="s">
        <v>16</v>
      </c>
      <c r="I1188" s="6" t="s">
        <v>17</v>
      </c>
      <c r="J1188" s="7" t="s">
        <v>34</v>
      </c>
      <c r="K1188" s="7"/>
      <c r="L1188" s="8">
        <v>1.771306091317E12</v>
      </c>
      <c r="M1188" s="9"/>
      <c r="N1188" s="10"/>
      <c r="O1188" s="10"/>
      <c r="P1188" s="10"/>
      <c r="Q1188" s="10"/>
      <c r="R1188" s="10"/>
      <c r="S1188" s="10"/>
      <c r="T1188" s="10"/>
      <c r="U1188" s="10"/>
      <c r="V1188" s="10"/>
    </row>
    <row r="1189" ht="22.5" customHeight="1">
      <c r="A1189" s="5">
        <v>2.00408992864E11</v>
      </c>
      <c r="B1189" s="5" t="s">
        <v>1281</v>
      </c>
      <c r="C1189" s="5">
        <v>51967326013</v>
      </c>
      <c r="D1189" s="5" t="s">
        <v>22</v>
      </c>
      <c r="E1189" s="5">
        <v>8.0566583E7</v>
      </c>
      <c r="F1189" s="5" t="s">
        <v>714</v>
      </c>
      <c r="G1189" s="5" t="s">
        <v>104</v>
      </c>
      <c r="H1189" s="5" t="s">
        <v>24</v>
      </c>
      <c r="I1189" s="6" t="s">
        <v>17</v>
      </c>
      <c r="J1189" s="7" t="s">
        <v>34</v>
      </c>
      <c r="K1189" s="7"/>
      <c r="L1189" s="8">
        <v>1.771306340515E12</v>
      </c>
      <c r="M1189" s="9"/>
      <c r="N1189" s="10"/>
      <c r="O1189" s="10"/>
      <c r="P1189" s="10"/>
      <c r="Q1189" s="10"/>
      <c r="R1189" s="10"/>
      <c r="S1189" s="10"/>
      <c r="T1189" s="10"/>
      <c r="U1189" s="10"/>
      <c r="V1189" s="10"/>
    </row>
    <row r="1190" ht="22.5" customHeight="1">
      <c r="A1190" s="5">
        <v>2.03125624989E11</v>
      </c>
      <c r="B1190" s="5" t="s">
        <v>1282</v>
      </c>
      <c r="C1190" s="5">
        <v>526561307324</v>
      </c>
      <c r="D1190" s="5" t="s">
        <v>38</v>
      </c>
      <c r="E1190" s="5">
        <v>8.0566583E7</v>
      </c>
      <c r="F1190" s="5" t="s">
        <v>28</v>
      </c>
      <c r="G1190" s="5" t="s">
        <v>32</v>
      </c>
      <c r="H1190" s="5" t="s">
        <v>66</v>
      </c>
      <c r="I1190" s="6" t="s">
        <v>63</v>
      </c>
      <c r="J1190" s="7" t="s">
        <v>25</v>
      </c>
      <c r="K1190" s="7" t="s">
        <v>501</v>
      </c>
      <c r="L1190" s="8">
        <v>1.771306386349E12</v>
      </c>
      <c r="M1190" s="9"/>
      <c r="N1190" s="10"/>
      <c r="O1190" s="10"/>
      <c r="P1190" s="10"/>
      <c r="Q1190" s="10"/>
      <c r="R1190" s="10"/>
      <c r="S1190" s="10"/>
      <c r="T1190" s="10"/>
      <c r="U1190" s="10"/>
      <c r="V1190" s="10"/>
    </row>
    <row r="1191" ht="22.5" customHeight="1">
      <c r="A1191" s="5">
        <v>2.03206106216E11</v>
      </c>
      <c r="B1191" s="5" t="s">
        <v>1283</v>
      </c>
      <c r="C1191" s="5">
        <v>5511970432163</v>
      </c>
      <c r="D1191" s="5" t="s">
        <v>13</v>
      </c>
      <c r="E1191" s="5">
        <v>7.9360573E7</v>
      </c>
      <c r="F1191" s="5" t="s">
        <v>28</v>
      </c>
      <c r="G1191" s="5" t="s">
        <v>15</v>
      </c>
      <c r="H1191" s="5" t="s">
        <v>66</v>
      </c>
      <c r="I1191" s="6" t="s">
        <v>17</v>
      </c>
      <c r="J1191" s="7" t="s">
        <v>34</v>
      </c>
      <c r="K1191" s="7"/>
      <c r="L1191" s="8">
        <v>1.771307857143E12</v>
      </c>
      <c r="M1191" s="9"/>
      <c r="N1191" s="10"/>
      <c r="O1191" s="10"/>
      <c r="P1191" s="10"/>
      <c r="Q1191" s="10"/>
      <c r="R1191" s="10"/>
      <c r="S1191" s="10"/>
      <c r="T1191" s="10"/>
      <c r="U1191" s="10"/>
      <c r="V1191" s="10"/>
    </row>
    <row r="1192" ht="22.5" customHeight="1">
      <c r="A1192" s="5">
        <v>2.03129237782E11</v>
      </c>
      <c r="B1192" s="5" t="s">
        <v>1284</v>
      </c>
      <c r="C1192" s="5">
        <v>529992425234</v>
      </c>
      <c r="D1192" s="5" t="s">
        <v>38</v>
      </c>
      <c r="E1192" s="5">
        <v>8.7547393E7</v>
      </c>
      <c r="F1192" s="5"/>
      <c r="G1192" s="5"/>
      <c r="H1192" s="5"/>
      <c r="I1192" s="6"/>
      <c r="J1192" s="7" t="s">
        <v>18</v>
      </c>
      <c r="K1192" s="7" t="s">
        <v>61</v>
      </c>
      <c r="L1192" s="8">
        <v>1.771308365999E12</v>
      </c>
      <c r="M1192" s="9"/>
      <c r="N1192" s="10"/>
      <c r="O1192" s="10"/>
      <c r="P1192" s="10"/>
      <c r="Q1192" s="10"/>
      <c r="R1192" s="10"/>
      <c r="S1192" s="10"/>
      <c r="T1192" s="10"/>
      <c r="U1192" s="10"/>
      <c r="V1192" s="10"/>
    </row>
    <row r="1193" ht="22.5" customHeight="1">
      <c r="A1193" s="5">
        <v>2.03130330489E11</v>
      </c>
      <c r="B1193" s="5" t="s">
        <v>1285</v>
      </c>
      <c r="C1193" s="5">
        <v>51975358542</v>
      </c>
      <c r="D1193" s="5" t="s">
        <v>13</v>
      </c>
      <c r="E1193" s="5">
        <v>8.0566583E7</v>
      </c>
      <c r="F1193" s="5" t="s">
        <v>259</v>
      </c>
      <c r="G1193" s="5" t="s">
        <v>15</v>
      </c>
      <c r="H1193" s="5" t="s">
        <v>16</v>
      </c>
      <c r="I1193" s="6" t="s">
        <v>63</v>
      </c>
      <c r="J1193" s="7" t="s">
        <v>34</v>
      </c>
      <c r="K1193" s="7"/>
      <c r="L1193" s="8">
        <v>1.771312658356E12</v>
      </c>
      <c r="M1193" s="9"/>
      <c r="N1193" s="10"/>
      <c r="O1193" s="10"/>
      <c r="P1193" s="10"/>
      <c r="Q1193" s="10"/>
      <c r="R1193" s="10"/>
      <c r="S1193" s="10"/>
      <c r="T1193" s="10"/>
      <c r="U1193" s="10"/>
      <c r="V1193" s="10"/>
    </row>
    <row r="1194" ht="22.5" customHeight="1">
      <c r="A1194" s="5">
        <v>2.03131268457E11</v>
      </c>
      <c r="B1194" s="5" t="s">
        <v>1286</v>
      </c>
      <c r="C1194" s="5">
        <v>51925500968</v>
      </c>
      <c r="D1194" s="5" t="s">
        <v>13</v>
      </c>
      <c r="E1194" s="5">
        <v>8.7547393E7</v>
      </c>
      <c r="F1194" s="5" t="s">
        <v>65</v>
      </c>
      <c r="G1194" s="5" t="s">
        <v>32</v>
      </c>
      <c r="H1194" s="5" t="s">
        <v>24</v>
      </c>
      <c r="I1194" s="6" t="s">
        <v>17</v>
      </c>
      <c r="J1194" s="7" t="s">
        <v>18</v>
      </c>
      <c r="K1194" s="7" t="s">
        <v>19</v>
      </c>
      <c r="L1194" s="8">
        <v>1.771313812324E12</v>
      </c>
      <c r="M1194" s="9"/>
      <c r="N1194" s="10"/>
      <c r="O1194" s="10"/>
      <c r="P1194" s="10"/>
      <c r="Q1194" s="10"/>
      <c r="R1194" s="10"/>
      <c r="S1194" s="10"/>
      <c r="T1194" s="10"/>
      <c r="U1194" s="10"/>
      <c r="V1194" s="10"/>
    </row>
    <row r="1195" ht="22.5" customHeight="1">
      <c r="A1195" s="5">
        <v>2.03130633868E11</v>
      </c>
      <c r="B1195" s="5" t="s">
        <v>1287</v>
      </c>
      <c r="C1195" s="5">
        <v>5527997442586</v>
      </c>
      <c r="D1195" s="5" t="s">
        <v>13</v>
      </c>
      <c r="E1195" s="5">
        <v>7.9360573E7</v>
      </c>
      <c r="F1195" s="5" t="s">
        <v>259</v>
      </c>
      <c r="G1195" s="5" t="s">
        <v>15</v>
      </c>
      <c r="H1195" s="5" t="s">
        <v>16</v>
      </c>
      <c r="I1195" s="6" t="s">
        <v>17</v>
      </c>
      <c r="J1195" s="7" t="s">
        <v>34</v>
      </c>
      <c r="K1195" s="7"/>
      <c r="L1195" s="8">
        <v>1.771313914897E12</v>
      </c>
      <c r="M1195" s="9"/>
      <c r="N1195" s="10"/>
      <c r="O1195" s="10"/>
      <c r="P1195" s="10"/>
      <c r="Q1195" s="10"/>
      <c r="R1195" s="10"/>
      <c r="S1195" s="10"/>
      <c r="T1195" s="10"/>
      <c r="U1195" s="10"/>
      <c r="V1195" s="10"/>
    </row>
    <row r="1196" ht="22.5" customHeight="1">
      <c r="A1196" s="5">
        <v>2.00012866409E11</v>
      </c>
      <c r="B1196" s="5" t="s">
        <v>1288</v>
      </c>
      <c r="C1196" s="5">
        <v>51992709222</v>
      </c>
      <c r="D1196" s="5" t="s">
        <v>13</v>
      </c>
      <c r="E1196" s="5">
        <v>8.0566583E7</v>
      </c>
      <c r="F1196" s="5" t="s">
        <v>510</v>
      </c>
      <c r="G1196" s="5" t="s">
        <v>44</v>
      </c>
      <c r="H1196" s="5" t="s">
        <v>16</v>
      </c>
      <c r="I1196" s="6" t="s">
        <v>17</v>
      </c>
      <c r="J1196" s="7" t="s">
        <v>34</v>
      </c>
      <c r="K1196" s="7"/>
      <c r="L1196" s="8">
        <v>1.77132097616E12</v>
      </c>
      <c r="M1196" s="9"/>
      <c r="N1196" s="10"/>
      <c r="O1196" s="10"/>
      <c r="P1196" s="10"/>
      <c r="Q1196" s="10"/>
      <c r="R1196" s="10"/>
      <c r="S1196" s="10"/>
      <c r="T1196" s="10"/>
      <c r="U1196" s="10"/>
      <c r="V1196" s="10"/>
    </row>
    <row r="1197" ht="22.5" customHeight="1">
      <c r="A1197" s="5">
        <v>2.03225856084E11</v>
      </c>
      <c r="B1197" s="5" t="s">
        <v>1289</v>
      </c>
      <c r="C1197" s="5">
        <v>51927478430</v>
      </c>
      <c r="D1197" s="5" t="s">
        <v>13</v>
      </c>
      <c r="E1197" s="5">
        <v>8.0566583E7</v>
      </c>
      <c r="F1197" s="5" t="s">
        <v>28</v>
      </c>
      <c r="G1197" s="5" t="s">
        <v>15</v>
      </c>
      <c r="H1197" s="5" t="s">
        <v>16</v>
      </c>
      <c r="I1197" s="6" t="s">
        <v>17</v>
      </c>
      <c r="J1197" s="7" t="s">
        <v>18</v>
      </c>
      <c r="K1197" s="7" t="s">
        <v>19</v>
      </c>
      <c r="L1197" s="8">
        <v>1.771322359146E12</v>
      </c>
      <c r="M1197" s="9"/>
      <c r="N1197" s="10"/>
      <c r="O1197" s="10"/>
      <c r="P1197" s="10"/>
      <c r="Q1197" s="10"/>
      <c r="R1197" s="10"/>
      <c r="S1197" s="10"/>
      <c r="T1197" s="10"/>
      <c r="U1197" s="10"/>
      <c r="V1197" s="10"/>
    </row>
    <row r="1198" ht="22.5" customHeight="1">
      <c r="A1198" s="5">
        <v>2.03225856084E11</v>
      </c>
      <c r="B1198" s="5" t="s">
        <v>1289</v>
      </c>
      <c r="C1198" s="5">
        <v>51927478430</v>
      </c>
      <c r="D1198" s="5" t="s">
        <v>13</v>
      </c>
      <c r="E1198" s="5">
        <v>8.0566583E7</v>
      </c>
      <c r="F1198" s="5" t="s">
        <v>28</v>
      </c>
      <c r="G1198" s="5" t="s">
        <v>15</v>
      </c>
      <c r="H1198" s="5" t="s">
        <v>16</v>
      </c>
      <c r="I1198" s="6" t="s">
        <v>17</v>
      </c>
      <c r="J1198" s="7" t="s">
        <v>18</v>
      </c>
      <c r="K1198" s="7" t="s">
        <v>19</v>
      </c>
      <c r="L1198" s="8">
        <v>1.771322718576E12</v>
      </c>
      <c r="M1198" s="9"/>
      <c r="N1198" s="10"/>
      <c r="O1198" s="10"/>
      <c r="P1198" s="10"/>
      <c r="Q1198" s="10"/>
      <c r="R1198" s="10"/>
      <c r="S1198" s="10"/>
      <c r="T1198" s="10"/>
      <c r="U1198" s="10"/>
      <c r="V1198" s="10"/>
    </row>
    <row r="1199" ht="22.5" customHeight="1">
      <c r="A1199" s="5">
        <v>2.03256839713E11</v>
      </c>
      <c r="B1199" s="5" t="s">
        <v>1290</v>
      </c>
      <c r="C1199" s="5">
        <v>51927076741</v>
      </c>
      <c r="D1199" s="5" t="s">
        <v>38</v>
      </c>
      <c r="E1199" s="5">
        <v>8.7547393E7</v>
      </c>
      <c r="F1199" s="5"/>
      <c r="G1199" s="5"/>
      <c r="H1199" s="5"/>
      <c r="I1199" s="6"/>
      <c r="J1199" s="7" t="s">
        <v>34</v>
      </c>
      <c r="K1199" s="7"/>
      <c r="L1199" s="8">
        <v>1.771327013642E12</v>
      </c>
      <c r="M1199" s="9"/>
      <c r="N1199" s="10"/>
      <c r="O1199" s="10"/>
      <c r="P1199" s="10"/>
      <c r="Q1199" s="10"/>
      <c r="R1199" s="10"/>
      <c r="S1199" s="10"/>
      <c r="T1199" s="10"/>
      <c r="U1199" s="10"/>
      <c r="V1199" s="10"/>
    </row>
    <row r="1200" ht="22.5" customHeight="1">
      <c r="A1200" s="5">
        <v>2.03256839713E11</v>
      </c>
      <c r="B1200" s="5" t="s">
        <v>1290</v>
      </c>
      <c r="C1200" s="5">
        <v>51927076741</v>
      </c>
      <c r="D1200" s="5" t="s">
        <v>38</v>
      </c>
      <c r="E1200" s="5">
        <v>8.7547393E7</v>
      </c>
      <c r="F1200" s="5"/>
      <c r="G1200" s="5"/>
      <c r="H1200" s="5"/>
      <c r="I1200" s="6"/>
      <c r="J1200" s="7" t="s">
        <v>34</v>
      </c>
      <c r="K1200" s="7"/>
      <c r="L1200" s="8">
        <v>1.77132702526E12</v>
      </c>
      <c r="M1200" s="9"/>
      <c r="N1200" s="10"/>
      <c r="O1200" s="10"/>
      <c r="P1200" s="10"/>
      <c r="Q1200" s="10"/>
      <c r="R1200" s="10"/>
      <c r="S1200" s="10"/>
      <c r="T1200" s="10"/>
      <c r="U1200" s="10"/>
      <c r="V1200" s="10"/>
    </row>
    <row r="1201" ht="22.5" customHeight="1">
      <c r="A1201" s="5">
        <v>2.03246448237E11</v>
      </c>
      <c r="B1201" s="5" t="s">
        <v>1291</v>
      </c>
      <c r="C1201" s="5">
        <v>5562994236559</v>
      </c>
      <c r="D1201" s="5" t="s">
        <v>13</v>
      </c>
      <c r="E1201" s="5">
        <v>7.9360573E7</v>
      </c>
      <c r="F1201" s="5" t="s">
        <v>510</v>
      </c>
      <c r="G1201" s="5" t="s">
        <v>32</v>
      </c>
      <c r="H1201" s="5" t="s">
        <v>29</v>
      </c>
      <c r="I1201" s="6"/>
      <c r="J1201" s="7" t="s">
        <v>124</v>
      </c>
      <c r="K1201" s="7" t="s">
        <v>1256</v>
      </c>
      <c r="L1201" s="8">
        <v>1.771327109743E12</v>
      </c>
      <c r="M1201" s="9"/>
      <c r="N1201" s="10"/>
      <c r="O1201" s="10"/>
      <c r="P1201" s="10"/>
      <c r="Q1201" s="10"/>
      <c r="R1201" s="10"/>
      <c r="S1201" s="10"/>
      <c r="T1201" s="10"/>
      <c r="U1201" s="10"/>
      <c r="V1201" s="10"/>
    </row>
    <row r="1202" ht="22.5" customHeight="1">
      <c r="A1202" s="5">
        <v>2.03256732288E11</v>
      </c>
      <c r="B1202" s="5" t="s">
        <v>1292</v>
      </c>
      <c r="C1202" s="5">
        <v>529985887777</v>
      </c>
      <c r="D1202" s="5" t="s">
        <v>13</v>
      </c>
      <c r="E1202" s="5">
        <v>8.0566583E7</v>
      </c>
      <c r="F1202" s="5" t="s">
        <v>28</v>
      </c>
      <c r="G1202" s="5" t="s">
        <v>15</v>
      </c>
      <c r="H1202" s="5" t="s">
        <v>66</v>
      </c>
      <c r="I1202" s="6" t="s">
        <v>17</v>
      </c>
      <c r="J1202" s="7" t="s">
        <v>34</v>
      </c>
      <c r="K1202" s="7"/>
      <c r="L1202" s="8">
        <v>1.771327789724E12</v>
      </c>
      <c r="M1202" s="9"/>
      <c r="N1202" s="10"/>
      <c r="O1202" s="10"/>
      <c r="P1202" s="10"/>
      <c r="Q1202" s="10"/>
      <c r="R1202" s="10"/>
      <c r="S1202" s="10"/>
      <c r="T1202" s="10"/>
      <c r="U1202" s="10"/>
      <c r="V1202" s="10"/>
    </row>
    <row r="1203" ht="22.5" customHeight="1">
      <c r="A1203" s="5">
        <v>2.03270518419E11</v>
      </c>
      <c r="B1203" s="5" t="s">
        <v>1293</v>
      </c>
      <c r="C1203" s="5">
        <v>5532984839330</v>
      </c>
      <c r="D1203" s="5" t="s">
        <v>13</v>
      </c>
      <c r="E1203" s="5">
        <v>7.9360573E7</v>
      </c>
      <c r="F1203" s="5" t="s">
        <v>42</v>
      </c>
      <c r="G1203" s="5" t="s">
        <v>15</v>
      </c>
      <c r="H1203" s="5" t="s">
        <v>16</v>
      </c>
      <c r="I1203" s="6" t="s">
        <v>63</v>
      </c>
      <c r="J1203" s="7" t="s">
        <v>124</v>
      </c>
      <c r="K1203" s="7" t="s">
        <v>1256</v>
      </c>
      <c r="L1203" s="8">
        <v>1.771329706729E12</v>
      </c>
      <c r="M1203" s="9"/>
      <c r="N1203" s="10"/>
      <c r="O1203" s="10"/>
      <c r="P1203" s="10"/>
      <c r="Q1203" s="10"/>
      <c r="R1203" s="10"/>
      <c r="S1203" s="10"/>
      <c r="T1203" s="10"/>
      <c r="U1203" s="10"/>
      <c r="V1203" s="10"/>
    </row>
    <row r="1204" ht="22.5" customHeight="1">
      <c r="A1204" s="5">
        <v>2.03271418809E11</v>
      </c>
      <c r="B1204" s="5" t="s">
        <v>1294</v>
      </c>
      <c r="C1204" s="5">
        <v>5561991826144</v>
      </c>
      <c r="D1204" s="5" t="s">
        <v>38</v>
      </c>
      <c r="E1204" s="5">
        <v>7.9360573E7</v>
      </c>
      <c r="F1204" s="5"/>
      <c r="G1204" s="5"/>
      <c r="H1204" s="5"/>
      <c r="I1204" s="6"/>
      <c r="J1204" s="7" t="s">
        <v>34</v>
      </c>
      <c r="K1204" s="7"/>
      <c r="L1204" s="8">
        <v>1.77132990651E12</v>
      </c>
      <c r="M1204" s="9"/>
      <c r="N1204" s="10"/>
      <c r="O1204" s="10"/>
      <c r="P1204" s="10"/>
      <c r="Q1204" s="10"/>
      <c r="R1204" s="10"/>
      <c r="S1204" s="10"/>
      <c r="T1204" s="10"/>
      <c r="U1204" s="10"/>
      <c r="V1204" s="10"/>
    </row>
    <row r="1205" ht="22.5" customHeight="1">
      <c r="A1205" s="5">
        <v>2.03248648711E11</v>
      </c>
      <c r="B1205" s="5" t="s">
        <v>1295</v>
      </c>
      <c r="C1205" s="5">
        <v>51994009644</v>
      </c>
      <c r="D1205" s="5" t="s">
        <v>13</v>
      </c>
      <c r="E1205" s="5">
        <v>8.0566583E7</v>
      </c>
      <c r="F1205" s="5" t="s">
        <v>39</v>
      </c>
      <c r="G1205" s="5" t="s">
        <v>15</v>
      </c>
      <c r="H1205" s="5" t="s">
        <v>66</v>
      </c>
      <c r="I1205" s="6" t="s">
        <v>89</v>
      </c>
      <c r="J1205" s="7" t="s">
        <v>18</v>
      </c>
      <c r="K1205" s="7" t="s">
        <v>19</v>
      </c>
      <c r="L1205" s="8">
        <v>1.771330101519E12</v>
      </c>
      <c r="M1205" s="9"/>
      <c r="N1205" s="10"/>
      <c r="O1205" s="10"/>
      <c r="P1205" s="10"/>
      <c r="Q1205" s="10"/>
      <c r="R1205" s="10"/>
      <c r="S1205" s="10"/>
      <c r="T1205" s="10"/>
      <c r="U1205" s="10"/>
      <c r="V1205" s="10"/>
    </row>
    <row r="1206" ht="22.5" customHeight="1">
      <c r="A1206" s="5">
        <v>2.03248805248E11</v>
      </c>
      <c r="B1206" s="5" t="s">
        <v>1296</v>
      </c>
      <c r="C1206" s="5">
        <v>5521959195083</v>
      </c>
      <c r="D1206" s="5" t="s">
        <v>38</v>
      </c>
      <c r="E1206" s="5">
        <v>7.9360573E7</v>
      </c>
      <c r="F1206" s="5" t="s">
        <v>28</v>
      </c>
      <c r="G1206" s="5" t="s">
        <v>15</v>
      </c>
      <c r="H1206" s="5" t="s">
        <v>66</v>
      </c>
      <c r="I1206" s="6" t="s">
        <v>17</v>
      </c>
      <c r="J1206" s="7" t="s">
        <v>124</v>
      </c>
      <c r="K1206" s="7" t="s">
        <v>1256</v>
      </c>
      <c r="L1206" s="8">
        <v>1.771330460799E12</v>
      </c>
      <c r="M1206" s="9"/>
      <c r="N1206" s="10"/>
      <c r="O1206" s="10"/>
      <c r="P1206" s="10"/>
      <c r="Q1206" s="10"/>
      <c r="R1206" s="10"/>
      <c r="S1206" s="10"/>
      <c r="T1206" s="10"/>
      <c r="U1206" s="10"/>
      <c r="V1206" s="10"/>
    </row>
    <row r="1207" ht="22.5" customHeight="1">
      <c r="A1207" s="5">
        <v>2.01880978817E11</v>
      </c>
      <c r="B1207" s="5" t="s">
        <v>901</v>
      </c>
      <c r="C1207" s="5">
        <v>5511992770421</v>
      </c>
      <c r="D1207" s="5" t="s">
        <v>22</v>
      </c>
      <c r="E1207" s="5">
        <v>7.9360573E7</v>
      </c>
      <c r="F1207" s="5" t="s">
        <v>42</v>
      </c>
      <c r="G1207" s="5" t="s">
        <v>32</v>
      </c>
      <c r="H1207" s="5" t="s">
        <v>33</v>
      </c>
      <c r="I1207" s="6" t="s">
        <v>17</v>
      </c>
      <c r="J1207" s="7" t="s">
        <v>34</v>
      </c>
      <c r="K1207" s="7"/>
      <c r="L1207" s="8">
        <v>1.771330631864E12</v>
      </c>
      <c r="M1207" s="9"/>
      <c r="N1207" s="10"/>
      <c r="O1207" s="10"/>
      <c r="P1207" s="10"/>
      <c r="Q1207" s="10"/>
      <c r="R1207" s="10"/>
      <c r="S1207" s="10"/>
      <c r="T1207" s="10"/>
      <c r="U1207" s="10"/>
      <c r="V1207" s="10"/>
    </row>
    <row r="1208" ht="22.5" customHeight="1">
      <c r="A1208" s="5">
        <v>2.03271972356E11</v>
      </c>
      <c r="B1208" s="5" t="s">
        <v>1297</v>
      </c>
      <c r="C1208" s="5">
        <v>51931511822</v>
      </c>
      <c r="D1208" s="5" t="s">
        <v>13</v>
      </c>
      <c r="E1208" s="5">
        <v>8.0566583E7</v>
      </c>
      <c r="F1208" s="5" t="s">
        <v>65</v>
      </c>
      <c r="G1208" s="5" t="s">
        <v>15</v>
      </c>
      <c r="H1208" s="5" t="s">
        <v>51</v>
      </c>
      <c r="I1208" s="6" t="s">
        <v>17</v>
      </c>
      <c r="J1208" s="7" t="s">
        <v>34</v>
      </c>
      <c r="K1208" s="7"/>
      <c r="L1208" s="8">
        <v>1.771330852907E12</v>
      </c>
      <c r="M1208" s="9"/>
      <c r="N1208" s="10"/>
      <c r="O1208" s="10"/>
      <c r="P1208" s="10"/>
      <c r="Q1208" s="10"/>
      <c r="R1208" s="10"/>
      <c r="S1208" s="10"/>
      <c r="T1208" s="10"/>
      <c r="U1208" s="10"/>
      <c r="V1208" s="10"/>
    </row>
    <row r="1209" ht="22.5" customHeight="1">
      <c r="A1209" s="5">
        <v>2.03249739958E11</v>
      </c>
      <c r="B1209" s="5" t="s">
        <v>1298</v>
      </c>
      <c r="C1209" s="5">
        <v>5585994039904</v>
      </c>
      <c r="D1209" s="5" t="s">
        <v>13</v>
      </c>
      <c r="E1209" s="5">
        <v>7.9360573E7</v>
      </c>
      <c r="F1209" s="5" t="s">
        <v>14</v>
      </c>
      <c r="G1209" s="5" t="s">
        <v>15</v>
      </c>
      <c r="H1209" s="5" t="s">
        <v>51</v>
      </c>
      <c r="I1209" s="6" t="s">
        <v>63</v>
      </c>
      <c r="J1209" s="7" t="s">
        <v>124</v>
      </c>
      <c r="K1209" s="7" t="s">
        <v>1256</v>
      </c>
      <c r="L1209" s="8">
        <v>1.771332815198E12</v>
      </c>
      <c r="M1209" s="9"/>
      <c r="N1209" s="10"/>
      <c r="O1209" s="10"/>
      <c r="P1209" s="10"/>
      <c r="Q1209" s="10"/>
      <c r="R1209" s="10"/>
      <c r="S1209" s="10"/>
      <c r="T1209" s="10"/>
      <c r="U1209" s="10"/>
      <c r="V1209" s="10"/>
    </row>
    <row r="1210" ht="22.5" customHeight="1">
      <c r="A1210" s="5">
        <v>2.03250243185E11</v>
      </c>
      <c r="B1210" s="5" t="s">
        <v>1299</v>
      </c>
      <c r="C1210" s="5">
        <v>525512813347</v>
      </c>
      <c r="D1210" s="5" t="s">
        <v>13</v>
      </c>
      <c r="E1210" s="5">
        <v>8.7547393E7</v>
      </c>
      <c r="F1210" s="5" t="s">
        <v>28</v>
      </c>
      <c r="G1210" s="5" t="s">
        <v>15</v>
      </c>
      <c r="H1210" s="5" t="s">
        <v>66</v>
      </c>
      <c r="I1210" s="6" t="s">
        <v>36</v>
      </c>
      <c r="J1210" s="7" t="s">
        <v>34</v>
      </c>
      <c r="K1210" s="7"/>
      <c r="L1210" s="8">
        <v>1.771333010409E12</v>
      </c>
      <c r="M1210" s="9"/>
      <c r="N1210" s="10"/>
      <c r="O1210" s="10"/>
      <c r="P1210" s="10"/>
      <c r="Q1210" s="10"/>
      <c r="R1210" s="10"/>
      <c r="S1210" s="10"/>
      <c r="T1210" s="10"/>
      <c r="U1210" s="10"/>
      <c r="V1210" s="10"/>
    </row>
    <row r="1211" ht="22.5" customHeight="1">
      <c r="A1211" s="5">
        <v>2.03278303796E11</v>
      </c>
      <c r="B1211" s="5" t="s">
        <v>1300</v>
      </c>
      <c r="C1211" s="5">
        <v>526863999380</v>
      </c>
      <c r="D1211" s="5" t="s">
        <v>13</v>
      </c>
      <c r="E1211" s="5">
        <v>8.7547393E7</v>
      </c>
      <c r="F1211" s="5" t="s">
        <v>65</v>
      </c>
      <c r="G1211" s="5" t="s">
        <v>15</v>
      </c>
      <c r="H1211" s="5" t="s">
        <v>51</v>
      </c>
      <c r="I1211" s="6" t="s">
        <v>148</v>
      </c>
      <c r="J1211" s="7" t="s">
        <v>18</v>
      </c>
      <c r="K1211" s="7" t="s">
        <v>61</v>
      </c>
      <c r="L1211" s="8">
        <v>1.771333722094E12</v>
      </c>
      <c r="M1211" s="9"/>
      <c r="N1211" s="10"/>
      <c r="O1211" s="10"/>
      <c r="P1211" s="10"/>
      <c r="Q1211" s="10"/>
      <c r="R1211" s="10"/>
      <c r="S1211" s="10"/>
      <c r="T1211" s="10"/>
      <c r="U1211" s="10"/>
      <c r="V1211" s="10"/>
    </row>
    <row r="1212" ht="22.5" customHeight="1">
      <c r="A1212" s="5">
        <v>2.03291223405E11</v>
      </c>
      <c r="B1212" s="5" t="s">
        <v>1301</v>
      </c>
      <c r="C1212" s="5">
        <v>5584991224464</v>
      </c>
      <c r="D1212" s="5" t="s">
        <v>13</v>
      </c>
      <c r="E1212" s="5">
        <v>7.9360573E7</v>
      </c>
      <c r="F1212" s="5" t="s">
        <v>28</v>
      </c>
      <c r="G1212" s="5" t="s">
        <v>15</v>
      </c>
      <c r="H1212" s="5" t="s">
        <v>1302</v>
      </c>
      <c r="I1212" s="6" t="s">
        <v>17</v>
      </c>
      <c r="J1212" s="7" t="s">
        <v>34</v>
      </c>
      <c r="K1212" s="7"/>
      <c r="L1212" s="8">
        <v>1.771336506807E12</v>
      </c>
      <c r="M1212" s="9"/>
      <c r="N1212" s="10"/>
      <c r="O1212" s="10"/>
      <c r="P1212" s="10"/>
      <c r="Q1212" s="10"/>
      <c r="R1212" s="10"/>
      <c r="S1212" s="10"/>
      <c r="T1212" s="10"/>
      <c r="U1212" s="10"/>
      <c r="V1212" s="10"/>
    </row>
    <row r="1213" ht="22.5" customHeight="1">
      <c r="A1213" s="5">
        <v>2.03287826253E11</v>
      </c>
      <c r="B1213" s="5" t="s">
        <v>1303</v>
      </c>
      <c r="C1213" s="5">
        <v>51999099846</v>
      </c>
      <c r="D1213" s="5" t="s">
        <v>13</v>
      </c>
      <c r="E1213" s="5"/>
      <c r="F1213" s="5" t="s">
        <v>714</v>
      </c>
      <c r="G1213" s="5" t="s">
        <v>15</v>
      </c>
      <c r="H1213" s="5" t="s">
        <v>51</v>
      </c>
      <c r="I1213" s="6" t="s">
        <v>36</v>
      </c>
      <c r="J1213" s="7" t="s">
        <v>18</v>
      </c>
      <c r="K1213" s="7" t="s">
        <v>19</v>
      </c>
      <c r="L1213" s="8">
        <v>1.771337397771E12</v>
      </c>
      <c r="M1213" s="9"/>
      <c r="N1213" s="10"/>
      <c r="O1213" s="10"/>
      <c r="P1213" s="10"/>
      <c r="Q1213" s="10"/>
      <c r="R1213" s="10"/>
      <c r="S1213" s="10"/>
      <c r="T1213" s="10"/>
      <c r="U1213" s="10"/>
      <c r="V1213" s="10"/>
    </row>
    <row r="1214" ht="22.5" customHeight="1">
      <c r="A1214" s="5">
        <v>2.03305468216E11</v>
      </c>
      <c r="B1214" s="5" t="s">
        <v>1304</v>
      </c>
      <c r="C1214" s="5">
        <v>525542817373</v>
      </c>
      <c r="D1214" s="5" t="s">
        <v>13</v>
      </c>
      <c r="E1214" s="5">
        <v>8.0566583E7</v>
      </c>
      <c r="F1214" s="5" t="s">
        <v>65</v>
      </c>
      <c r="G1214" s="5" t="s">
        <v>15</v>
      </c>
      <c r="H1214" s="5" t="s">
        <v>807</v>
      </c>
      <c r="I1214" s="6" t="s">
        <v>63</v>
      </c>
      <c r="J1214" s="7" t="s">
        <v>18</v>
      </c>
      <c r="K1214" s="7" t="s">
        <v>61</v>
      </c>
      <c r="L1214" s="8">
        <v>1.771338896843E12</v>
      </c>
      <c r="M1214" s="9"/>
      <c r="N1214" s="10"/>
      <c r="O1214" s="10"/>
      <c r="P1214" s="10"/>
      <c r="Q1214" s="10"/>
      <c r="R1214" s="10"/>
      <c r="S1214" s="10"/>
      <c r="T1214" s="10"/>
      <c r="U1214" s="10"/>
      <c r="V1214" s="10"/>
    </row>
    <row r="1215" ht="22.5" customHeight="1">
      <c r="A1215" s="5">
        <v>2.03305261849E11</v>
      </c>
      <c r="B1215" s="5" t="s">
        <v>1305</v>
      </c>
      <c r="C1215" s="5">
        <v>5521975509662</v>
      </c>
      <c r="D1215" s="5" t="s">
        <v>22</v>
      </c>
      <c r="E1215" s="5">
        <v>7.9360573E7</v>
      </c>
      <c r="F1215" s="5" t="s">
        <v>28</v>
      </c>
      <c r="G1215" s="5" t="s">
        <v>44</v>
      </c>
      <c r="H1215" s="5" t="s">
        <v>66</v>
      </c>
      <c r="I1215" s="6" t="s">
        <v>89</v>
      </c>
      <c r="J1215" s="7" t="s">
        <v>34</v>
      </c>
      <c r="K1215" s="7"/>
      <c r="L1215" s="8">
        <v>1.77133921072E12</v>
      </c>
      <c r="M1215" s="9"/>
      <c r="N1215" s="10"/>
      <c r="O1215" s="10"/>
      <c r="P1215" s="10"/>
      <c r="Q1215" s="10"/>
      <c r="R1215" s="10"/>
      <c r="S1215" s="10"/>
      <c r="T1215" s="10"/>
      <c r="U1215" s="10"/>
      <c r="V1215" s="10"/>
    </row>
    <row r="1216" ht="22.5" customHeight="1">
      <c r="A1216" s="5">
        <v>2.03297551906E11</v>
      </c>
      <c r="B1216" s="5" t="s">
        <v>1306</v>
      </c>
      <c r="C1216" s="5">
        <v>526474875084</v>
      </c>
      <c r="D1216" s="5" t="s">
        <v>22</v>
      </c>
      <c r="E1216" s="5">
        <v>8.0566583E7</v>
      </c>
      <c r="F1216" s="5" t="s">
        <v>28</v>
      </c>
      <c r="G1216" s="5" t="s">
        <v>32</v>
      </c>
      <c r="H1216" s="5" t="s">
        <v>114</v>
      </c>
      <c r="I1216" s="6" t="s">
        <v>17</v>
      </c>
      <c r="J1216" s="7" t="s">
        <v>18</v>
      </c>
      <c r="K1216" s="7" t="s">
        <v>61</v>
      </c>
      <c r="L1216" s="8">
        <v>1.771340156701E12</v>
      </c>
      <c r="M1216" s="9"/>
      <c r="N1216" s="10"/>
      <c r="O1216" s="10"/>
      <c r="P1216" s="10"/>
      <c r="Q1216" s="10"/>
      <c r="R1216" s="10"/>
      <c r="S1216" s="10"/>
      <c r="T1216" s="10"/>
      <c r="U1216" s="10"/>
      <c r="V1216" s="10"/>
    </row>
    <row r="1217" ht="22.5" customHeight="1">
      <c r="A1217" s="5">
        <v>2.03308239877E11</v>
      </c>
      <c r="B1217" s="5" t="s">
        <v>1307</v>
      </c>
      <c r="C1217" s="5">
        <v>528125223966</v>
      </c>
      <c r="D1217" s="5" t="s">
        <v>22</v>
      </c>
      <c r="E1217" s="5">
        <v>8.0566583E7</v>
      </c>
      <c r="F1217" s="5" t="s">
        <v>28</v>
      </c>
      <c r="G1217" s="5" t="s">
        <v>44</v>
      </c>
      <c r="H1217" s="5" t="s">
        <v>40</v>
      </c>
      <c r="I1217" s="6" t="s">
        <v>17</v>
      </c>
      <c r="J1217" s="7" t="s">
        <v>25</v>
      </c>
      <c r="K1217" s="7" t="s">
        <v>501</v>
      </c>
      <c r="L1217" s="8">
        <v>1.771340632819E12</v>
      </c>
      <c r="M1217" s="9"/>
      <c r="N1217" s="10"/>
      <c r="O1217" s="10"/>
      <c r="P1217" s="10"/>
      <c r="Q1217" s="10"/>
      <c r="R1217" s="10"/>
      <c r="S1217" s="10"/>
      <c r="T1217" s="10"/>
      <c r="U1217" s="10"/>
      <c r="V1217" s="10"/>
    </row>
    <row r="1218" ht="22.5" customHeight="1">
      <c r="A1218" s="5">
        <v>1.95872504333E11</v>
      </c>
      <c r="B1218" s="5" t="s">
        <v>1308</v>
      </c>
      <c r="C1218" s="5">
        <v>51983208396</v>
      </c>
      <c r="D1218" s="5" t="s">
        <v>13</v>
      </c>
      <c r="E1218" s="5">
        <v>8.0566583E7</v>
      </c>
      <c r="F1218" s="5" t="s">
        <v>42</v>
      </c>
      <c r="G1218" s="5" t="s">
        <v>15</v>
      </c>
      <c r="H1218" s="5" t="s">
        <v>51</v>
      </c>
      <c r="I1218" s="6" t="s">
        <v>63</v>
      </c>
      <c r="J1218" s="7" t="s">
        <v>18</v>
      </c>
      <c r="K1218" s="7" t="s">
        <v>19</v>
      </c>
      <c r="L1218" s="8">
        <v>1.771341151828E12</v>
      </c>
      <c r="M1218" s="9"/>
      <c r="N1218" s="10"/>
      <c r="O1218" s="10"/>
      <c r="P1218" s="10"/>
      <c r="Q1218" s="10"/>
      <c r="R1218" s="10"/>
      <c r="S1218" s="10"/>
      <c r="T1218" s="10"/>
      <c r="U1218" s="10"/>
      <c r="V1218" s="10"/>
    </row>
    <row r="1219" ht="22.5" customHeight="1">
      <c r="A1219" s="5">
        <v>1.61808598145E11</v>
      </c>
      <c r="B1219" s="5" t="s">
        <v>1309</v>
      </c>
      <c r="C1219" s="5">
        <v>573142968931</v>
      </c>
      <c r="D1219" s="5" t="s">
        <v>103</v>
      </c>
      <c r="E1219" s="5">
        <v>8.0566583E7</v>
      </c>
      <c r="F1219" s="5" t="s">
        <v>39</v>
      </c>
      <c r="G1219" s="5" t="s">
        <v>79</v>
      </c>
      <c r="H1219" s="5" t="s">
        <v>69</v>
      </c>
      <c r="I1219" s="6" t="s">
        <v>49</v>
      </c>
      <c r="J1219" s="7" t="s">
        <v>34</v>
      </c>
      <c r="K1219" s="7"/>
      <c r="L1219" s="8">
        <v>1.77134139818E12</v>
      </c>
      <c r="M1219" s="9"/>
      <c r="N1219" s="10"/>
      <c r="O1219" s="10"/>
      <c r="P1219" s="10"/>
      <c r="Q1219" s="10"/>
      <c r="R1219" s="10"/>
      <c r="S1219" s="10"/>
      <c r="T1219" s="10"/>
      <c r="U1219" s="10"/>
      <c r="V1219" s="10"/>
    </row>
    <row r="1220" ht="22.5" customHeight="1">
      <c r="A1220" s="5">
        <v>2.03306494102E11</v>
      </c>
      <c r="B1220" s="5" t="s">
        <v>1310</v>
      </c>
      <c r="C1220" s="5">
        <v>51958504455</v>
      </c>
      <c r="D1220" s="5" t="s">
        <v>13</v>
      </c>
      <c r="E1220" s="5">
        <v>8.0566583E7</v>
      </c>
      <c r="F1220" s="5" t="s">
        <v>39</v>
      </c>
      <c r="G1220" s="5" t="s">
        <v>15</v>
      </c>
      <c r="H1220" s="5" t="s">
        <v>69</v>
      </c>
      <c r="I1220" s="6" t="s">
        <v>17</v>
      </c>
      <c r="J1220" s="7" t="s">
        <v>18</v>
      </c>
      <c r="K1220" s="7" t="s">
        <v>19</v>
      </c>
      <c r="L1220" s="8">
        <v>1.771341590217E12</v>
      </c>
      <c r="M1220" s="9"/>
      <c r="N1220" s="10"/>
      <c r="O1220" s="10"/>
      <c r="P1220" s="10"/>
      <c r="Q1220" s="10"/>
      <c r="R1220" s="10"/>
      <c r="S1220" s="10"/>
      <c r="T1220" s="10"/>
      <c r="U1220" s="10"/>
      <c r="V1220" s="10"/>
    </row>
    <row r="1221" ht="22.5" customHeight="1">
      <c r="A1221" s="5">
        <v>2.03301776987E11</v>
      </c>
      <c r="B1221" s="5" t="s">
        <v>1311</v>
      </c>
      <c r="C1221" s="5">
        <v>34650542424</v>
      </c>
      <c r="D1221" s="5" t="s">
        <v>13</v>
      </c>
      <c r="E1221" s="5">
        <v>8.0566583E7</v>
      </c>
      <c r="F1221" s="5" t="s">
        <v>510</v>
      </c>
      <c r="G1221" s="5" t="s">
        <v>15</v>
      </c>
      <c r="H1221" s="5" t="s">
        <v>33</v>
      </c>
      <c r="I1221" s="6" t="s">
        <v>36</v>
      </c>
      <c r="J1221" s="7" t="s">
        <v>34</v>
      </c>
      <c r="K1221" s="7"/>
      <c r="L1221" s="8">
        <v>1.771342231932E12</v>
      </c>
      <c r="M1221" s="9"/>
      <c r="N1221" s="10"/>
      <c r="O1221" s="10"/>
      <c r="P1221" s="10"/>
      <c r="Q1221" s="10"/>
      <c r="R1221" s="10"/>
      <c r="S1221" s="10"/>
      <c r="T1221" s="10"/>
      <c r="U1221" s="10"/>
      <c r="V1221" s="10"/>
    </row>
    <row r="1222" ht="22.5" customHeight="1">
      <c r="A1222" s="5">
        <v>2.03312601651E11</v>
      </c>
      <c r="B1222" s="5" t="s">
        <v>1312</v>
      </c>
      <c r="C1222" s="5">
        <v>51900931268</v>
      </c>
      <c r="D1222" s="5" t="s">
        <v>13</v>
      </c>
      <c r="E1222" s="5">
        <v>8.0566583E7</v>
      </c>
      <c r="F1222" s="5" t="s">
        <v>39</v>
      </c>
      <c r="G1222" s="5" t="s">
        <v>15</v>
      </c>
      <c r="H1222" s="5" t="s">
        <v>51</v>
      </c>
      <c r="I1222" s="6" t="s">
        <v>17</v>
      </c>
      <c r="J1222" s="7" t="s">
        <v>18</v>
      </c>
      <c r="K1222" s="7" t="s">
        <v>19</v>
      </c>
      <c r="L1222" s="8">
        <v>1.771342678452E12</v>
      </c>
      <c r="M1222" s="9"/>
      <c r="N1222" s="10"/>
      <c r="O1222" s="10"/>
      <c r="P1222" s="10"/>
      <c r="Q1222" s="10"/>
      <c r="R1222" s="10"/>
      <c r="S1222" s="10"/>
      <c r="T1222" s="10"/>
      <c r="U1222" s="10"/>
      <c r="V1222" s="10"/>
    </row>
    <row r="1223" ht="22.5" customHeight="1">
      <c r="A1223" s="5">
        <v>2.03312093593E11</v>
      </c>
      <c r="B1223" s="5" t="s">
        <v>1313</v>
      </c>
      <c r="C1223" s="5">
        <v>524444120118</v>
      </c>
      <c r="D1223" s="5" t="s">
        <v>13</v>
      </c>
      <c r="E1223" s="5">
        <v>8.0566583E7</v>
      </c>
      <c r="F1223" s="5" t="s">
        <v>259</v>
      </c>
      <c r="G1223" s="5" t="s">
        <v>15</v>
      </c>
      <c r="H1223" s="5" t="s">
        <v>66</v>
      </c>
      <c r="I1223" s="6" t="s">
        <v>63</v>
      </c>
      <c r="J1223" s="7" t="s">
        <v>18</v>
      </c>
      <c r="K1223" s="7" t="s">
        <v>61</v>
      </c>
      <c r="L1223" s="8">
        <v>1.771342790001E12</v>
      </c>
      <c r="M1223" s="9"/>
      <c r="N1223" s="10"/>
      <c r="O1223" s="10"/>
      <c r="P1223" s="10"/>
      <c r="Q1223" s="10"/>
      <c r="R1223" s="10"/>
      <c r="S1223" s="10"/>
      <c r="T1223" s="10"/>
      <c r="U1223" s="10"/>
      <c r="V1223" s="10"/>
    </row>
    <row r="1224" ht="22.5" customHeight="1">
      <c r="A1224" s="5">
        <v>2.03314000157E11</v>
      </c>
      <c r="B1224" s="5" t="s">
        <v>1314</v>
      </c>
      <c r="C1224" s="5">
        <v>51989658154</v>
      </c>
      <c r="D1224" s="5" t="s">
        <v>13</v>
      </c>
      <c r="E1224" s="5">
        <v>8.7547393E7</v>
      </c>
      <c r="F1224" s="5" t="s">
        <v>82</v>
      </c>
      <c r="G1224" s="5" t="s">
        <v>32</v>
      </c>
      <c r="H1224" s="5" t="s">
        <v>188</v>
      </c>
      <c r="I1224" s="6" t="s">
        <v>17</v>
      </c>
      <c r="J1224" s="7" t="s">
        <v>34</v>
      </c>
      <c r="K1224" s="7"/>
      <c r="L1224" s="8">
        <v>1.771343074094E12</v>
      </c>
      <c r="M1224" s="9"/>
      <c r="N1224" s="10"/>
      <c r="O1224" s="10"/>
      <c r="P1224" s="10"/>
      <c r="Q1224" s="10"/>
      <c r="R1224" s="10"/>
      <c r="S1224" s="10"/>
      <c r="T1224" s="10"/>
      <c r="U1224" s="10"/>
      <c r="V1224" s="10"/>
    </row>
    <row r="1225" ht="22.5" customHeight="1">
      <c r="A1225" s="5">
        <v>2.03321430029E11</v>
      </c>
      <c r="B1225" s="5" t="s">
        <v>1315</v>
      </c>
      <c r="C1225" s="5">
        <v>5511962421386</v>
      </c>
      <c r="D1225" s="5" t="s">
        <v>13</v>
      </c>
      <c r="E1225" s="5">
        <v>7.9360573E7</v>
      </c>
      <c r="F1225" s="5" t="s">
        <v>28</v>
      </c>
      <c r="G1225" s="5" t="s">
        <v>44</v>
      </c>
      <c r="H1225" s="5" t="s">
        <v>24</v>
      </c>
      <c r="I1225" s="6" t="s">
        <v>17</v>
      </c>
      <c r="J1225" s="7" t="s">
        <v>34</v>
      </c>
      <c r="K1225" s="7"/>
      <c r="L1225" s="8">
        <v>1.77134715744E12</v>
      </c>
      <c r="M1225" s="9"/>
      <c r="N1225" s="10"/>
      <c r="O1225" s="10"/>
      <c r="P1225" s="10"/>
      <c r="Q1225" s="10"/>
      <c r="R1225" s="10"/>
      <c r="S1225" s="10"/>
      <c r="T1225" s="10"/>
      <c r="U1225" s="10"/>
      <c r="V1225" s="10"/>
    </row>
    <row r="1226" ht="22.5" customHeight="1">
      <c r="A1226" s="5">
        <v>1.13991089169E11</v>
      </c>
      <c r="B1226" s="5" t="s">
        <v>1316</v>
      </c>
      <c r="C1226" s="5">
        <v>525564214966</v>
      </c>
      <c r="D1226" s="5" t="s">
        <v>13</v>
      </c>
      <c r="E1226" s="5">
        <v>8.0566583E7</v>
      </c>
      <c r="F1226" s="5" t="s">
        <v>259</v>
      </c>
      <c r="G1226" s="5" t="s">
        <v>32</v>
      </c>
      <c r="H1226" s="5" t="s">
        <v>165</v>
      </c>
      <c r="I1226" s="6" t="s">
        <v>17</v>
      </c>
      <c r="J1226" s="7" t="s">
        <v>18</v>
      </c>
      <c r="K1226" s="7" t="s">
        <v>61</v>
      </c>
      <c r="L1226" s="8">
        <v>1.771347948432E12</v>
      </c>
      <c r="M1226" s="9"/>
      <c r="N1226" s="10"/>
      <c r="O1226" s="10"/>
      <c r="P1226" s="10"/>
      <c r="Q1226" s="10"/>
      <c r="R1226" s="10"/>
      <c r="S1226" s="10"/>
      <c r="T1226" s="10"/>
      <c r="U1226" s="10"/>
      <c r="V1226" s="10"/>
    </row>
    <row r="1227" ht="22.5" customHeight="1">
      <c r="A1227" s="5">
        <v>2.03319271273E11</v>
      </c>
      <c r="B1227" s="5" t="s">
        <v>1317</v>
      </c>
      <c r="C1227" s="5">
        <v>5548988558609</v>
      </c>
      <c r="D1227" s="5" t="s">
        <v>13</v>
      </c>
      <c r="E1227" s="5">
        <v>7.9360573E7</v>
      </c>
      <c r="F1227" s="5" t="s">
        <v>28</v>
      </c>
      <c r="G1227" s="5" t="s">
        <v>32</v>
      </c>
      <c r="H1227" s="5" t="s">
        <v>16</v>
      </c>
      <c r="I1227" s="6" t="s">
        <v>17</v>
      </c>
      <c r="J1227" s="7" t="s">
        <v>34</v>
      </c>
      <c r="K1227" s="7"/>
      <c r="L1227" s="8">
        <v>1.771348116013E12</v>
      </c>
      <c r="M1227" s="9"/>
      <c r="N1227" s="10"/>
      <c r="O1227" s="10"/>
      <c r="P1227" s="10"/>
      <c r="Q1227" s="10"/>
      <c r="R1227" s="10"/>
      <c r="S1227" s="10"/>
      <c r="T1227" s="10"/>
      <c r="U1227" s="10"/>
      <c r="V1227" s="10"/>
    </row>
    <row r="1228" ht="22.5" customHeight="1">
      <c r="A1228" s="5">
        <v>2.03322158007E11</v>
      </c>
      <c r="B1228" s="5" t="s">
        <v>1318</v>
      </c>
      <c r="C1228" s="5">
        <v>51977642754</v>
      </c>
      <c r="D1228" s="5" t="s">
        <v>38</v>
      </c>
      <c r="E1228" s="5">
        <v>8.7547393E7</v>
      </c>
      <c r="F1228" s="5" t="s">
        <v>28</v>
      </c>
      <c r="G1228" s="5" t="s">
        <v>32</v>
      </c>
      <c r="H1228" s="5" t="s">
        <v>88</v>
      </c>
      <c r="I1228" s="6" t="s">
        <v>63</v>
      </c>
      <c r="J1228" s="7" t="s">
        <v>34</v>
      </c>
      <c r="K1228" s="7"/>
      <c r="L1228" s="8">
        <v>1.771348181465E12</v>
      </c>
      <c r="M1228" s="9"/>
      <c r="N1228" s="10"/>
      <c r="O1228" s="10"/>
      <c r="P1228" s="10"/>
      <c r="Q1228" s="10"/>
      <c r="R1228" s="10"/>
      <c r="S1228" s="10"/>
      <c r="T1228" s="10"/>
      <c r="U1228" s="10"/>
      <c r="V1228" s="10"/>
    </row>
    <row r="1229" ht="22.5" customHeight="1">
      <c r="A1229" s="5">
        <v>2.03338426544E11</v>
      </c>
      <c r="B1229" s="5" t="s">
        <v>1319</v>
      </c>
      <c r="C1229" s="5">
        <v>51966676750</v>
      </c>
      <c r="D1229" s="5" t="s">
        <v>13</v>
      </c>
      <c r="E1229" s="5">
        <v>8.0566583E7</v>
      </c>
      <c r="F1229" s="5" t="s">
        <v>28</v>
      </c>
      <c r="G1229" s="5" t="s">
        <v>32</v>
      </c>
      <c r="H1229" s="5" t="s">
        <v>66</v>
      </c>
      <c r="I1229" s="6" t="s">
        <v>17</v>
      </c>
      <c r="J1229" s="7" t="s">
        <v>18</v>
      </c>
      <c r="K1229" s="7" t="s">
        <v>19</v>
      </c>
      <c r="L1229" s="8">
        <v>1.771349154372E12</v>
      </c>
      <c r="M1229" s="9"/>
      <c r="N1229" s="10"/>
      <c r="O1229" s="10"/>
      <c r="P1229" s="10"/>
      <c r="Q1229" s="10"/>
      <c r="R1229" s="10"/>
      <c r="S1229" s="10"/>
      <c r="T1229" s="10"/>
      <c r="U1229" s="10"/>
      <c r="V1229" s="10"/>
    </row>
    <row r="1230" ht="22.5" customHeight="1">
      <c r="A1230" s="5">
        <v>2.03338408544E11</v>
      </c>
      <c r="B1230" s="5" t="s">
        <v>1320</v>
      </c>
      <c r="C1230" s="5">
        <v>5521967266410</v>
      </c>
      <c r="D1230" s="5" t="s">
        <v>13</v>
      </c>
      <c r="E1230" s="5">
        <v>7.9360573E7</v>
      </c>
      <c r="F1230" s="5" t="s">
        <v>259</v>
      </c>
      <c r="G1230" s="5" t="s">
        <v>15</v>
      </c>
      <c r="H1230" s="5" t="s">
        <v>51</v>
      </c>
      <c r="I1230" s="6" t="s">
        <v>17</v>
      </c>
      <c r="J1230" s="7" t="s">
        <v>124</v>
      </c>
      <c r="K1230" s="7" t="s">
        <v>125</v>
      </c>
      <c r="L1230" s="8">
        <v>1.771349744213E12</v>
      </c>
      <c r="M1230" s="9"/>
      <c r="N1230" s="10"/>
      <c r="O1230" s="10"/>
      <c r="P1230" s="10"/>
      <c r="Q1230" s="10"/>
      <c r="R1230" s="10"/>
      <c r="S1230" s="10"/>
      <c r="T1230" s="10"/>
      <c r="U1230" s="10"/>
      <c r="V1230" s="10"/>
    </row>
    <row r="1231" ht="22.5" customHeight="1">
      <c r="A1231" s="5">
        <v>2.0334716863E11</v>
      </c>
      <c r="B1231" s="5" t="s">
        <v>1321</v>
      </c>
      <c r="C1231" s="5">
        <v>51973105164</v>
      </c>
      <c r="D1231" s="5" t="s">
        <v>13</v>
      </c>
      <c r="E1231" s="5">
        <v>8.0566583E7</v>
      </c>
      <c r="F1231" s="5" t="s">
        <v>93</v>
      </c>
      <c r="G1231" s="5" t="s">
        <v>15</v>
      </c>
      <c r="H1231" s="5" t="s">
        <v>51</v>
      </c>
      <c r="I1231" s="6" t="s">
        <v>17</v>
      </c>
      <c r="J1231" s="7" t="s">
        <v>18</v>
      </c>
      <c r="K1231" s="7" t="s">
        <v>19</v>
      </c>
      <c r="L1231" s="8">
        <v>1.771353633392E12</v>
      </c>
      <c r="M1231" s="9"/>
      <c r="N1231" s="10"/>
      <c r="O1231" s="10"/>
      <c r="P1231" s="10"/>
      <c r="Q1231" s="10"/>
      <c r="R1231" s="10"/>
      <c r="S1231" s="10"/>
      <c r="T1231" s="10"/>
      <c r="U1231" s="10"/>
      <c r="V1231" s="10"/>
    </row>
    <row r="1232" ht="22.5" customHeight="1">
      <c r="A1232" s="5">
        <v>2.03347572876E11</v>
      </c>
      <c r="B1232" s="5" t="s">
        <v>1322</v>
      </c>
      <c r="C1232" s="5">
        <v>51924156110</v>
      </c>
      <c r="D1232" s="5" t="s">
        <v>13</v>
      </c>
      <c r="E1232" s="5">
        <v>8.7547393E7</v>
      </c>
      <c r="F1232" s="5" t="s">
        <v>259</v>
      </c>
      <c r="G1232" s="5" t="s">
        <v>15</v>
      </c>
      <c r="H1232" s="5" t="s">
        <v>16</v>
      </c>
      <c r="I1232" s="6" t="s">
        <v>17</v>
      </c>
      <c r="J1232" s="7" t="s">
        <v>18</v>
      </c>
      <c r="K1232" s="7" t="s">
        <v>19</v>
      </c>
      <c r="L1232" s="8">
        <v>1.771353868296E12</v>
      </c>
      <c r="M1232" s="9"/>
      <c r="N1232" s="10"/>
      <c r="O1232" s="10"/>
      <c r="P1232" s="10"/>
      <c r="Q1232" s="10"/>
      <c r="R1232" s="10"/>
      <c r="S1232" s="10"/>
      <c r="T1232" s="10"/>
      <c r="U1232" s="10"/>
      <c r="V1232" s="10"/>
    </row>
    <row r="1233" ht="22.5" customHeight="1">
      <c r="A1233" s="5">
        <v>2.02134584662E11</v>
      </c>
      <c r="B1233" s="5" t="s">
        <v>1323</v>
      </c>
      <c r="C1233" s="5">
        <v>5528999818225</v>
      </c>
      <c r="D1233" s="5" t="s">
        <v>22</v>
      </c>
      <c r="E1233" s="5">
        <v>7.9360573E7</v>
      </c>
      <c r="F1233" s="5" t="s">
        <v>28</v>
      </c>
      <c r="G1233" s="5" t="s">
        <v>44</v>
      </c>
      <c r="H1233" s="5" t="s">
        <v>29</v>
      </c>
      <c r="I1233" s="6" t="s">
        <v>17</v>
      </c>
      <c r="J1233" s="7" t="s">
        <v>34</v>
      </c>
      <c r="K1233" s="7"/>
      <c r="L1233" s="8">
        <v>1.771354508439E12</v>
      </c>
      <c r="M1233" s="9"/>
      <c r="N1233" s="10"/>
      <c r="O1233" s="10"/>
      <c r="P1233" s="10"/>
      <c r="Q1233" s="10"/>
      <c r="R1233" s="10"/>
      <c r="S1233" s="10"/>
      <c r="T1233" s="10"/>
      <c r="U1233" s="10"/>
      <c r="V1233" s="10"/>
    </row>
    <row r="1234" ht="22.5" customHeight="1">
      <c r="A1234" s="5">
        <v>2.03346114366E11</v>
      </c>
      <c r="B1234" s="5" t="s">
        <v>1324</v>
      </c>
      <c r="C1234" s="5">
        <v>51927495141</v>
      </c>
      <c r="D1234" s="5" t="s">
        <v>38</v>
      </c>
      <c r="E1234" s="5">
        <v>8.0566583E7</v>
      </c>
      <c r="F1234" s="5" t="s">
        <v>39</v>
      </c>
      <c r="G1234" s="5" t="s">
        <v>15</v>
      </c>
      <c r="H1234" s="5" t="s">
        <v>24</v>
      </c>
      <c r="I1234" s="6" t="s">
        <v>17</v>
      </c>
      <c r="J1234" s="7" t="s">
        <v>25</v>
      </c>
      <c r="K1234" s="7" t="s">
        <v>501</v>
      </c>
      <c r="L1234" s="8">
        <v>1.771354769534E12</v>
      </c>
      <c r="M1234" s="9"/>
      <c r="N1234" s="10"/>
      <c r="O1234" s="10"/>
      <c r="P1234" s="10"/>
      <c r="Q1234" s="10"/>
      <c r="R1234" s="10"/>
      <c r="S1234" s="10"/>
      <c r="T1234" s="10"/>
      <c r="U1234" s="10"/>
      <c r="V1234" s="10"/>
    </row>
    <row r="1235" ht="22.5" customHeight="1">
      <c r="A1235" s="5">
        <v>2.033600592E11</v>
      </c>
      <c r="B1235" s="5" t="s">
        <v>1325</v>
      </c>
      <c r="C1235" s="5">
        <v>51966590009</v>
      </c>
      <c r="D1235" s="5" t="s">
        <v>13</v>
      </c>
      <c r="E1235" s="5">
        <v>8.7547393E7</v>
      </c>
      <c r="F1235" s="5" t="s">
        <v>39</v>
      </c>
      <c r="G1235" s="5" t="s">
        <v>15</v>
      </c>
      <c r="H1235" s="5" t="s">
        <v>16</v>
      </c>
      <c r="I1235" s="6" t="s">
        <v>17</v>
      </c>
      <c r="J1235" s="7" t="s">
        <v>18</v>
      </c>
      <c r="K1235" s="7" t="s">
        <v>19</v>
      </c>
      <c r="L1235" s="8">
        <v>1.771356882796E12</v>
      </c>
      <c r="M1235" s="9"/>
      <c r="N1235" s="10"/>
      <c r="O1235" s="10"/>
      <c r="P1235" s="10"/>
      <c r="Q1235" s="10"/>
      <c r="R1235" s="10"/>
      <c r="S1235" s="10"/>
      <c r="T1235" s="10"/>
      <c r="U1235" s="10"/>
      <c r="V1235" s="10"/>
    </row>
    <row r="1236" ht="22.5" customHeight="1">
      <c r="A1236" s="5">
        <v>2.03359822855E11</v>
      </c>
      <c r="B1236" s="5" t="s">
        <v>1326</v>
      </c>
      <c r="C1236" s="5">
        <v>51989650987</v>
      </c>
      <c r="D1236" s="5" t="s">
        <v>13</v>
      </c>
      <c r="E1236" s="5">
        <v>8.0566583E7</v>
      </c>
      <c r="F1236" s="5" t="s">
        <v>65</v>
      </c>
      <c r="G1236" s="5" t="s">
        <v>15</v>
      </c>
      <c r="H1236" s="5" t="s">
        <v>51</v>
      </c>
      <c r="I1236" s="6" t="s">
        <v>17</v>
      </c>
      <c r="J1236" s="7" t="s">
        <v>18</v>
      </c>
      <c r="K1236" s="7" t="s">
        <v>19</v>
      </c>
      <c r="L1236" s="8">
        <v>1.771357263528E12</v>
      </c>
      <c r="M1236" s="9"/>
      <c r="N1236" s="10"/>
      <c r="O1236" s="10"/>
      <c r="P1236" s="10"/>
      <c r="Q1236" s="10"/>
      <c r="R1236" s="10"/>
      <c r="S1236" s="10"/>
      <c r="T1236" s="10"/>
      <c r="U1236" s="10"/>
      <c r="V1236" s="10"/>
    </row>
    <row r="1237" ht="22.5" customHeight="1">
      <c r="A1237" s="5">
        <v>2.03363381038E11</v>
      </c>
      <c r="B1237" s="5" t="s">
        <v>1327</v>
      </c>
      <c r="C1237" s="5">
        <v>51992531300</v>
      </c>
      <c r="D1237" s="5" t="s">
        <v>38</v>
      </c>
      <c r="E1237" s="5">
        <v>8.7547393E7</v>
      </c>
      <c r="F1237" s="5"/>
      <c r="G1237" s="5"/>
      <c r="H1237" s="5"/>
      <c r="I1237" s="6"/>
      <c r="J1237" s="7" t="s">
        <v>18</v>
      </c>
      <c r="K1237" s="7" t="s">
        <v>19</v>
      </c>
      <c r="L1237" s="8">
        <v>1.771357556913E12</v>
      </c>
      <c r="M1237" s="9"/>
      <c r="N1237" s="10"/>
      <c r="O1237" s="10"/>
      <c r="P1237" s="10"/>
      <c r="Q1237" s="10"/>
      <c r="R1237" s="10"/>
      <c r="S1237" s="10"/>
      <c r="T1237" s="10"/>
      <c r="U1237" s="10"/>
      <c r="V1237" s="10"/>
    </row>
    <row r="1238" ht="22.5" customHeight="1">
      <c r="A1238" s="5">
        <v>1.54702531687E11</v>
      </c>
      <c r="B1238" s="5" t="s">
        <v>1328</v>
      </c>
      <c r="C1238" s="5">
        <v>51991303376</v>
      </c>
      <c r="D1238" s="5" t="s">
        <v>13</v>
      </c>
      <c r="E1238" s="5">
        <v>8.7547393E7</v>
      </c>
      <c r="F1238" s="5" t="s">
        <v>510</v>
      </c>
      <c r="G1238" s="5" t="s">
        <v>32</v>
      </c>
      <c r="H1238" s="5" t="s">
        <v>53</v>
      </c>
      <c r="I1238" s="6" t="s">
        <v>17</v>
      </c>
      <c r="J1238" s="7" t="s">
        <v>18</v>
      </c>
      <c r="K1238" s="7" t="s">
        <v>19</v>
      </c>
      <c r="L1238" s="8">
        <v>1.771361035063E12</v>
      </c>
      <c r="M1238" s="9"/>
      <c r="N1238" s="10"/>
      <c r="O1238" s="10"/>
      <c r="P1238" s="10"/>
      <c r="Q1238" s="10"/>
      <c r="R1238" s="10"/>
      <c r="S1238" s="10"/>
      <c r="T1238" s="10"/>
      <c r="U1238" s="10"/>
      <c r="V1238" s="10"/>
    </row>
    <row r="1239" ht="22.5" customHeight="1">
      <c r="A1239" s="5">
        <v>2.03377503773E11</v>
      </c>
      <c r="B1239" s="5" t="s">
        <v>1329</v>
      </c>
      <c r="C1239" s="5">
        <v>51959155169</v>
      </c>
      <c r="D1239" s="5" t="s">
        <v>13</v>
      </c>
      <c r="E1239" s="5">
        <v>8.0566583E7</v>
      </c>
      <c r="F1239" s="5" t="s">
        <v>65</v>
      </c>
      <c r="G1239" s="5" t="s">
        <v>15</v>
      </c>
      <c r="H1239" s="5" t="s">
        <v>51</v>
      </c>
      <c r="I1239" s="6" t="s">
        <v>17</v>
      </c>
      <c r="J1239" s="7" t="s">
        <v>18</v>
      </c>
      <c r="K1239" s="7" t="s">
        <v>19</v>
      </c>
      <c r="L1239" s="8">
        <v>1.771361044355E12</v>
      </c>
      <c r="M1239" s="9"/>
      <c r="N1239" s="10"/>
      <c r="O1239" s="10"/>
      <c r="P1239" s="10"/>
      <c r="Q1239" s="10"/>
      <c r="R1239" s="10"/>
      <c r="S1239" s="10"/>
      <c r="T1239" s="10"/>
      <c r="U1239" s="10"/>
      <c r="V1239" s="10"/>
    </row>
    <row r="1240" ht="22.5" customHeight="1">
      <c r="A1240" s="5">
        <v>1.13991089169E11</v>
      </c>
      <c r="B1240" s="5" t="s">
        <v>1316</v>
      </c>
      <c r="C1240" s="5">
        <v>525564214966</v>
      </c>
      <c r="D1240" s="5" t="s">
        <v>13</v>
      </c>
      <c r="E1240" s="5">
        <v>8.0566583E7</v>
      </c>
      <c r="F1240" s="5" t="s">
        <v>259</v>
      </c>
      <c r="G1240" s="5" t="s">
        <v>32</v>
      </c>
      <c r="H1240" s="5" t="s">
        <v>165</v>
      </c>
      <c r="I1240" s="6" t="s">
        <v>17</v>
      </c>
      <c r="J1240" s="7" t="s">
        <v>34</v>
      </c>
      <c r="K1240" s="7"/>
      <c r="L1240" s="8">
        <v>1.771361928258E12</v>
      </c>
      <c r="M1240" s="9"/>
      <c r="N1240" s="10"/>
      <c r="O1240" s="10"/>
      <c r="P1240" s="10"/>
      <c r="Q1240" s="10"/>
      <c r="R1240" s="10"/>
      <c r="S1240" s="10"/>
      <c r="T1240" s="10"/>
      <c r="U1240" s="10"/>
      <c r="V1240" s="10"/>
    </row>
    <row r="1241" ht="22.5" customHeight="1">
      <c r="A1241" s="5">
        <v>2.03380864141E11</v>
      </c>
      <c r="B1241" s="5" t="s">
        <v>1330</v>
      </c>
      <c r="C1241" s="5">
        <v>5584987921033</v>
      </c>
      <c r="D1241" s="5" t="s">
        <v>13</v>
      </c>
      <c r="E1241" s="5">
        <v>7.9360573E7</v>
      </c>
      <c r="F1241" s="5" t="s">
        <v>39</v>
      </c>
      <c r="G1241" s="5" t="s">
        <v>15</v>
      </c>
      <c r="H1241" s="5" t="s">
        <v>66</v>
      </c>
      <c r="I1241" s="6" t="s">
        <v>17</v>
      </c>
      <c r="J1241" s="7" t="s">
        <v>58</v>
      </c>
      <c r="K1241" s="11" t="s">
        <v>59</v>
      </c>
      <c r="L1241" s="8">
        <v>1.771362537132E12</v>
      </c>
      <c r="M1241" s="9"/>
      <c r="N1241" s="10"/>
      <c r="O1241" s="10"/>
      <c r="P1241" s="10"/>
      <c r="Q1241" s="10"/>
      <c r="R1241" s="10"/>
      <c r="S1241" s="10"/>
      <c r="T1241" s="10"/>
      <c r="U1241" s="10"/>
      <c r="V1241" s="10"/>
    </row>
    <row r="1242" ht="22.5" customHeight="1">
      <c r="A1242" s="5">
        <v>1.98388149162E11</v>
      </c>
      <c r="B1242" s="5" t="s">
        <v>108</v>
      </c>
      <c r="C1242" s="5">
        <v>51996531907</v>
      </c>
      <c r="D1242" s="5" t="s">
        <v>13</v>
      </c>
      <c r="E1242" s="5"/>
      <c r="F1242" s="5" t="s">
        <v>510</v>
      </c>
      <c r="G1242" s="5" t="s">
        <v>15</v>
      </c>
      <c r="H1242" s="5" t="s">
        <v>66</v>
      </c>
      <c r="I1242" s="6" t="s">
        <v>17</v>
      </c>
      <c r="J1242" s="7" t="s">
        <v>34</v>
      </c>
      <c r="K1242" s="7"/>
      <c r="L1242" s="8">
        <v>1.77136346711E12</v>
      </c>
      <c r="M1242" s="9"/>
      <c r="N1242" s="10"/>
      <c r="O1242" s="10"/>
      <c r="P1242" s="10"/>
      <c r="Q1242" s="10"/>
      <c r="R1242" s="10"/>
      <c r="S1242" s="10"/>
      <c r="T1242" s="10"/>
      <c r="U1242" s="10"/>
      <c r="V1242" s="10"/>
    </row>
    <row r="1243" ht="22.5" customHeight="1">
      <c r="A1243" s="5">
        <v>2.03383046805E11</v>
      </c>
      <c r="B1243" s="5" t="s">
        <v>1331</v>
      </c>
      <c r="C1243" s="5">
        <v>5535991277509</v>
      </c>
      <c r="D1243" s="5" t="s">
        <v>38</v>
      </c>
      <c r="E1243" s="5">
        <v>7.9360573E7</v>
      </c>
      <c r="F1243" s="5"/>
      <c r="G1243" s="5"/>
      <c r="H1243" s="5"/>
      <c r="I1243" s="6"/>
      <c r="J1243" s="7" t="s">
        <v>34</v>
      </c>
      <c r="K1243" s="7"/>
      <c r="L1243" s="8">
        <v>1.771364853678E12</v>
      </c>
      <c r="M1243" s="9"/>
      <c r="N1243" s="10"/>
      <c r="O1243" s="10"/>
      <c r="P1243" s="10"/>
      <c r="Q1243" s="10"/>
      <c r="R1243" s="10"/>
      <c r="S1243" s="10"/>
      <c r="T1243" s="10"/>
      <c r="U1243" s="10"/>
      <c r="V1243" s="10"/>
    </row>
    <row r="1244" ht="22.5" customHeight="1">
      <c r="A1244" s="5">
        <v>2.03386552454E11</v>
      </c>
      <c r="B1244" s="5" t="s">
        <v>1332</v>
      </c>
      <c r="C1244" s="5">
        <v>51993966546</v>
      </c>
      <c r="D1244" s="5" t="s">
        <v>103</v>
      </c>
      <c r="E1244" s="5">
        <v>8.0566583E7</v>
      </c>
      <c r="F1244" s="5" t="s">
        <v>28</v>
      </c>
      <c r="G1244" s="5" t="s">
        <v>79</v>
      </c>
      <c r="H1244" s="5" t="s">
        <v>16</v>
      </c>
      <c r="I1244" s="6" t="s">
        <v>17</v>
      </c>
      <c r="J1244" s="7" t="s">
        <v>18</v>
      </c>
      <c r="K1244" s="7" t="s">
        <v>19</v>
      </c>
      <c r="L1244" s="8">
        <v>1.771365697585E12</v>
      </c>
      <c r="M1244" s="9"/>
      <c r="N1244" s="10"/>
      <c r="O1244" s="10"/>
      <c r="P1244" s="10"/>
      <c r="Q1244" s="10"/>
      <c r="R1244" s="10"/>
      <c r="S1244" s="10"/>
      <c r="T1244" s="10"/>
      <c r="U1244" s="10"/>
      <c r="V1244" s="10"/>
    </row>
    <row r="1245" ht="22.5" customHeight="1">
      <c r="A1245" s="5">
        <v>2.0340371392E11</v>
      </c>
      <c r="B1245" s="5" t="s">
        <v>1333</v>
      </c>
      <c r="C1245" s="5">
        <v>51994076217</v>
      </c>
      <c r="D1245" s="5" t="s">
        <v>13</v>
      </c>
      <c r="E1245" s="5">
        <v>8.7547393E7</v>
      </c>
      <c r="F1245" s="5" t="s">
        <v>28</v>
      </c>
      <c r="G1245" s="5" t="s">
        <v>15</v>
      </c>
      <c r="H1245" s="5" t="s">
        <v>497</v>
      </c>
      <c r="I1245" s="6" t="s">
        <v>36</v>
      </c>
      <c r="J1245" s="7" t="s">
        <v>18</v>
      </c>
      <c r="K1245" s="7" t="s">
        <v>19</v>
      </c>
      <c r="L1245" s="8">
        <v>1.771367248399E12</v>
      </c>
      <c r="M1245" s="9"/>
      <c r="N1245" s="10"/>
      <c r="O1245" s="10"/>
      <c r="P1245" s="10"/>
      <c r="Q1245" s="10"/>
      <c r="R1245" s="10"/>
      <c r="S1245" s="10"/>
      <c r="T1245" s="10"/>
      <c r="U1245" s="10"/>
      <c r="V1245" s="10"/>
    </row>
    <row r="1246" ht="22.5" customHeight="1">
      <c r="A1246" s="5">
        <v>2.03435109241E11</v>
      </c>
      <c r="B1246" s="5" t="s">
        <v>1334</v>
      </c>
      <c r="C1246" s="5">
        <v>51967288800</v>
      </c>
      <c r="D1246" s="5" t="s">
        <v>13</v>
      </c>
      <c r="E1246" s="5">
        <v>8.0566583E7</v>
      </c>
      <c r="F1246" s="5" t="s">
        <v>39</v>
      </c>
      <c r="G1246" s="5" t="s">
        <v>15</v>
      </c>
      <c r="H1246" s="5" t="s">
        <v>16</v>
      </c>
      <c r="I1246" s="6" t="s">
        <v>17</v>
      </c>
      <c r="J1246" s="7" t="s">
        <v>34</v>
      </c>
      <c r="K1246" s="7"/>
      <c r="L1246" s="8">
        <v>1.7713692073E12</v>
      </c>
      <c r="M1246" s="9"/>
      <c r="N1246" s="10"/>
      <c r="O1246" s="10"/>
      <c r="P1246" s="10"/>
      <c r="Q1246" s="10"/>
      <c r="R1246" s="10"/>
      <c r="S1246" s="10"/>
      <c r="T1246" s="10"/>
      <c r="U1246" s="10"/>
      <c r="V1246" s="10"/>
    </row>
    <row r="1247" ht="22.5" customHeight="1">
      <c r="A1247" s="5">
        <v>2.0322013579E11</v>
      </c>
      <c r="B1247" s="5" t="s">
        <v>1335</v>
      </c>
      <c r="C1247" s="5">
        <v>5546988285907</v>
      </c>
      <c r="D1247" s="5" t="s">
        <v>13</v>
      </c>
      <c r="E1247" s="5">
        <v>7.9360573E7</v>
      </c>
      <c r="F1247" s="5" t="s">
        <v>65</v>
      </c>
      <c r="G1247" s="5" t="s">
        <v>15</v>
      </c>
      <c r="H1247" s="5" t="s">
        <v>128</v>
      </c>
      <c r="I1247" s="6" t="s">
        <v>17</v>
      </c>
      <c r="J1247" s="7" t="s">
        <v>34</v>
      </c>
      <c r="K1247" s="7"/>
      <c r="L1247" s="8">
        <v>1.771370772666E12</v>
      </c>
      <c r="M1247" s="9"/>
      <c r="N1247" s="10"/>
      <c r="O1247" s="10"/>
      <c r="P1247" s="10"/>
      <c r="Q1247" s="10"/>
      <c r="R1247" s="10"/>
      <c r="S1247" s="10"/>
      <c r="T1247" s="10"/>
      <c r="U1247" s="10"/>
      <c r="V1247" s="10"/>
    </row>
    <row r="1248" ht="22.5" customHeight="1">
      <c r="A1248" s="5">
        <v>2.03415673354E11</v>
      </c>
      <c r="B1248" s="5" t="s">
        <v>1336</v>
      </c>
      <c r="C1248" s="5">
        <v>51917079583</v>
      </c>
      <c r="D1248" s="5" t="s">
        <v>13</v>
      </c>
      <c r="E1248" s="5">
        <v>8.7547393E7</v>
      </c>
      <c r="F1248" s="5" t="s">
        <v>39</v>
      </c>
      <c r="G1248" s="5" t="s">
        <v>15</v>
      </c>
      <c r="H1248" s="5" t="s">
        <v>16</v>
      </c>
      <c r="I1248" s="6" t="s">
        <v>17</v>
      </c>
      <c r="J1248" s="7" t="s">
        <v>34</v>
      </c>
      <c r="K1248" s="7"/>
      <c r="L1248" s="8">
        <v>1.771377953703E12</v>
      </c>
      <c r="M1248" s="9"/>
      <c r="N1248" s="10"/>
      <c r="O1248" s="10"/>
      <c r="P1248" s="10"/>
      <c r="Q1248" s="10"/>
      <c r="R1248" s="10"/>
      <c r="S1248" s="10"/>
      <c r="T1248" s="10"/>
      <c r="U1248" s="10"/>
      <c r="V1248" s="10"/>
    </row>
    <row r="1249" ht="22.5" customHeight="1">
      <c r="A1249" s="5">
        <v>2.03415134551E11</v>
      </c>
      <c r="B1249" s="5" t="s">
        <v>1337</v>
      </c>
      <c r="C1249" s="5">
        <v>51929288058</v>
      </c>
      <c r="D1249" s="5" t="s">
        <v>38</v>
      </c>
      <c r="E1249" s="5">
        <v>8.0566583E7</v>
      </c>
      <c r="F1249" s="5"/>
      <c r="G1249" s="5"/>
      <c r="H1249" s="5"/>
      <c r="I1249" s="6"/>
      <c r="J1249" s="7" t="s">
        <v>18</v>
      </c>
      <c r="K1249" s="7" t="s">
        <v>19</v>
      </c>
      <c r="L1249" s="8">
        <v>1.771378032945E12</v>
      </c>
      <c r="M1249" s="9"/>
      <c r="N1249" s="10"/>
      <c r="O1249" s="10"/>
      <c r="P1249" s="10"/>
      <c r="Q1249" s="10"/>
      <c r="R1249" s="10"/>
      <c r="S1249" s="10"/>
      <c r="T1249" s="10"/>
      <c r="U1249" s="10"/>
      <c r="V1249" s="10"/>
    </row>
    <row r="1250" ht="22.5" customHeight="1">
      <c r="A1250" s="5">
        <v>1.88876013152E11</v>
      </c>
      <c r="B1250" s="5" t="s">
        <v>1338</v>
      </c>
      <c r="C1250" s="5">
        <v>51949789005</v>
      </c>
      <c r="D1250" s="5" t="s">
        <v>13</v>
      </c>
      <c r="E1250" s="5">
        <v>8.7547393E7</v>
      </c>
      <c r="F1250" s="5" t="s">
        <v>28</v>
      </c>
      <c r="G1250" s="5" t="s">
        <v>32</v>
      </c>
      <c r="H1250" s="5" t="s">
        <v>24</v>
      </c>
      <c r="I1250" s="6" t="s">
        <v>17</v>
      </c>
      <c r="J1250" s="7" t="s">
        <v>34</v>
      </c>
      <c r="K1250" s="7"/>
      <c r="L1250" s="8">
        <v>1.771378292369E12</v>
      </c>
      <c r="M1250" s="9"/>
      <c r="N1250" s="10"/>
      <c r="O1250" s="10"/>
      <c r="P1250" s="10"/>
      <c r="Q1250" s="10"/>
      <c r="R1250" s="10"/>
      <c r="S1250" s="10"/>
      <c r="T1250" s="10"/>
      <c r="U1250" s="10"/>
      <c r="V1250" s="10"/>
    </row>
    <row r="1251" ht="22.5" customHeight="1">
      <c r="A1251" s="5">
        <v>2.03440962355E11</v>
      </c>
      <c r="B1251" s="5" t="s">
        <v>1339</v>
      </c>
      <c r="C1251" s="5">
        <v>51921453405</v>
      </c>
      <c r="D1251" s="5" t="s">
        <v>13</v>
      </c>
      <c r="E1251" s="5">
        <v>8.0566583E7</v>
      </c>
      <c r="F1251" s="5" t="s">
        <v>714</v>
      </c>
      <c r="G1251" s="5" t="s">
        <v>15</v>
      </c>
      <c r="H1251" s="5" t="s">
        <v>86</v>
      </c>
      <c r="I1251" s="6" t="s">
        <v>17</v>
      </c>
      <c r="J1251" s="7" t="s">
        <v>34</v>
      </c>
      <c r="K1251" s="7"/>
      <c r="L1251" s="8">
        <v>1.771378437062E12</v>
      </c>
      <c r="M1251" s="9"/>
      <c r="N1251" s="10"/>
      <c r="O1251" s="10"/>
      <c r="P1251" s="10"/>
      <c r="Q1251" s="10"/>
      <c r="R1251" s="10"/>
      <c r="S1251" s="10"/>
      <c r="T1251" s="10"/>
      <c r="U1251" s="10"/>
      <c r="V1251" s="10"/>
    </row>
    <row r="1252" ht="22.5" customHeight="1">
      <c r="A1252" s="5">
        <v>2.03415875761E11</v>
      </c>
      <c r="B1252" s="5" t="s">
        <v>1340</v>
      </c>
      <c r="C1252" s="5">
        <v>5545999175741</v>
      </c>
      <c r="D1252" s="5" t="s">
        <v>22</v>
      </c>
      <c r="E1252" s="5">
        <v>7.9360573E7</v>
      </c>
      <c r="F1252" s="5" t="s">
        <v>28</v>
      </c>
      <c r="G1252" s="5" t="s">
        <v>32</v>
      </c>
      <c r="H1252" s="5" t="s">
        <v>114</v>
      </c>
      <c r="I1252" s="6" t="s">
        <v>17</v>
      </c>
      <c r="J1252" s="7" t="s">
        <v>34</v>
      </c>
      <c r="K1252" s="7"/>
      <c r="L1252" s="8">
        <v>1.771378765675E12</v>
      </c>
      <c r="M1252" s="9"/>
      <c r="N1252" s="10"/>
      <c r="O1252" s="10"/>
      <c r="P1252" s="10"/>
      <c r="Q1252" s="10"/>
      <c r="R1252" s="10"/>
      <c r="S1252" s="10"/>
      <c r="T1252" s="10"/>
      <c r="U1252" s="10"/>
      <c r="V1252" s="10"/>
    </row>
    <row r="1253" ht="22.5" customHeight="1">
      <c r="A1253" s="5">
        <v>2.03439706201E11</v>
      </c>
      <c r="B1253" s="5" t="s">
        <v>1341</v>
      </c>
      <c r="C1253" s="5">
        <v>5531983364555</v>
      </c>
      <c r="D1253" s="5" t="s">
        <v>13</v>
      </c>
      <c r="E1253" s="5">
        <v>7.9360573E7</v>
      </c>
      <c r="F1253" s="5" t="s">
        <v>28</v>
      </c>
      <c r="G1253" s="5" t="s">
        <v>32</v>
      </c>
      <c r="H1253" s="5" t="s">
        <v>51</v>
      </c>
      <c r="I1253" s="6" t="s">
        <v>17</v>
      </c>
      <c r="J1253" s="7" t="s">
        <v>34</v>
      </c>
      <c r="K1253" s="7"/>
      <c r="L1253" s="8">
        <v>1.771378787954E12</v>
      </c>
      <c r="M1253" s="9"/>
      <c r="N1253" s="10"/>
      <c r="O1253" s="10"/>
      <c r="P1253" s="10"/>
      <c r="Q1253" s="10"/>
      <c r="R1253" s="10"/>
      <c r="S1253" s="10"/>
      <c r="T1253" s="10"/>
      <c r="U1253" s="10"/>
      <c r="V1253" s="10"/>
    </row>
    <row r="1254" ht="22.5" customHeight="1">
      <c r="A1254" s="5">
        <v>1.72712487459E11</v>
      </c>
      <c r="B1254" s="5" t="s">
        <v>1342</v>
      </c>
      <c r="C1254" s="5">
        <v>51998888624</v>
      </c>
      <c r="D1254" s="5" t="s">
        <v>38</v>
      </c>
      <c r="E1254" s="5"/>
      <c r="F1254" s="5"/>
      <c r="G1254" s="5"/>
      <c r="H1254" s="5"/>
      <c r="I1254" s="6"/>
      <c r="J1254" s="7" t="s">
        <v>34</v>
      </c>
      <c r="K1254" s="7"/>
      <c r="L1254" s="8">
        <v>1.771379158411E12</v>
      </c>
      <c r="M1254" s="9"/>
      <c r="N1254" s="10"/>
      <c r="O1254" s="10"/>
      <c r="P1254" s="10"/>
      <c r="Q1254" s="10"/>
      <c r="R1254" s="10"/>
      <c r="S1254" s="10"/>
      <c r="T1254" s="10"/>
      <c r="U1254" s="10"/>
      <c r="V1254" s="10"/>
    </row>
    <row r="1255" ht="22.5" customHeight="1">
      <c r="A1255" s="5">
        <v>2.0344637855E11</v>
      </c>
      <c r="B1255" s="5" t="s">
        <v>1343</v>
      </c>
      <c r="C1255" s="5">
        <v>51986990483</v>
      </c>
      <c r="D1255" s="5" t="s">
        <v>13</v>
      </c>
      <c r="E1255" s="5">
        <v>8.7547393E7</v>
      </c>
      <c r="F1255" s="5" t="s">
        <v>28</v>
      </c>
      <c r="G1255" s="5" t="s">
        <v>15</v>
      </c>
      <c r="H1255" s="5" t="s">
        <v>24</v>
      </c>
      <c r="I1255" s="6" t="s">
        <v>63</v>
      </c>
      <c r="J1255" s="7" t="s">
        <v>34</v>
      </c>
      <c r="K1255" s="7"/>
      <c r="L1255" s="8">
        <v>1.771380408815E12</v>
      </c>
      <c r="M1255" s="9"/>
      <c r="N1255" s="10"/>
      <c r="O1255" s="10"/>
      <c r="P1255" s="10"/>
      <c r="Q1255" s="10"/>
      <c r="R1255" s="10"/>
      <c r="S1255" s="10"/>
      <c r="T1255" s="10"/>
      <c r="U1255" s="10"/>
      <c r="V1255" s="10"/>
    </row>
    <row r="1256" ht="22.5" customHeight="1">
      <c r="A1256" s="5">
        <v>2.03473620039E11</v>
      </c>
      <c r="B1256" s="5" t="s">
        <v>1344</v>
      </c>
      <c r="C1256" s="5">
        <v>51989245003</v>
      </c>
      <c r="D1256" s="5" t="s">
        <v>13</v>
      </c>
      <c r="E1256" s="5">
        <v>8.0566583E7</v>
      </c>
      <c r="F1256" s="5"/>
      <c r="G1256" s="5" t="s">
        <v>15</v>
      </c>
      <c r="H1256" s="5"/>
      <c r="I1256" s="6" t="s">
        <v>17</v>
      </c>
      <c r="J1256" s="7" t="s">
        <v>18</v>
      </c>
      <c r="K1256" s="7" t="s">
        <v>19</v>
      </c>
      <c r="L1256" s="8">
        <v>1.77138041219E12</v>
      </c>
      <c r="M1256" s="9"/>
      <c r="N1256" s="10"/>
      <c r="O1256" s="10"/>
      <c r="P1256" s="10"/>
      <c r="Q1256" s="10"/>
      <c r="R1256" s="10"/>
      <c r="S1256" s="10"/>
      <c r="T1256" s="10"/>
      <c r="U1256" s="10"/>
      <c r="V1256" s="10"/>
    </row>
    <row r="1257" ht="22.5" customHeight="1">
      <c r="A1257" s="5">
        <v>2.03473126047E11</v>
      </c>
      <c r="B1257" s="5" t="s">
        <v>1345</v>
      </c>
      <c r="C1257" s="5">
        <v>51913118092</v>
      </c>
      <c r="D1257" s="5" t="s">
        <v>13</v>
      </c>
      <c r="E1257" s="5">
        <v>8.0566583E7</v>
      </c>
      <c r="F1257" s="5" t="s">
        <v>510</v>
      </c>
      <c r="G1257" s="5" t="s">
        <v>15</v>
      </c>
      <c r="H1257" s="5" t="s">
        <v>55</v>
      </c>
      <c r="I1257" s="6" t="s">
        <v>17</v>
      </c>
      <c r="J1257" s="7" t="s">
        <v>18</v>
      </c>
      <c r="K1257" s="7" t="s">
        <v>19</v>
      </c>
      <c r="L1257" s="8">
        <v>1.771382227743E12</v>
      </c>
      <c r="M1257" s="9"/>
      <c r="N1257" s="10"/>
      <c r="O1257" s="10"/>
      <c r="P1257" s="10"/>
      <c r="Q1257" s="10"/>
      <c r="R1257" s="10"/>
      <c r="S1257" s="10"/>
      <c r="T1257" s="10"/>
      <c r="U1257" s="10"/>
      <c r="V1257" s="10"/>
    </row>
    <row r="1258" ht="22.5" customHeight="1">
      <c r="A1258" s="5">
        <v>2.03461374517E11</v>
      </c>
      <c r="B1258" s="5" t="s">
        <v>1346</v>
      </c>
      <c r="C1258" s="5">
        <v>51904138926</v>
      </c>
      <c r="D1258" s="5" t="s">
        <v>38</v>
      </c>
      <c r="E1258" s="5">
        <v>8.7547393E7</v>
      </c>
      <c r="F1258" s="5"/>
      <c r="G1258" s="5"/>
      <c r="H1258" s="5"/>
      <c r="I1258" s="6"/>
      <c r="J1258" s="7" t="s">
        <v>25</v>
      </c>
      <c r="K1258" s="7"/>
      <c r="L1258" s="8">
        <v>1.77138359858E12</v>
      </c>
      <c r="M1258" s="9"/>
      <c r="N1258" s="10"/>
      <c r="O1258" s="10"/>
      <c r="P1258" s="10"/>
      <c r="Q1258" s="10"/>
      <c r="R1258" s="10"/>
      <c r="S1258" s="10"/>
      <c r="T1258" s="10"/>
      <c r="U1258" s="10"/>
      <c r="V1258" s="10"/>
    </row>
    <row r="1259" ht="22.5" customHeight="1">
      <c r="A1259" s="5">
        <v>2.03488961298E11</v>
      </c>
      <c r="B1259" s="5" t="s">
        <v>1347</v>
      </c>
      <c r="C1259" s="5">
        <v>51935174995</v>
      </c>
      <c r="D1259" s="5" t="s">
        <v>13</v>
      </c>
      <c r="E1259" s="5">
        <v>8.7547393E7</v>
      </c>
      <c r="F1259" s="5" t="s">
        <v>14</v>
      </c>
      <c r="G1259" s="5">
        <v>50</v>
      </c>
      <c r="H1259" s="5" t="s">
        <v>51</v>
      </c>
      <c r="I1259" s="6" t="s">
        <v>17</v>
      </c>
      <c r="J1259" s="7" t="s">
        <v>18</v>
      </c>
      <c r="K1259" s="7" t="s">
        <v>19</v>
      </c>
      <c r="L1259" s="8">
        <v>1.771383946229E12</v>
      </c>
      <c r="M1259" s="9"/>
      <c r="N1259" s="10"/>
      <c r="O1259" s="10"/>
      <c r="P1259" s="10"/>
      <c r="Q1259" s="10"/>
      <c r="R1259" s="10"/>
      <c r="S1259" s="10"/>
      <c r="T1259" s="10"/>
      <c r="U1259" s="10"/>
      <c r="V1259" s="10"/>
    </row>
    <row r="1260" ht="22.5" customHeight="1">
      <c r="A1260" s="5">
        <v>2.03491113866E11</v>
      </c>
      <c r="B1260" s="5" t="s">
        <v>1348</v>
      </c>
      <c r="C1260" s="5">
        <v>5592994410960</v>
      </c>
      <c r="D1260" s="5" t="s">
        <v>13</v>
      </c>
      <c r="E1260" s="5">
        <v>7.9360573E7</v>
      </c>
      <c r="F1260" s="5"/>
      <c r="G1260" s="5" t="s">
        <v>15</v>
      </c>
      <c r="H1260" s="5" t="s">
        <v>66</v>
      </c>
      <c r="I1260" s="6" t="s">
        <v>49</v>
      </c>
      <c r="J1260" s="7" t="s">
        <v>124</v>
      </c>
      <c r="K1260" s="7" t="s">
        <v>1256</v>
      </c>
      <c r="L1260" s="8">
        <v>1.771384500555E12</v>
      </c>
      <c r="M1260" s="9"/>
      <c r="N1260" s="10"/>
      <c r="O1260" s="10"/>
      <c r="P1260" s="10"/>
      <c r="Q1260" s="10"/>
      <c r="R1260" s="10"/>
      <c r="S1260" s="10"/>
      <c r="T1260" s="10"/>
      <c r="U1260" s="10"/>
      <c r="V1260" s="10"/>
    </row>
    <row r="1261" ht="22.5" customHeight="1">
      <c r="A1261" s="5">
        <v>2.03492764538E11</v>
      </c>
      <c r="B1261" s="5" t="s">
        <v>1349</v>
      </c>
      <c r="C1261" s="5">
        <v>524772766929</v>
      </c>
      <c r="D1261" s="5" t="s">
        <v>38</v>
      </c>
      <c r="E1261" s="5">
        <v>8.0566583E7</v>
      </c>
      <c r="F1261" s="5"/>
      <c r="G1261" s="5"/>
      <c r="H1261" s="5"/>
      <c r="I1261" s="6"/>
      <c r="J1261" s="7" t="s">
        <v>25</v>
      </c>
      <c r="K1261" s="7" t="s">
        <v>501</v>
      </c>
      <c r="L1261" s="8">
        <v>1.771386142038E12</v>
      </c>
      <c r="M1261" s="9"/>
      <c r="N1261" s="10"/>
      <c r="O1261" s="10"/>
      <c r="P1261" s="10"/>
      <c r="Q1261" s="10"/>
      <c r="R1261" s="10"/>
      <c r="S1261" s="10"/>
      <c r="T1261" s="10"/>
      <c r="U1261" s="10"/>
      <c r="V1261" s="10"/>
    </row>
    <row r="1262" ht="22.5" customHeight="1">
      <c r="A1262" s="5">
        <v>2.03464452366E11</v>
      </c>
      <c r="B1262" s="5" t="s">
        <v>1350</v>
      </c>
      <c r="C1262" s="5">
        <v>528125616892</v>
      </c>
      <c r="D1262" s="5" t="s">
        <v>13</v>
      </c>
      <c r="E1262" s="5">
        <v>8.7547393E7</v>
      </c>
      <c r="F1262" s="5" t="s">
        <v>65</v>
      </c>
      <c r="G1262" s="5" t="s">
        <v>15</v>
      </c>
      <c r="H1262" s="5" t="s">
        <v>51</v>
      </c>
      <c r="I1262" s="6" t="s">
        <v>89</v>
      </c>
      <c r="J1262" s="7" t="s">
        <v>18</v>
      </c>
      <c r="K1262" s="7" t="s">
        <v>61</v>
      </c>
      <c r="L1262" s="8">
        <v>1.771386362983E12</v>
      </c>
      <c r="M1262" s="9"/>
      <c r="N1262" s="10"/>
      <c r="O1262" s="10"/>
      <c r="P1262" s="10"/>
      <c r="Q1262" s="10"/>
      <c r="R1262" s="10"/>
      <c r="S1262" s="10"/>
      <c r="T1262" s="10"/>
      <c r="U1262" s="10"/>
      <c r="V1262" s="10"/>
    </row>
    <row r="1263" ht="22.5" customHeight="1">
      <c r="A1263" s="5">
        <v>1.72759888263E11</v>
      </c>
      <c r="B1263" s="5" t="s">
        <v>1351</v>
      </c>
      <c r="C1263" s="5">
        <v>51970616960</v>
      </c>
      <c r="D1263" s="5" t="s">
        <v>13</v>
      </c>
      <c r="E1263" s="5">
        <v>8.0566583E7</v>
      </c>
      <c r="F1263" s="5" t="s">
        <v>93</v>
      </c>
      <c r="G1263" s="5" t="s">
        <v>15</v>
      </c>
      <c r="H1263" s="5" t="s">
        <v>16</v>
      </c>
      <c r="I1263" s="6" t="s">
        <v>36</v>
      </c>
      <c r="J1263" s="7" t="s">
        <v>18</v>
      </c>
      <c r="K1263" s="7" t="s">
        <v>19</v>
      </c>
      <c r="L1263" s="8">
        <v>1.771387712432E12</v>
      </c>
      <c r="M1263" s="9"/>
      <c r="N1263" s="10"/>
      <c r="O1263" s="10"/>
      <c r="P1263" s="10"/>
      <c r="Q1263" s="10"/>
      <c r="R1263" s="10"/>
      <c r="S1263" s="10"/>
      <c r="T1263" s="10"/>
      <c r="U1263" s="10"/>
      <c r="V1263" s="10"/>
    </row>
    <row r="1264" ht="22.5" customHeight="1">
      <c r="A1264" s="5">
        <v>2.0346383438E11</v>
      </c>
      <c r="B1264" s="5" t="s">
        <v>1352</v>
      </c>
      <c r="C1264" s="5">
        <v>528181134389</v>
      </c>
      <c r="D1264" s="5" t="s">
        <v>13</v>
      </c>
      <c r="E1264" s="5">
        <v>8.0566583E7</v>
      </c>
      <c r="F1264" s="5" t="s">
        <v>14</v>
      </c>
      <c r="G1264" s="5" t="s">
        <v>15</v>
      </c>
      <c r="H1264" s="5" t="s">
        <v>51</v>
      </c>
      <c r="I1264" s="6" t="s">
        <v>17</v>
      </c>
      <c r="J1264" s="7" t="s">
        <v>18</v>
      </c>
      <c r="K1264" s="7" t="s">
        <v>61</v>
      </c>
      <c r="L1264" s="8">
        <v>1.771388006186E12</v>
      </c>
      <c r="M1264" s="9"/>
      <c r="N1264" s="10"/>
      <c r="O1264" s="10"/>
      <c r="P1264" s="10"/>
      <c r="Q1264" s="10"/>
      <c r="R1264" s="10"/>
      <c r="S1264" s="10"/>
      <c r="T1264" s="10"/>
      <c r="U1264" s="10"/>
      <c r="V1264" s="10"/>
    </row>
    <row r="1265" ht="22.5" customHeight="1">
      <c r="A1265" s="5">
        <v>2.03466239588E11</v>
      </c>
      <c r="B1265" s="5" t="s">
        <v>1353</v>
      </c>
      <c r="C1265" s="5">
        <v>51975187538</v>
      </c>
      <c r="D1265" s="5" t="s">
        <v>13</v>
      </c>
      <c r="E1265" s="5">
        <v>8.7547393E7</v>
      </c>
      <c r="F1265" s="5" t="s">
        <v>65</v>
      </c>
      <c r="G1265" s="5" t="s">
        <v>15</v>
      </c>
      <c r="H1265" s="5" t="s">
        <v>66</v>
      </c>
      <c r="I1265" s="6" t="s">
        <v>17</v>
      </c>
      <c r="J1265" s="7" t="s">
        <v>18</v>
      </c>
      <c r="K1265" s="7" t="s">
        <v>19</v>
      </c>
      <c r="L1265" s="8">
        <v>1.771388282005E12</v>
      </c>
      <c r="M1265" s="9"/>
      <c r="N1265" s="10"/>
      <c r="O1265" s="10"/>
      <c r="P1265" s="10"/>
      <c r="Q1265" s="10"/>
      <c r="R1265" s="10"/>
      <c r="S1265" s="10"/>
      <c r="T1265" s="10"/>
      <c r="U1265" s="10"/>
      <c r="V1265" s="10"/>
    </row>
    <row r="1266" ht="22.5" customHeight="1">
      <c r="A1266" s="5">
        <v>2.03464871246E11</v>
      </c>
      <c r="B1266" s="5" t="s">
        <v>1354</v>
      </c>
      <c r="C1266" s="5">
        <v>5527988499505</v>
      </c>
      <c r="D1266" s="5" t="s">
        <v>13</v>
      </c>
      <c r="E1266" s="5">
        <v>7.9360573E7</v>
      </c>
      <c r="F1266" s="5" t="s">
        <v>28</v>
      </c>
      <c r="G1266" s="5" t="s">
        <v>15</v>
      </c>
      <c r="H1266" s="5" t="s">
        <v>114</v>
      </c>
      <c r="I1266" s="6" t="s">
        <v>17</v>
      </c>
      <c r="J1266" s="7" t="s">
        <v>124</v>
      </c>
      <c r="K1266" s="7" t="s">
        <v>1256</v>
      </c>
      <c r="L1266" s="8">
        <v>1.771388556333E12</v>
      </c>
      <c r="M1266" s="9"/>
      <c r="N1266" s="10"/>
      <c r="O1266" s="10"/>
      <c r="P1266" s="10"/>
      <c r="Q1266" s="10"/>
      <c r="R1266" s="10"/>
      <c r="S1266" s="10"/>
      <c r="T1266" s="10"/>
      <c r="U1266" s="10"/>
      <c r="V1266" s="10"/>
    </row>
    <row r="1267" ht="22.5" customHeight="1">
      <c r="A1267" s="5">
        <v>2.0036001934E11</v>
      </c>
      <c r="B1267" s="5" t="s">
        <v>1355</v>
      </c>
      <c r="C1267" s="5">
        <v>51926149380</v>
      </c>
      <c r="D1267" s="5" t="s">
        <v>13</v>
      </c>
      <c r="E1267" s="5">
        <v>8.7547393E7</v>
      </c>
      <c r="F1267" s="5" t="s">
        <v>39</v>
      </c>
      <c r="G1267" s="5" t="s">
        <v>15</v>
      </c>
      <c r="H1267" s="5" t="s">
        <v>16</v>
      </c>
      <c r="I1267" s="6" t="s">
        <v>17</v>
      </c>
      <c r="J1267" s="7" t="s">
        <v>18</v>
      </c>
      <c r="K1267" s="7" t="s">
        <v>19</v>
      </c>
      <c r="L1267" s="8">
        <v>1.771388877398E12</v>
      </c>
      <c r="M1267" s="9"/>
      <c r="N1267" s="10"/>
      <c r="O1267" s="10"/>
      <c r="P1267" s="10"/>
      <c r="Q1267" s="10"/>
      <c r="R1267" s="10"/>
      <c r="S1267" s="10"/>
      <c r="T1267" s="10"/>
      <c r="U1267" s="10"/>
      <c r="V1267" s="10"/>
    </row>
    <row r="1268" ht="22.5" customHeight="1">
      <c r="A1268" s="5">
        <v>2.03488235912E11</v>
      </c>
      <c r="B1268" s="5" t="s">
        <v>1356</v>
      </c>
      <c r="C1268" s="5">
        <v>522225303528</v>
      </c>
      <c r="D1268" s="5" t="s">
        <v>13</v>
      </c>
      <c r="E1268" s="5">
        <v>8.0566583E7</v>
      </c>
      <c r="F1268" s="5" t="s">
        <v>28</v>
      </c>
      <c r="G1268" s="5" t="s">
        <v>15</v>
      </c>
      <c r="H1268" s="5" t="s">
        <v>51</v>
      </c>
      <c r="I1268" s="6" t="s">
        <v>17</v>
      </c>
      <c r="J1268" s="7" t="s">
        <v>18</v>
      </c>
      <c r="K1268" s="7" t="s">
        <v>61</v>
      </c>
      <c r="L1268" s="8">
        <v>1.771390005799E12</v>
      </c>
      <c r="M1268" s="9"/>
      <c r="N1268" s="10"/>
      <c r="O1268" s="10"/>
      <c r="P1268" s="10"/>
      <c r="Q1268" s="10"/>
      <c r="R1268" s="10"/>
      <c r="S1268" s="10"/>
      <c r="T1268" s="10"/>
      <c r="U1268" s="10"/>
      <c r="V1268" s="10"/>
    </row>
    <row r="1269" ht="22.5" customHeight="1">
      <c r="A1269" s="5">
        <v>2.03487326804E11</v>
      </c>
      <c r="B1269" s="5" t="s">
        <v>1357</v>
      </c>
      <c r="C1269" s="5">
        <v>51963397885</v>
      </c>
      <c r="D1269" s="5" t="s">
        <v>13</v>
      </c>
      <c r="E1269" s="5">
        <v>8.7547393E7</v>
      </c>
      <c r="F1269" s="5" t="s">
        <v>65</v>
      </c>
      <c r="G1269" s="5" t="s">
        <v>32</v>
      </c>
      <c r="H1269" s="5" t="s">
        <v>114</v>
      </c>
      <c r="I1269" s="6" t="s">
        <v>17</v>
      </c>
      <c r="J1269" s="7" t="s">
        <v>25</v>
      </c>
      <c r="K1269" s="7" t="s">
        <v>26</v>
      </c>
      <c r="L1269" s="8">
        <v>1.771390266752E12</v>
      </c>
      <c r="M1269" s="9"/>
      <c r="N1269" s="10"/>
      <c r="O1269" s="10"/>
      <c r="P1269" s="10"/>
      <c r="Q1269" s="10"/>
      <c r="R1269" s="10"/>
      <c r="S1269" s="10"/>
      <c r="T1269" s="10"/>
      <c r="U1269" s="10"/>
      <c r="V1269" s="10"/>
    </row>
    <row r="1270" ht="22.5" customHeight="1">
      <c r="A1270" s="5">
        <v>2.03466738554E11</v>
      </c>
      <c r="B1270" s="5" t="s">
        <v>1358</v>
      </c>
      <c r="C1270" s="5">
        <v>51973715079</v>
      </c>
      <c r="D1270" s="5" t="s">
        <v>38</v>
      </c>
      <c r="E1270" s="5">
        <v>8.7547393E7</v>
      </c>
      <c r="F1270" s="5" t="s">
        <v>14</v>
      </c>
      <c r="G1270" s="5" t="s">
        <v>44</v>
      </c>
      <c r="H1270" s="5" t="s">
        <v>24</v>
      </c>
      <c r="I1270" s="6" t="s">
        <v>36</v>
      </c>
      <c r="J1270" s="7" t="s">
        <v>18</v>
      </c>
      <c r="K1270" s="7" t="s">
        <v>19</v>
      </c>
      <c r="L1270" s="8">
        <v>1.771390938736E12</v>
      </c>
      <c r="M1270" s="9"/>
      <c r="N1270" s="10"/>
      <c r="O1270" s="10"/>
      <c r="P1270" s="10"/>
      <c r="Q1270" s="10"/>
      <c r="R1270" s="10"/>
      <c r="S1270" s="10"/>
      <c r="T1270" s="10"/>
      <c r="U1270" s="10"/>
      <c r="V1270" s="10"/>
    </row>
    <row r="1271" ht="22.5" customHeight="1">
      <c r="A1271" s="5">
        <v>2.03494409626E11</v>
      </c>
      <c r="B1271" s="5" t="s">
        <v>1359</v>
      </c>
      <c r="C1271" s="5">
        <v>51975209876</v>
      </c>
      <c r="D1271" s="5" t="s">
        <v>38</v>
      </c>
      <c r="E1271" s="5">
        <v>8.0566583E7</v>
      </c>
      <c r="F1271" s="5"/>
      <c r="G1271" s="5"/>
      <c r="H1271" s="5"/>
      <c r="I1271" s="6"/>
      <c r="J1271" s="7" t="s">
        <v>18</v>
      </c>
      <c r="K1271" s="7" t="s">
        <v>19</v>
      </c>
      <c r="L1271" s="8">
        <v>1.771391567918E12</v>
      </c>
      <c r="M1271" s="9"/>
      <c r="N1271" s="10"/>
      <c r="O1271" s="10"/>
      <c r="P1271" s="10"/>
      <c r="Q1271" s="10"/>
      <c r="R1271" s="10"/>
      <c r="S1271" s="10"/>
      <c r="T1271" s="10"/>
      <c r="U1271" s="10"/>
      <c r="V1271" s="10"/>
    </row>
    <row r="1272" ht="22.5" customHeight="1">
      <c r="A1272" s="5">
        <v>2.03488915999E11</v>
      </c>
      <c r="B1272" s="5" t="s">
        <v>1360</v>
      </c>
      <c r="C1272" s="5">
        <v>51981281969</v>
      </c>
      <c r="D1272" s="5" t="s">
        <v>13</v>
      </c>
      <c r="E1272" s="5">
        <v>8.0566583E7</v>
      </c>
      <c r="F1272" s="5" t="s">
        <v>28</v>
      </c>
      <c r="G1272" s="5" t="s">
        <v>15</v>
      </c>
      <c r="H1272" s="5" t="s">
        <v>16</v>
      </c>
      <c r="I1272" s="6" t="s">
        <v>17</v>
      </c>
      <c r="J1272" s="7" t="s">
        <v>58</v>
      </c>
      <c r="K1272" s="11" t="s">
        <v>59</v>
      </c>
      <c r="L1272" s="8">
        <v>1.771391527608E12</v>
      </c>
      <c r="M1272" s="9"/>
      <c r="N1272" s="10"/>
      <c r="O1272" s="10"/>
      <c r="P1272" s="10"/>
      <c r="Q1272" s="10"/>
      <c r="R1272" s="10"/>
      <c r="S1272" s="10"/>
      <c r="T1272" s="10"/>
      <c r="U1272" s="10"/>
      <c r="V1272" s="10"/>
    </row>
    <row r="1273" ht="22.5" customHeight="1">
      <c r="A1273" s="5">
        <v>2.03495626161E11</v>
      </c>
      <c r="B1273" s="5" t="s">
        <v>1361</v>
      </c>
      <c r="C1273" s="5">
        <v>529982147433</v>
      </c>
      <c r="D1273" s="5" t="s">
        <v>103</v>
      </c>
      <c r="E1273" s="5">
        <v>8.0566583E7</v>
      </c>
      <c r="F1273" s="5" t="s">
        <v>259</v>
      </c>
      <c r="G1273" s="5" t="s">
        <v>79</v>
      </c>
      <c r="H1273" s="5" t="s">
        <v>24</v>
      </c>
      <c r="I1273" s="6" t="s">
        <v>17</v>
      </c>
      <c r="J1273" s="7" t="s">
        <v>18</v>
      </c>
      <c r="K1273" s="7" t="s">
        <v>61</v>
      </c>
      <c r="L1273" s="8">
        <v>1.771391784282E12</v>
      </c>
      <c r="M1273" s="9"/>
      <c r="N1273" s="10"/>
      <c r="O1273" s="10"/>
      <c r="P1273" s="10"/>
      <c r="Q1273" s="10"/>
      <c r="R1273" s="10"/>
      <c r="S1273" s="10"/>
      <c r="T1273" s="10"/>
      <c r="U1273" s="10"/>
      <c r="V1273" s="10"/>
    </row>
    <row r="1274" ht="22.5" customHeight="1">
      <c r="A1274" s="5">
        <v>1.64091627394E11</v>
      </c>
      <c r="B1274" s="5" t="s">
        <v>1362</v>
      </c>
      <c r="C1274" s="5">
        <v>51959004386</v>
      </c>
      <c r="D1274" s="5" t="s">
        <v>13</v>
      </c>
      <c r="E1274" s="5">
        <v>8.0566583E7</v>
      </c>
      <c r="F1274" s="5" t="s">
        <v>28</v>
      </c>
      <c r="G1274" s="5" t="s">
        <v>15</v>
      </c>
      <c r="H1274" s="5" t="s">
        <v>51</v>
      </c>
      <c r="I1274" s="6"/>
      <c r="J1274" s="7" t="s">
        <v>18</v>
      </c>
      <c r="K1274" s="7" t="s">
        <v>116</v>
      </c>
      <c r="L1274" s="8">
        <v>1.77139215787E12</v>
      </c>
      <c r="M1274" s="9"/>
      <c r="N1274" s="10"/>
      <c r="O1274" s="10"/>
      <c r="P1274" s="10"/>
      <c r="Q1274" s="10"/>
      <c r="R1274" s="10"/>
      <c r="S1274" s="10"/>
      <c r="T1274" s="10"/>
      <c r="U1274" s="10"/>
      <c r="V1274" s="10"/>
    </row>
    <row r="1275" ht="22.5" customHeight="1">
      <c r="A1275" s="5">
        <v>2.03495626161E11</v>
      </c>
      <c r="B1275" s="5" t="s">
        <v>1361</v>
      </c>
      <c r="C1275" s="5">
        <v>529982147433</v>
      </c>
      <c r="D1275" s="5" t="s">
        <v>103</v>
      </c>
      <c r="E1275" s="5">
        <v>8.0566583E7</v>
      </c>
      <c r="F1275" s="5" t="s">
        <v>28</v>
      </c>
      <c r="G1275" s="5" t="s">
        <v>79</v>
      </c>
      <c r="H1275" s="5" t="s">
        <v>24</v>
      </c>
      <c r="I1275" s="6" t="s">
        <v>17</v>
      </c>
      <c r="J1275" s="7" t="s">
        <v>18</v>
      </c>
      <c r="K1275" s="7" t="s">
        <v>61</v>
      </c>
      <c r="L1275" s="8">
        <v>1.771392770487E12</v>
      </c>
      <c r="M1275" s="9"/>
      <c r="N1275" s="10"/>
      <c r="O1275" s="10"/>
      <c r="P1275" s="10"/>
      <c r="Q1275" s="10"/>
      <c r="R1275" s="10"/>
      <c r="S1275" s="10"/>
      <c r="T1275" s="10"/>
      <c r="U1275" s="10"/>
      <c r="V1275" s="10"/>
    </row>
    <row r="1276" ht="22.5" customHeight="1">
      <c r="A1276" s="5">
        <v>2.03494170448E11</v>
      </c>
      <c r="B1276" s="5" t="s">
        <v>1363</v>
      </c>
      <c r="C1276" s="5">
        <v>51912799733</v>
      </c>
      <c r="D1276" s="5" t="s">
        <v>22</v>
      </c>
      <c r="E1276" s="5">
        <v>8.7547393E7</v>
      </c>
      <c r="F1276" s="5" t="s">
        <v>39</v>
      </c>
      <c r="G1276" s="5" t="s">
        <v>44</v>
      </c>
      <c r="H1276" s="5" t="s">
        <v>16</v>
      </c>
      <c r="I1276" s="6" t="s">
        <v>17</v>
      </c>
      <c r="J1276" s="7" t="s">
        <v>58</v>
      </c>
      <c r="K1276" s="11" t="s">
        <v>59</v>
      </c>
      <c r="L1276" s="8">
        <v>1.771392799953E12</v>
      </c>
      <c r="M1276" s="9"/>
      <c r="N1276" s="10"/>
      <c r="O1276" s="10"/>
      <c r="P1276" s="10"/>
      <c r="Q1276" s="10"/>
      <c r="R1276" s="10"/>
      <c r="S1276" s="10"/>
      <c r="T1276" s="10"/>
      <c r="U1276" s="10"/>
      <c r="V1276" s="10"/>
    </row>
    <row r="1277" ht="22.5" customHeight="1">
      <c r="A1277" s="5">
        <v>2.0349599826E11</v>
      </c>
      <c r="B1277" s="5" t="s">
        <v>1364</v>
      </c>
      <c r="C1277" s="5">
        <v>525578060181</v>
      </c>
      <c r="D1277" s="5" t="s">
        <v>13</v>
      </c>
      <c r="E1277" s="5">
        <v>8.0566583E7</v>
      </c>
      <c r="F1277" s="5" t="s">
        <v>28</v>
      </c>
      <c r="G1277" s="5" t="s">
        <v>15</v>
      </c>
      <c r="H1277" s="5" t="s">
        <v>88</v>
      </c>
      <c r="I1277" s="6" t="s">
        <v>17</v>
      </c>
      <c r="J1277" s="7" t="s">
        <v>34</v>
      </c>
      <c r="K1277" s="7"/>
      <c r="L1277" s="8">
        <v>1.771393011926E12</v>
      </c>
      <c r="M1277" s="9"/>
      <c r="N1277" s="10"/>
      <c r="O1277" s="10"/>
      <c r="P1277" s="10"/>
      <c r="Q1277" s="10"/>
      <c r="R1277" s="10"/>
      <c r="S1277" s="10"/>
      <c r="T1277" s="10"/>
      <c r="U1277" s="10"/>
      <c r="V1277" s="10"/>
    </row>
    <row r="1278" ht="22.5" customHeight="1">
      <c r="A1278" s="5">
        <v>1.55062609312E11</v>
      </c>
      <c r="B1278" s="5" t="s">
        <v>1365</v>
      </c>
      <c r="C1278" s="5">
        <v>51923866170</v>
      </c>
      <c r="D1278" s="5" t="s">
        <v>13</v>
      </c>
      <c r="E1278" s="5">
        <v>8.7547393E7</v>
      </c>
      <c r="F1278" s="5" t="s">
        <v>39</v>
      </c>
      <c r="G1278" s="5" t="s">
        <v>32</v>
      </c>
      <c r="H1278" s="5" t="s">
        <v>66</v>
      </c>
      <c r="I1278" s="6" t="s">
        <v>17</v>
      </c>
      <c r="J1278" s="7" t="s">
        <v>18</v>
      </c>
      <c r="K1278" s="7" t="s">
        <v>116</v>
      </c>
      <c r="L1278" s="8">
        <v>1.771393218896E12</v>
      </c>
      <c r="M1278" s="9"/>
      <c r="N1278" s="10"/>
      <c r="O1278" s="10"/>
      <c r="P1278" s="10"/>
      <c r="Q1278" s="10"/>
      <c r="R1278" s="10"/>
      <c r="S1278" s="10"/>
      <c r="T1278" s="10"/>
      <c r="U1278" s="10"/>
      <c r="V1278" s="10"/>
    </row>
    <row r="1279" ht="22.5" customHeight="1">
      <c r="A1279" s="5">
        <v>2.03499539517E11</v>
      </c>
      <c r="B1279" s="5" t="s">
        <v>1366</v>
      </c>
      <c r="C1279" s="5">
        <v>51953253177</v>
      </c>
      <c r="D1279" s="5" t="s">
        <v>22</v>
      </c>
      <c r="E1279" s="5">
        <v>8.7547393E7</v>
      </c>
      <c r="F1279" s="5" t="s">
        <v>714</v>
      </c>
      <c r="G1279" s="5" t="s">
        <v>44</v>
      </c>
      <c r="H1279" s="5" t="s">
        <v>16</v>
      </c>
      <c r="I1279" s="6" t="s">
        <v>17</v>
      </c>
      <c r="J1279" s="7" t="s">
        <v>18</v>
      </c>
      <c r="K1279" s="7" t="s">
        <v>19</v>
      </c>
      <c r="L1279" s="8">
        <v>1.771395862282E12</v>
      </c>
      <c r="M1279" s="9"/>
      <c r="N1279" s="10"/>
      <c r="O1279" s="10"/>
      <c r="P1279" s="10"/>
      <c r="Q1279" s="10"/>
      <c r="R1279" s="10"/>
      <c r="S1279" s="10"/>
      <c r="T1279" s="10"/>
      <c r="U1279" s="10"/>
      <c r="V1279" s="10"/>
    </row>
    <row r="1280" ht="22.5" customHeight="1">
      <c r="A1280" s="5">
        <v>2.03470026286E11</v>
      </c>
      <c r="B1280" s="5" t="s">
        <v>1367</v>
      </c>
      <c r="C1280" s="5">
        <v>526642936886</v>
      </c>
      <c r="D1280" s="5" t="s">
        <v>38</v>
      </c>
      <c r="E1280" s="5">
        <v>8.7547393E7</v>
      </c>
      <c r="F1280" s="5" t="s">
        <v>28</v>
      </c>
      <c r="G1280" s="5" t="s">
        <v>15</v>
      </c>
      <c r="H1280" s="5" t="s">
        <v>100</v>
      </c>
      <c r="I1280" s="6"/>
      <c r="J1280" s="7" t="s">
        <v>34</v>
      </c>
      <c r="K1280" s="7"/>
      <c r="L1280" s="8">
        <v>1.771396376846E12</v>
      </c>
      <c r="M1280" s="9"/>
      <c r="N1280" s="10"/>
      <c r="O1280" s="10"/>
      <c r="P1280" s="10"/>
      <c r="Q1280" s="10"/>
      <c r="R1280" s="10"/>
      <c r="S1280" s="10"/>
      <c r="T1280" s="10"/>
      <c r="U1280" s="10"/>
      <c r="V1280" s="10"/>
    </row>
    <row r="1281" ht="22.5" customHeight="1">
      <c r="A1281" s="5">
        <v>2.03501966005E11</v>
      </c>
      <c r="B1281" s="5" t="s">
        <v>1368</v>
      </c>
      <c r="C1281" s="5">
        <v>51950232601</v>
      </c>
      <c r="D1281" s="5" t="s">
        <v>13</v>
      </c>
      <c r="E1281" s="5">
        <v>8.7547393E7</v>
      </c>
      <c r="F1281" s="5" t="s">
        <v>39</v>
      </c>
      <c r="G1281" s="5" t="s">
        <v>15</v>
      </c>
      <c r="H1281" s="5" t="s">
        <v>24</v>
      </c>
      <c r="I1281" s="6" t="s">
        <v>17</v>
      </c>
      <c r="J1281" s="7" t="s">
        <v>58</v>
      </c>
      <c r="K1281" s="11" t="s">
        <v>59</v>
      </c>
      <c r="L1281" s="8">
        <v>1.771397858441E12</v>
      </c>
      <c r="M1281" s="9"/>
      <c r="N1281" s="10"/>
      <c r="O1281" s="10"/>
      <c r="P1281" s="10"/>
      <c r="Q1281" s="10"/>
      <c r="R1281" s="10"/>
      <c r="S1281" s="10"/>
      <c r="T1281" s="10"/>
      <c r="U1281" s="10"/>
      <c r="V1281" s="10"/>
    </row>
    <row r="1282" ht="22.5" customHeight="1">
      <c r="A1282" s="5">
        <v>2.03528724364E11</v>
      </c>
      <c r="B1282" s="5" t="s">
        <v>1369</v>
      </c>
      <c r="C1282" s="5">
        <v>51961108626</v>
      </c>
      <c r="D1282" s="5" t="s">
        <v>38</v>
      </c>
      <c r="E1282" s="5">
        <v>8.7547393E7</v>
      </c>
      <c r="F1282" s="5"/>
      <c r="G1282" s="5"/>
      <c r="H1282" s="5"/>
      <c r="I1282" s="6"/>
      <c r="J1282" s="7" t="s">
        <v>18</v>
      </c>
      <c r="K1282" s="7" t="s">
        <v>19</v>
      </c>
      <c r="L1282" s="8">
        <v>1.771399013765E12</v>
      </c>
      <c r="M1282" s="9"/>
      <c r="N1282" s="10"/>
      <c r="O1282" s="10"/>
      <c r="P1282" s="10"/>
      <c r="Q1282" s="10"/>
      <c r="R1282" s="10"/>
      <c r="S1282" s="10"/>
      <c r="T1282" s="10"/>
      <c r="U1282" s="10"/>
      <c r="V1282" s="10"/>
    </row>
    <row r="1283" ht="22.5" customHeight="1">
      <c r="A1283" s="5">
        <v>2.03505162344E11</v>
      </c>
      <c r="B1283" s="5" t="s">
        <v>1370</v>
      </c>
      <c r="C1283" s="5">
        <v>51993057264</v>
      </c>
      <c r="D1283" s="5" t="s">
        <v>22</v>
      </c>
      <c r="E1283" s="5">
        <v>8.7547393E7</v>
      </c>
      <c r="F1283" s="5" t="s">
        <v>714</v>
      </c>
      <c r="G1283" s="5" t="s">
        <v>44</v>
      </c>
      <c r="H1283" s="5" t="s">
        <v>16</v>
      </c>
      <c r="I1283" s="6" t="s">
        <v>36</v>
      </c>
      <c r="J1283" s="7" t="s">
        <v>18</v>
      </c>
      <c r="K1283" s="7" t="s">
        <v>19</v>
      </c>
      <c r="L1283" s="8">
        <v>1.771400446895E12</v>
      </c>
      <c r="M1283" s="9"/>
      <c r="N1283" s="10"/>
      <c r="O1283" s="10"/>
      <c r="P1283" s="10"/>
      <c r="Q1283" s="10"/>
      <c r="R1283" s="10"/>
      <c r="S1283" s="10"/>
      <c r="T1283" s="10"/>
      <c r="U1283" s="10"/>
      <c r="V1283" s="10"/>
    </row>
    <row r="1284" ht="22.5" customHeight="1">
      <c r="A1284" s="5">
        <v>2.03532617296E11</v>
      </c>
      <c r="B1284" s="5" t="s">
        <v>1371</v>
      </c>
      <c r="C1284" s="5">
        <v>528132706676</v>
      </c>
      <c r="D1284" s="5" t="s">
        <v>13</v>
      </c>
      <c r="E1284" s="5">
        <v>8.7547393E7</v>
      </c>
      <c r="F1284" s="5" t="s">
        <v>28</v>
      </c>
      <c r="G1284" s="5" t="s">
        <v>15</v>
      </c>
      <c r="H1284" s="5" t="s">
        <v>16</v>
      </c>
      <c r="I1284" s="6" t="s">
        <v>17</v>
      </c>
      <c r="J1284" s="7" t="s">
        <v>18</v>
      </c>
      <c r="K1284" s="7" t="s">
        <v>61</v>
      </c>
      <c r="L1284" s="8">
        <v>1.771405328632E12</v>
      </c>
      <c r="M1284" s="9"/>
      <c r="N1284" s="10"/>
      <c r="O1284" s="10"/>
      <c r="P1284" s="10"/>
      <c r="Q1284" s="10"/>
      <c r="R1284" s="10"/>
      <c r="S1284" s="10"/>
      <c r="T1284" s="10"/>
      <c r="U1284" s="10"/>
      <c r="V1284" s="10"/>
    </row>
    <row r="1285" ht="22.5" customHeight="1">
      <c r="A1285" s="5">
        <v>2.03512132242E11</v>
      </c>
      <c r="B1285" s="5" t="s">
        <v>1372</v>
      </c>
      <c r="C1285" s="5">
        <v>51904220747</v>
      </c>
      <c r="D1285" s="5" t="s">
        <v>13</v>
      </c>
      <c r="E1285" s="5">
        <v>8.7547393E7</v>
      </c>
      <c r="F1285" s="5" t="s">
        <v>510</v>
      </c>
      <c r="G1285" s="5" t="s">
        <v>15</v>
      </c>
      <c r="H1285" s="5" t="s">
        <v>66</v>
      </c>
      <c r="I1285" s="6" t="s">
        <v>17</v>
      </c>
      <c r="J1285" s="7" t="s">
        <v>18</v>
      </c>
      <c r="K1285" s="7" t="s">
        <v>19</v>
      </c>
      <c r="L1285" s="8">
        <v>1.771409478327E12</v>
      </c>
      <c r="M1285" s="9"/>
      <c r="N1285" s="10"/>
      <c r="O1285" s="10"/>
      <c r="P1285" s="10"/>
      <c r="Q1285" s="10"/>
      <c r="R1285" s="10"/>
      <c r="S1285" s="10"/>
      <c r="T1285" s="10"/>
      <c r="U1285" s="10"/>
      <c r="V1285" s="10"/>
    </row>
    <row r="1286" ht="22.5" customHeight="1">
      <c r="A1286" s="5">
        <v>2.03512479576E11</v>
      </c>
      <c r="B1286" s="5" t="s">
        <v>1373</v>
      </c>
      <c r="C1286" s="5">
        <v>5598983002222</v>
      </c>
      <c r="D1286" s="5" t="s">
        <v>13</v>
      </c>
      <c r="E1286" s="5">
        <v>7.9360573E7</v>
      </c>
      <c r="F1286" s="5" t="s">
        <v>93</v>
      </c>
      <c r="G1286" s="5" t="s">
        <v>15</v>
      </c>
      <c r="H1286" s="5" t="s">
        <v>114</v>
      </c>
      <c r="I1286" s="6" t="s">
        <v>17</v>
      </c>
      <c r="J1286" s="7" t="s">
        <v>34</v>
      </c>
      <c r="K1286" s="7"/>
      <c r="L1286" s="8">
        <v>1.771409596079E12</v>
      </c>
      <c r="M1286" s="9"/>
      <c r="N1286" s="10"/>
      <c r="O1286" s="10"/>
      <c r="P1286" s="10"/>
      <c r="Q1286" s="10"/>
      <c r="R1286" s="10"/>
      <c r="S1286" s="10"/>
      <c r="T1286" s="10"/>
      <c r="U1286" s="10"/>
      <c r="V1286" s="10"/>
    </row>
    <row r="1287" ht="22.5" customHeight="1">
      <c r="A1287" s="5">
        <v>2.03539611712E11</v>
      </c>
      <c r="B1287" s="5" t="s">
        <v>1374</v>
      </c>
      <c r="C1287" s="5">
        <v>51926281575</v>
      </c>
      <c r="D1287" s="5" t="s">
        <v>13</v>
      </c>
      <c r="E1287" s="5">
        <v>8.7547393E7</v>
      </c>
      <c r="F1287" s="5" t="s">
        <v>28</v>
      </c>
      <c r="G1287" s="5" t="s">
        <v>15</v>
      </c>
      <c r="H1287" s="5" t="s">
        <v>69</v>
      </c>
      <c r="I1287" s="6"/>
      <c r="J1287" s="7" t="s">
        <v>18</v>
      </c>
      <c r="K1287" s="7" t="s">
        <v>19</v>
      </c>
      <c r="L1287" s="8">
        <v>1.7714107054E12</v>
      </c>
      <c r="M1287" s="9"/>
      <c r="N1287" s="10"/>
      <c r="O1287" s="10"/>
      <c r="P1287" s="10"/>
      <c r="Q1287" s="10"/>
      <c r="R1287" s="10"/>
      <c r="S1287" s="10"/>
      <c r="T1287" s="10"/>
      <c r="U1287" s="10"/>
      <c r="V1287" s="10"/>
    </row>
    <row r="1288" ht="22.5" customHeight="1">
      <c r="A1288" s="5">
        <v>2.03538344071E11</v>
      </c>
      <c r="B1288" s="5" t="s">
        <v>1375</v>
      </c>
      <c r="C1288" s="5">
        <v>526649101823</v>
      </c>
      <c r="D1288" s="5" t="s">
        <v>13</v>
      </c>
      <c r="E1288" s="5">
        <v>8.7547393E7</v>
      </c>
      <c r="F1288" s="5"/>
      <c r="G1288" s="5" t="s">
        <v>15</v>
      </c>
      <c r="H1288" s="5" t="s">
        <v>66</v>
      </c>
      <c r="I1288" s="6" t="s">
        <v>17</v>
      </c>
      <c r="J1288" s="7" t="s">
        <v>18</v>
      </c>
      <c r="K1288" s="7" t="s">
        <v>61</v>
      </c>
      <c r="L1288" s="8">
        <v>1.771410953895E12</v>
      </c>
      <c r="M1288" s="9"/>
      <c r="N1288" s="10"/>
      <c r="O1288" s="10"/>
      <c r="P1288" s="10"/>
      <c r="Q1288" s="10"/>
      <c r="R1288" s="10"/>
      <c r="S1288" s="10"/>
      <c r="T1288" s="10"/>
      <c r="U1288" s="10"/>
      <c r="V1288" s="10"/>
    </row>
    <row r="1289" ht="22.5" customHeight="1">
      <c r="A1289" s="5">
        <v>2.03557664947E11</v>
      </c>
      <c r="B1289" s="5" t="s">
        <v>1376</v>
      </c>
      <c r="C1289" s="5">
        <v>51918409002</v>
      </c>
      <c r="D1289" s="5" t="s">
        <v>13</v>
      </c>
      <c r="E1289" s="5">
        <v>8.0566583E7</v>
      </c>
      <c r="F1289" s="5" t="s">
        <v>259</v>
      </c>
      <c r="G1289" s="5"/>
      <c r="H1289" s="5" t="s">
        <v>51</v>
      </c>
      <c r="I1289" s="6" t="s">
        <v>17</v>
      </c>
      <c r="J1289" s="7" t="s">
        <v>18</v>
      </c>
      <c r="K1289" s="7" t="s">
        <v>19</v>
      </c>
      <c r="L1289" s="8">
        <v>1.771413180157E12</v>
      </c>
      <c r="M1289" s="9"/>
      <c r="N1289" s="10"/>
      <c r="O1289" s="10"/>
      <c r="P1289" s="10"/>
      <c r="Q1289" s="10"/>
      <c r="R1289" s="10"/>
      <c r="S1289" s="10"/>
      <c r="T1289" s="10"/>
      <c r="U1289" s="10"/>
      <c r="V1289" s="10"/>
    </row>
    <row r="1290" ht="22.5" customHeight="1">
      <c r="A1290" s="5">
        <v>2.03539611712E11</v>
      </c>
      <c r="B1290" s="5" t="s">
        <v>1374</v>
      </c>
      <c r="C1290" s="5">
        <v>51926281575</v>
      </c>
      <c r="D1290" s="5" t="s">
        <v>13</v>
      </c>
      <c r="E1290" s="5">
        <v>8.7547393E7</v>
      </c>
      <c r="F1290" s="5" t="s">
        <v>28</v>
      </c>
      <c r="G1290" s="5" t="s">
        <v>15</v>
      </c>
      <c r="H1290" s="5" t="s">
        <v>69</v>
      </c>
      <c r="I1290" s="6"/>
      <c r="J1290" s="7" t="s">
        <v>34</v>
      </c>
      <c r="K1290" s="7"/>
      <c r="L1290" s="8">
        <v>1.77141336142E12</v>
      </c>
      <c r="M1290" s="9"/>
      <c r="N1290" s="10"/>
      <c r="O1290" s="10"/>
      <c r="P1290" s="10"/>
      <c r="Q1290" s="10"/>
      <c r="R1290" s="10"/>
      <c r="S1290" s="10"/>
      <c r="T1290" s="10"/>
      <c r="U1290" s="10"/>
      <c r="V1290" s="10"/>
    </row>
    <row r="1291" ht="22.5" customHeight="1">
      <c r="A1291" s="5">
        <v>2.0356086464E11</v>
      </c>
      <c r="B1291" s="5" t="s">
        <v>1377</v>
      </c>
      <c r="C1291" s="5">
        <v>51907994838</v>
      </c>
      <c r="D1291" s="5" t="s">
        <v>22</v>
      </c>
      <c r="E1291" s="5">
        <v>8.7547393E7</v>
      </c>
      <c r="F1291" s="5" t="s">
        <v>65</v>
      </c>
      <c r="G1291" s="5" t="s">
        <v>44</v>
      </c>
      <c r="H1291" s="5" t="s">
        <v>16</v>
      </c>
      <c r="I1291" s="6" t="s">
        <v>17</v>
      </c>
      <c r="J1291" s="7" t="s">
        <v>18</v>
      </c>
      <c r="K1291" s="7" t="s">
        <v>19</v>
      </c>
      <c r="L1291" s="8">
        <v>1.771415495505E12</v>
      </c>
      <c r="M1291" s="9"/>
      <c r="N1291" s="10"/>
      <c r="O1291" s="10"/>
      <c r="P1291" s="10"/>
      <c r="Q1291" s="10"/>
      <c r="R1291" s="10"/>
      <c r="S1291" s="10"/>
      <c r="T1291" s="10"/>
      <c r="U1291" s="10"/>
      <c r="V1291" s="10"/>
    </row>
    <row r="1292" ht="22.5" customHeight="1">
      <c r="A1292" s="5">
        <v>2.03574931266E11</v>
      </c>
      <c r="B1292" s="5" t="s">
        <v>1378</v>
      </c>
      <c r="C1292" s="5">
        <v>51974448385</v>
      </c>
      <c r="D1292" s="5" t="s">
        <v>13</v>
      </c>
      <c r="E1292" s="5">
        <v>8.0566583E7</v>
      </c>
      <c r="F1292" s="5" t="s">
        <v>259</v>
      </c>
      <c r="G1292" s="5" t="s">
        <v>15</v>
      </c>
      <c r="H1292" s="5" t="s">
        <v>51</v>
      </c>
      <c r="I1292" s="6" t="s">
        <v>63</v>
      </c>
      <c r="J1292" s="7" t="s">
        <v>18</v>
      </c>
      <c r="K1292" s="7" t="s">
        <v>19</v>
      </c>
      <c r="L1292" s="8">
        <v>1.771416428648E12</v>
      </c>
      <c r="M1292" s="9"/>
      <c r="N1292" s="10"/>
      <c r="O1292" s="10"/>
      <c r="P1292" s="10"/>
      <c r="Q1292" s="10"/>
      <c r="R1292" s="10"/>
      <c r="S1292" s="10"/>
      <c r="T1292" s="10"/>
      <c r="U1292" s="10"/>
      <c r="V1292" s="10"/>
    </row>
    <row r="1293" ht="22.5" customHeight="1">
      <c r="A1293" s="5">
        <v>2.0356984255E11</v>
      </c>
      <c r="B1293" s="5" t="s">
        <v>1379</v>
      </c>
      <c r="C1293" s="5">
        <v>5599984987667</v>
      </c>
      <c r="D1293" s="5" t="s">
        <v>38</v>
      </c>
      <c r="E1293" s="5">
        <v>7.9360573E7</v>
      </c>
      <c r="F1293" s="5"/>
      <c r="G1293" s="5"/>
      <c r="H1293" s="5"/>
      <c r="I1293" s="6"/>
      <c r="J1293" s="7" t="s">
        <v>34</v>
      </c>
      <c r="K1293" s="7"/>
      <c r="L1293" s="8">
        <v>1.771416699931E12</v>
      </c>
      <c r="M1293" s="9"/>
      <c r="N1293" s="10"/>
      <c r="O1293" s="10"/>
      <c r="P1293" s="10"/>
      <c r="Q1293" s="10"/>
      <c r="R1293" s="10"/>
      <c r="S1293" s="10"/>
      <c r="T1293" s="10"/>
      <c r="U1293" s="10"/>
      <c r="V1293" s="10"/>
    </row>
    <row r="1294" ht="22.5" customHeight="1">
      <c r="A1294" s="5">
        <v>2.03568035095E11</v>
      </c>
      <c r="B1294" s="5" t="s">
        <v>1380</v>
      </c>
      <c r="C1294" s="5">
        <v>51951001896</v>
      </c>
      <c r="D1294" s="5" t="s">
        <v>38</v>
      </c>
      <c r="E1294" s="5">
        <v>8.7547393E7</v>
      </c>
      <c r="F1294" s="5"/>
      <c r="G1294" s="5"/>
      <c r="H1294" s="5"/>
      <c r="I1294" s="6"/>
      <c r="J1294" s="7" t="s">
        <v>18</v>
      </c>
      <c r="K1294" s="7" t="s">
        <v>19</v>
      </c>
      <c r="L1294" s="8">
        <v>1.771416861679E12</v>
      </c>
      <c r="M1294" s="9"/>
      <c r="N1294" s="10"/>
      <c r="O1294" s="10"/>
      <c r="P1294" s="10"/>
      <c r="Q1294" s="10"/>
      <c r="R1294" s="10"/>
      <c r="S1294" s="10"/>
      <c r="T1294" s="10"/>
      <c r="U1294" s="10"/>
      <c r="V1294" s="10"/>
    </row>
    <row r="1295" ht="22.5" customHeight="1">
      <c r="A1295" s="5">
        <v>2.03572256383E11</v>
      </c>
      <c r="B1295" s="5" t="s">
        <v>1381</v>
      </c>
      <c r="C1295" s="5">
        <v>51980816700</v>
      </c>
      <c r="D1295" s="5" t="s">
        <v>13</v>
      </c>
      <c r="E1295" s="5">
        <v>8.0566583E7</v>
      </c>
      <c r="F1295" s="5" t="s">
        <v>28</v>
      </c>
      <c r="G1295" s="5" t="s">
        <v>32</v>
      </c>
      <c r="H1295" s="5" t="s">
        <v>51</v>
      </c>
      <c r="I1295" s="6" t="s">
        <v>17</v>
      </c>
      <c r="J1295" s="7" t="s">
        <v>18</v>
      </c>
      <c r="K1295" s="7" t="s">
        <v>19</v>
      </c>
      <c r="L1295" s="8">
        <v>1.771417394593E12</v>
      </c>
      <c r="M1295" s="9"/>
      <c r="N1295" s="10"/>
      <c r="O1295" s="10"/>
      <c r="P1295" s="10"/>
      <c r="Q1295" s="10"/>
      <c r="R1295" s="10"/>
      <c r="S1295" s="10"/>
      <c r="T1295" s="10"/>
      <c r="U1295" s="10"/>
      <c r="V1295" s="10"/>
    </row>
    <row r="1296" ht="22.5" customHeight="1">
      <c r="A1296" s="5">
        <v>2.03577930626E11</v>
      </c>
      <c r="B1296" s="5" t="s">
        <v>1382</v>
      </c>
      <c r="C1296" s="5">
        <v>51946149935</v>
      </c>
      <c r="D1296" s="5" t="s">
        <v>13</v>
      </c>
      <c r="E1296" s="5">
        <v>8.0566583E7</v>
      </c>
      <c r="F1296" s="5" t="s">
        <v>28</v>
      </c>
      <c r="G1296" s="5" t="s">
        <v>32</v>
      </c>
      <c r="H1296" s="5" t="s">
        <v>16</v>
      </c>
      <c r="I1296" s="6" t="s">
        <v>17</v>
      </c>
      <c r="J1296" s="7" t="s">
        <v>58</v>
      </c>
      <c r="K1296" s="11" t="s">
        <v>59</v>
      </c>
      <c r="L1296" s="8">
        <v>1.771419064662E12</v>
      </c>
      <c r="M1296" s="9"/>
      <c r="N1296" s="10"/>
      <c r="O1296" s="10"/>
      <c r="P1296" s="10"/>
      <c r="Q1296" s="10"/>
      <c r="R1296" s="10"/>
      <c r="S1296" s="10"/>
      <c r="T1296" s="10"/>
      <c r="U1296" s="10"/>
      <c r="V1296" s="10"/>
    </row>
    <row r="1297" ht="22.5" customHeight="1">
      <c r="A1297" s="5">
        <v>2.03577334191E11</v>
      </c>
      <c r="B1297" s="5" t="s">
        <v>1383</v>
      </c>
      <c r="C1297" s="5">
        <v>5599991206521</v>
      </c>
      <c r="D1297" s="5" t="s">
        <v>38</v>
      </c>
      <c r="E1297" s="5">
        <v>7.9360573E7</v>
      </c>
      <c r="F1297" s="5"/>
      <c r="G1297" s="5"/>
      <c r="H1297" s="5"/>
      <c r="I1297" s="6"/>
      <c r="J1297" s="7" t="s">
        <v>34</v>
      </c>
      <c r="K1297" s="7"/>
      <c r="L1297" s="8">
        <v>1.771419949952E12</v>
      </c>
      <c r="M1297" s="9"/>
      <c r="N1297" s="10"/>
      <c r="O1297" s="10"/>
      <c r="P1297" s="10"/>
      <c r="Q1297" s="10"/>
      <c r="R1297" s="10"/>
      <c r="S1297" s="10"/>
      <c r="T1297" s="10"/>
      <c r="U1297" s="10"/>
      <c r="V1297" s="10"/>
    </row>
    <row r="1298" ht="22.5" customHeight="1">
      <c r="A1298" s="5">
        <v>1.4433648784E11</v>
      </c>
      <c r="B1298" s="5" t="s">
        <v>1384</v>
      </c>
      <c r="C1298" s="5">
        <v>51988478800</v>
      </c>
      <c r="D1298" s="5" t="s">
        <v>22</v>
      </c>
      <c r="E1298" s="5">
        <v>8.0566583E7</v>
      </c>
      <c r="F1298" s="5" t="s">
        <v>42</v>
      </c>
      <c r="G1298" s="5" t="s">
        <v>32</v>
      </c>
      <c r="H1298" s="5" t="s">
        <v>33</v>
      </c>
      <c r="I1298" s="6" t="s">
        <v>89</v>
      </c>
      <c r="J1298" s="7" t="s">
        <v>25</v>
      </c>
      <c r="K1298" s="7"/>
      <c r="L1298" s="8">
        <v>1.771421020646E12</v>
      </c>
      <c r="M1298" s="9"/>
      <c r="N1298" s="10"/>
      <c r="O1298" s="10"/>
      <c r="P1298" s="10"/>
      <c r="Q1298" s="10"/>
      <c r="R1298" s="10"/>
      <c r="S1298" s="10"/>
      <c r="T1298" s="10"/>
      <c r="U1298" s="10"/>
      <c r="V1298" s="10"/>
    </row>
    <row r="1299" ht="22.5" customHeight="1">
      <c r="A1299" s="5">
        <v>1.86695645576E11</v>
      </c>
      <c r="B1299" s="5" t="s">
        <v>1385</v>
      </c>
      <c r="C1299" s="5">
        <v>51933006487</v>
      </c>
      <c r="D1299" s="5" t="s">
        <v>38</v>
      </c>
      <c r="E1299" s="5">
        <v>8.0566583E7</v>
      </c>
      <c r="F1299" s="5" t="s">
        <v>510</v>
      </c>
      <c r="G1299" s="5" t="s">
        <v>15</v>
      </c>
      <c r="H1299" s="5" t="s">
        <v>66</v>
      </c>
      <c r="I1299" s="6" t="s">
        <v>63</v>
      </c>
      <c r="J1299" s="7" t="s">
        <v>18</v>
      </c>
      <c r="K1299" s="7" t="s">
        <v>19</v>
      </c>
      <c r="L1299" s="8">
        <v>1.771421086205E12</v>
      </c>
      <c r="M1299" s="9"/>
      <c r="N1299" s="10"/>
      <c r="O1299" s="10"/>
      <c r="P1299" s="10"/>
      <c r="Q1299" s="10"/>
      <c r="R1299" s="10"/>
      <c r="S1299" s="10"/>
      <c r="T1299" s="10"/>
      <c r="U1299" s="10"/>
      <c r="V1299" s="10"/>
    </row>
    <row r="1300" ht="22.5" customHeight="1">
      <c r="A1300" s="5">
        <v>2.03582180141E11</v>
      </c>
      <c r="B1300" s="5" t="s">
        <v>1386</v>
      </c>
      <c r="C1300" s="5">
        <v>51930208207</v>
      </c>
      <c r="D1300" s="5" t="s">
        <v>13</v>
      </c>
      <c r="E1300" s="5">
        <v>8.7547393E7</v>
      </c>
      <c r="F1300" s="5" t="s">
        <v>28</v>
      </c>
      <c r="G1300" s="5" t="s">
        <v>15</v>
      </c>
      <c r="H1300" s="5" t="s">
        <v>16</v>
      </c>
      <c r="I1300" s="6" t="s">
        <v>17</v>
      </c>
      <c r="J1300" s="7" t="s">
        <v>18</v>
      </c>
      <c r="K1300" s="7" t="s">
        <v>19</v>
      </c>
      <c r="L1300" s="8">
        <v>1.771422046224E12</v>
      </c>
      <c r="M1300" s="9"/>
      <c r="N1300" s="10"/>
      <c r="O1300" s="10"/>
      <c r="P1300" s="10"/>
      <c r="Q1300" s="10"/>
      <c r="R1300" s="10"/>
      <c r="S1300" s="10"/>
      <c r="T1300" s="10"/>
      <c r="U1300" s="10"/>
      <c r="V1300" s="10"/>
    </row>
    <row r="1301" ht="22.5" customHeight="1">
      <c r="A1301" s="5">
        <v>1.78518790924E11</v>
      </c>
      <c r="B1301" s="5" t="s">
        <v>1387</v>
      </c>
      <c r="C1301" s="5">
        <v>51904378846</v>
      </c>
      <c r="D1301" s="5" t="s">
        <v>22</v>
      </c>
      <c r="E1301" s="5">
        <v>8.7547393E7</v>
      </c>
      <c r="F1301" s="5" t="s">
        <v>714</v>
      </c>
      <c r="G1301" s="5" t="s">
        <v>44</v>
      </c>
      <c r="H1301" s="5" t="s">
        <v>16</v>
      </c>
      <c r="I1301" s="6" t="s">
        <v>17</v>
      </c>
      <c r="J1301" s="7" t="s">
        <v>18</v>
      </c>
      <c r="K1301" s="7" t="s">
        <v>19</v>
      </c>
      <c r="L1301" s="8">
        <v>1.771422312148E12</v>
      </c>
      <c r="M1301" s="9"/>
      <c r="N1301" s="10"/>
      <c r="O1301" s="10"/>
      <c r="P1301" s="10"/>
      <c r="Q1301" s="10"/>
      <c r="R1301" s="10"/>
      <c r="S1301" s="10"/>
      <c r="T1301" s="10"/>
      <c r="U1301" s="10"/>
      <c r="V1301" s="10"/>
    </row>
    <row r="1302" ht="22.5" customHeight="1">
      <c r="A1302" s="5">
        <v>2.03606896821E11</v>
      </c>
      <c r="B1302" s="5" t="s">
        <v>1388</v>
      </c>
      <c r="C1302" s="5">
        <v>51974198180</v>
      </c>
      <c r="D1302" s="5" t="s">
        <v>13</v>
      </c>
      <c r="E1302" s="5">
        <v>8.0566583E7</v>
      </c>
      <c r="F1302" s="5" t="s">
        <v>65</v>
      </c>
      <c r="G1302" s="5" t="s">
        <v>15</v>
      </c>
      <c r="H1302" s="5" t="s">
        <v>51</v>
      </c>
      <c r="I1302" s="6" t="s">
        <v>17</v>
      </c>
      <c r="J1302" s="7" t="s">
        <v>34</v>
      </c>
      <c r="K1302" s="7"/>
      <c r="L1302" s="8">
        <v>1.771425223288E12</v>
      </c>
      <c r="M1302" s="9"/>
      <c r="N1302" s="10"/>
      <c r="O1302" s="10"/>
      <c r="P1302" s="10"/>
      <c r="Q1302" s="10"/>
      <c r="R1302" s="10"/>
      <c r="S1302" s="10"/>
      <c r="T1302" s="10"/>
      <c r="U1302" s="10"/>
      <c r="V1302" s="10"/>
    </row>
    <row r="1303" ht="22.5" customHeight="1">
      <c r="A1303" s="5">
        <v>2.03619402668E11</v>
      </c>
      <c r="B1303" s="5" t="s">
        <v>1389</v>
      </c>
      <c r="C1303" s="5">
        <v>51954167802</v>
      </c>
      <c r="D1303" s="5" t="s">
        <v>13</v>
      </c>
      <c r="E1303" s="5">
        <v>8.7547393E7</v>
      </c>
      <c r="F1303" s="5" t="s">
        <v>28</v>
      </c>
      <c r="G1303" s="5" t="s">
        <v>44</v>
      </c>
      <c r="H1303" s="5" t="s">
        <v>33</v>
      </c>
      <c r="I1303" s="6" t="s">
        <v>36</v>
      </c>
      <c r="J1303" s="7" t="s">
        <v>34</v>
      </c>
      <c r="K1303" s="7"/>
      <c r="L1303" s="8">
        <v>1.771427005307E12</v>
      </c>
      <c r="M1303" s="9"/>
      <c r="N1303" s="10"/>
      <c r="O1303" s="10"/>
      <c r="P1303" s="10"/>
      <c r="Q1303" s="10"/>
      <c r="R1303" s="10"/>
      <c r="S1303" s="10"/>
      <c r="T1303" s="10"/>
      <c r="U1303" s="10"/>
      <c r="V1303" s="10"/>
    </row>
    <row r="1304" ht="22.5" customHeight="1">
      <c r="A1304" s="5">
        <v>2.03637599796E11</v>
      </c>
      <c r="B1304" s="5" t="s">
        <v>1390</v>
      </c>
      <c r="C1304" s="5">
        <v>51951667416</v>
      </c>
      <c r="D1304" s="5" t="s">
        <v>38</v>
      </c>
      <c r="E1304" s="5">
        <v>8.0566583E7</v>
      </c>
      <c r="F1304" s="5"/>
      <c r="G1304" s="5"/>
      <c r="H1304" s="5"/>
      <c r="I1304" s="6"/>
      <c r="J1304" s="7" t="s">
        <v>34</v>
      </c>
      <c r="K1304" s="7"/>
      <c r="L1304" s="8">
        <v>1.771429100356E12</v>
      </c>
      <c r="M1304" s="9"/>
      <c r="N1304" s="10"/>
      <c r="O1304" s="10"/>
      <c r="P1304" s="10"/>
      <c r="Q1304" s="10"/>
      <c r="R1304" s="10"/>
      <c r="S1304" s="10"/>
      <c r="T1304" s="10"/>
      <c r="U1304" s="10"/>
      <c r="V1304" s="10"/>
    </row>
    <row r="1305" ht="22.5" customHeight="1">
      <c r="A1305" s="5">
        <v>1.8576010351E11</v>
      </c>
      <c r="B1305" s="5" t="s">
        <v>1391</v>
      </c>
      <c r="C1305" s="5">
        <v>51917908775</v>
      </c>
      <c r="D1305" s="5" t="s">
        <v>13</v>
      </c>
      <c r="E1305" s="5">
        <v>8.7547393E7</v>
      </c>
      <c r="F1305" s="5" t="s">
        <v>93</v>
      </c>
      <c r="G1305" s="5" t="s">
        <v>15</v>
      </c>
      <c r="H1305" s="5" t="s">
        <v>16</v>
      </c>
      <c r="I1305" s="6" t="s">
        <v>49</v>
      </c>
      <c r="J1305" s="7" t="s">
        <v>177</v>
      </c>
      <c r="K1305" s="7" t="s">
        <v>36</v>
      </c>
      <c r="L1305" s="8">
        <v>1.77142920242E12</v>
      </c>
      <c r="M1305" s="9"/>
      <c r="N1305" s="10"/>
      <c r="O1305" s="10"/>
      <c r="P1305" s="10"/>
      <c r="Q1305" s="10"/>
      <c r="R1305" s="10"/>
      <c r="S1305" s="10"/>
      <c r="T1305" s="10"/>
      <c r="U1305" s="10"/>
      <c r="V1305" s="10"/>
    </row>
    <row r="1306" ht="22.5" customHeight="1">
      <c r="A1306" s="5">
        <v>2.03641370265E11</v>
      </c>
      <c r="B1306" s="5" t="s">
        <v>1392</v>
      </c>
      <c r="C1306" s="5">
        <v>5533988775857</v>
      </c>
      <c r="D1306" s="5" t="s">
        <v>13</v>
      </c>
      <c r="E1306" s="5">
        <v>7.9360573E7</v>
      </c>
      <c r="F1306" s="5" t="s">
        <v>39</v>
      </c>
      <c r="G1306" s="5" t="s">
        <v>15</v>
      </c>
      <c r="H1306" s="5" t="s">
        <v>51</v>
      </c>
      <c r="I1306" s="6" t="s">
        <v>17</v>
      </c>
      <c r="J1306" s="7" t="s">
        <v>34</v>
      </c>
      <c r="K1306" s="7"/>
      <c r="L1306" s="8">
        <v>1.771430945077E12</v>
      </c>
      <c r="M1306" s="9"/>
      <c r="N1306" s="10"/>
      <c r="O1306" s="10"/>
      <c r="P1306" s="10"/>
      <c r="Q1306" s="10"/>
      <c r="R1306" s="10"/>
      <c r="S1306" s="10"/>
      <c r="T1306" s="10"/>
      <c r="U1306" s="10"/>
      <c r="V1306" s="10"/>
    </row>
    <row r="1307" ht="22.5" customHeight="1">
      <c r="A1307" s="5">
        <v>2.03635375682E11</v>
      </c>
      <c r="B1307" s="5" t="s">
        <v>1393</v>
      </c>
      <c r="C1307" s="5">
        <v>51990511198</v>
      </c>
      <c r="D1307" s="5" t="s">
        <v>13</v>
      </c>
      <c r="E1307" s="5">
        <v>8.7547393E7</v>
      </c>
      <c r="F1307" s="5" t="s">
        <v>14</v>
      </c>
      <c r="G1307" s="5" t="s">
        <v>15</v>
      </c>
      <c r="H1307" s="5" t="s">
        <v>24</v>
      </c>
      <c r="I1307" s="6" t="s">
        <v>17</v>
      </c>
      <c r="J1307" s="7" t="s">
        <v>18</v>
      </c>
      <c r="K1307" s="7" t="s">
        <v>19</v>
      </c>
      <c r="L1307" s="8">
        <v>1.771431445037E12</v>
      </c>
      <c r="M1307" s="9"/>
      <c r="N1307" s="10"/>
      <c r="O1307" s="10"/>
      <c r="P1307" s="10"/>
      <c r="Q1307" s="10"/>
      <c r="R1307" s="10"/>
      <c r="S1307" s="10"/>
      <c r="T1307" s="10"/>
      <c r="U1307" s="10"/>
      <c r="V1307" s="10"/>
    </row>
    <row r="1308" ht="22.5" customHeight="1">
      <c r="A1308" s="5">
        <v>7.0946082629E10</v>
      </c>
      <c r="B1308" s="5" t="s">
        <v>1394</v>
      </c>
      <c r="C1308" s="5">
        <v>51941718745</v>
      </c>
      <c r="D1308" s="5"/>
      <c r="E1308" s="5"/>
      <c r="F1308" s="5" t="s">
        <v>259</v>
      </c>
      <c r="G1308" s="5" t="s">
        <v>32</v>
      </c>
      <c r="H1308" s="5" t="s">
        <v>24</v>
      </c>
      <c r="I1308" s="6" t="s">
        <v>17</v>
      </c>
      <c r="J1308" s="7" t="s">
        <v>124</v>
      </c>
      <c r="K1308" s="7" t="s">
        <v>125</v>
      </c>
      <c r="L1308" s="8">
        <v>1.771435356458E12</v>
      </c>
      <c r="M1308" s="9"/>
      <c r="N1308" s="10"/>
      <c r="O1308" s="10"/>
      <c r="P1308" s="10"/>
      <c r="Q1308" s="10"/>
      <c r="R1308" s="10"/>
      <c r="S1308" s="10"/>
      <c r="T1308" s="10"/>
      <c r="U1308" s="10"/>
      <c r="V1308" s="10"/>
    </row>
    <row r="1309" ht="22.5" customHeight="1">
      <c r="A1309" s="5">
        <v>2.0366910087E11</v>
      </c>
      <c r="B1309" s="5" t="s">
        <v>1395</v>
      </c>
      <c r="C1309" s="5">
        <v>51933106850</v>
      </c>
      <c r="D1309" s="5" t="s">
        <v>13</v>
      </c>
      <c r="E1309" s="5">
        <v>8.7547393E7</v>
      </c>
      <c r="F1309" s="5" t="s">
        <v>259</v>
      </c>
      <c r="G1309" s="5" t="s">
        <v>32</v>
      </c>
      <c r="H1309" s="5"/>
      <c r="I1309" s="6" t="s">
        <v>17</v>
      </c>
      <c r="J1309" s="7" t="s">
        <v>18</v>
      </c>
      <c r="K1309" s="7" t="s">
        <v>19</v>
      </c>
      <c r="L1309" s="8">
        <v>1.77143819551E12</v>
      </c>
      <c r="M1309" s="9"/>
      <c r="N1309" s="10"/>
      <c r="O1309" s="10"/>
      <c r="P1309" s="10"/>
      <c r="Q1309" s="10"/>
      <c r="R1309" s="10"/>
      <c r="S1309" s="10"/>
      <c r="T1309" s="10"/>
      <c r="U1309" s="10"/>
      <c r="V1309" s="10"/>
    </row>
    <row r="1310" ht="22.5" customHeight="1">
      <c r="A1310" s="5">
        <v>2.03671638129E11</v>
      </c>
      <c r="B1310" s="5" t="s">
        <v>1396</v>
      </c>
      <c r="C1310" s="5">
        <v>527711567152</v>
      </c>
      <c r="D1310" s="5" t="s">
        <v>13</v>
      </c>
      <c r="E1310" s="5">
        <v>8.7547393E7</v>
      </c>
      <c r="F1310" s="5" t="s">
        <v>39</v>
      </c>
      <c r="G1310" s="5" t="s">
        <v>15</v>
      </c>
      <c r="H1310" s="5" t="s">
        <v>66</v>
      </c>
      <c r="I1310" s="6" t="s">
        <v>17</v>
      </c>
      <c r="J1310" s="7" t="s">
        <v>18</v>
      </c>
      <c r="K1310" s="7" t="s">
        <v>61</v>
      </c>
      <c r="L1310" s="8">
        <v>1.771439542437E12</v>
      </c>
      <c r="M1310" s="9"/>
      <c r="N1310" s="10"/>
      <c r="O1310" s="10"/>
      <c r="P1310" s="10"/>
      <c r="Q1310" s="10"/>
      <c r="R1310" s="10"/>
      <c r="S1310" s="10"/>
      <c r="T1310" s="10"/>
      <c r="U1310" s="10"/>
      <c r="V1310" s="10"/>
    </row>
    <row r="1311" ht="22.5" customHeight="1">
      <c r="A1311" s="5">
        <v>2.03670416506E11</v>
      </c>
      <c r="B1311" s="5" t="s">
        <v>1397</v>
      </c>
      <c r="C1311" s="5">
        <v>51932536687</v>
      </c>
      <c r="D1311" s="5" t="s">
        <v>13</v>
      </c>
      <c r="E1311" s="5">
        <v>8.0566583E7</v>
      </c>
      <c r="F1311" s="5" t="s">
        <v>28</v>
      </c>
      <c r="G1311" s="5" t="s">
        <v>15</v>
      </c>
      <c r="H1311" s="5" t="s">
        <v>86</v>
      </c>
      <c r="I1311" s="6" t="s">
        <v>17</v>
      </c>
      <c r="J1311" s="7" t="s">
        <v>34</v>
      </c>
      <c r="K1311" s="7"/>
      <c r="L1311" s="8">
        <v>1.77143968562E12</v>
      </c>
      <c r="M1311" s="9"/>
      <c r="N1311" s="10"/>
      <c r="O1311" s="10"/>
      <c r="P1311" s="10"/>
      <c r="Q1311" s="10"/>
      <c r="R1311" s="10"/>
      <c r="S1311" s="10"/>
      <c r="T1311" s="10"/>
      <c r="U1311" s="10"/>
      <c r="V1311" s="10"/>
    </row>
    <row r="1312" ht="22.5" customHeight="1">
      <c r="A1312" s="5">
        <v>2.03662105152E11</v>
      </c>
      <c r="B1312" s="5" t="s">
        <v>1398</v>
      </c>
      <c r="C1312" s="5">
        <v>34600766782</v>
      </c>
      <c r="D1312" s="5" t="s">
        <v>13</v>
      </c>
      <c r="E1312" s="5">
        <v>8.7547393E7</v>
      </c>
      <c r="F1312" s="5" t="s">
        <v>39</v>
      </c>
      <c r="G1312" s="5" t="s">
        <v>15</v>
      </c>
      <c r="H1312" s="5" t="s">
        <v>51</v>
      </c>
      <c r="I1312" s="6" t="s">
        <v>17</v>
      </c>
      <c r="J1312" s="7" t="s">
        <v>18</v>
      </c>
      <c r="K1312" s="7" t="s">
        <v>19</v>
      </c>
      <c r="L1312" s="8">
        <v>1.771439769619E12</v>
      </c>
      <c r="M1312" s="9"/>
      <c r="N1312" s="10"/>
      <c r="O1312" s="10"/>
      <c r="P1312" s="10"/>
      <c r="Q1312" s="10"/>
      <c r="R1312" s="10"/>
      <c r="S1312" s="10"/>
      <c r="T1312" s="10"/>
      <c r="U1312" s="10"/>
      <c r="V1312" s="10"/>
    </row>
    <row r="1313" ht="22.5" customHeight="1">
      <c r="A1313" s="5">
        <v>2.03673406297E11</v>
      </c>
      <c r="B1313" s="5" t="s">
        <v>1399</v>
      </c>
      <c r="C1313" s="5">
        <v>51977405924</v>
      </c>
      <c r="D1313" s="5" t="s">
        <v>13</v>
      </c>
      <c r="E1313" s="5">
        <v>8.0566583E7</v>
      </c>
      <c r="F1313" s="5" t="s">
        <v>14</v>
      </c>
      <c r="G1313" s="5" t="s">
        <v>15</v>
      </c>
      <c r="H1313" s="5" t="s">
        <v>16</v>
      </c>
      <c r="I1313" s="6" t="s">
        <v>17</v>
      </c>
      <c r="J1313" s="7" t="s">
        <v>25</v>
      </c>
      <c r="K1313" s="7" t="s">
        <v>26</v>
      </c>
      <c r="L1313" s="8">
        <v>1.771441178214E12</v>
      </c>
      <c r="M1313" s="9"/>
      <c r="N1313" s="10"/>
      <c r="O1313" s="10"/>
      <c r="P1313" s="10"/>
      <c r="Q1313" s="10"/>
      <c r="R1313" s="10"/>
      <c r="S1313" s="10"/>
      <c r="T1313" s="10"/>
      <c r="U1313" s="10"/>
      <c r="V1313" s="10"/>
    </row>
    <row r="1314" ht="22.5" customHeight="1">
      <c r="A1314" s="5">
        <v>2.03679812735E11</v>
      </c>
      <c r="B1314" s="5" t="s">
        <v>1400</v>
      </c>
      <c r="C1314" s="5">
        <v>51973174112</v>
      </c>
      <c r="D1314" s="5" t="s">
        <v>13</v>
      </c>
      <c r="E1314" s="5">
        <v>8.0566583E7</v>
      </c>
      <c r="F1314" s="5" t="s">
        <v>93</v>
      </c>
      <c r="G1314" s="5" t="s">
        <v>15</v>
      </c>
      <c r="H1314" s="5" t="s">
        <v>24</v>
      </c>
      <c r="I1314" s="6" t="s">
        <v>17</v>
      </c>
      <c r="J1314" s="7" t="s">
        <v>124</v>
      </c>
      <c r="K1314" s="7" t="s">
        <v>125</v>
      </c>
      <c r="L1314" s="8">
        <v>1.771442164995E12</v>
      </c>
      <c r="M1314" s="9"/>
      <c r="N1314" s="10"/>
      <c r="O1314" s="10"/>
      <c r="P1314" s="10"/>
      <c r="Q1314" s="10"/>
      <c r="R1314" s="10"/>
      <c r="S1314" s="10"/>
      <c r="T1314" s="10"/>
      <c r="U1314" s="10"/>
      <c r="V1314" s="10"/>
    </row>
    <row r="1315" ht="22.5" customHeight="1">
      <c r="A1315" s="5">
        <v>2.03678909798E11</v>
      </c>
      <c r="B1315" s="5" t="s">
        <v>1401</v>
      </c>
      <c r="C1315" s="5">
        <v>5511984030311</v>
      </c>
      <c r="D1315" s="5" t="s">
        <v>22</v>
      </c>
      <c r="E1315" s="5">
        <v>7.9360573E7</v>
      </c>
      <c r="F1315" s="5" t="s">
        <v>510</v>
      </c>
      <c r="G1315" s="5" t="s">
        <v>79</v>
      </c>
      <c r="H1315" s="5" t="s">
        <v>16</v>
      </c>
      <c r="I1315" s="6" t="s">
        <v>17</v>
      </c>
      <c r="J1315" s="7" t="s">
        <v>34</v>
      </c>
      <c r="K1315" s="7"/>
      <c r="L1315" s="8">
        <v>1.771444160247E12</v>
      </c>
      <c r="M1315" s="9"/>
      <c r="N1315" s="10"/>
      <c r="O1315" s="10"/>
      <c r="P1315" s="10"/>
      <c r="Q1315" s="10"/>
      <c r="R1315" s="10"/>
      <c r="S1315" s="10"/>
      <c r="T1315" s="10"/>
      <c r="U1315" s="10"/>
      <c r="V1315" s="10"/>
    </row>
    <row r="1316" ht="22.5" customHeight="1">
      <c r="A1316" s="5">
        <v>2.02727406163E11</v>
      </c>
      <c r="B1316" s="5" t="s">
        <v>1402</v>
      </c>
      <c r="C1316" s="5">
        <v>51997833608</v>
      </c>
      <c r="D1316" s="5" t="s">
        <v>38</v>
      </c>
      <c r="E1316" s="5">
        <v>8.7547393E7</v>
      </c>
      <c r="F1316" s="5" t="s">
        <v>28</v>
      </c>
      <c r="G1316" s="5" t="s">
        <v>15</v>
      </c>
      <c r="H1316" s="5" t="s">
        <v>583</v>
      </c>
      <c r="I1316" s="6" t="s">
        <v>17</v>
      </c>
      <c r="J1316" s="7" t="s">
        <v>34</v>
      </c>
      <c r="K1316" s="7"/>
      <c r="L1316" s="8">
        <v>1.771445819931E12</v>
      </c>
      <c r="M1316" s="9"/>
      <c r="N1316" s="10"/>
      <c r="O1316" s="10"/>
      <c r="P1316" s="10"/>
      <c r="Q1316" s="10"/>
      <c r="R1316" s="10"/>
      <c r="S1316" s="10"/>
      <c r="T1316" s="10"/>
      <c r="U1316" s="10"/>
      <c r="V1316" s="10"/>
    </row>
    <row r="1317" ht="22.5" customHeight="1">
      <c r="A1317" s="5">
        <v>2.03698937245E11</v>
      </c>
      <c r="B1317" s="5" t="s">
        <v>1403</v>
      </c>
      <c r="C1317" s="5">
        <v>51929017446</v>
      </c>
      <c r="D1317" s="5" t="s">
        <v>103</v>
      </c>
      <c r="E1317" s="5">
        <v>8.0566583E7</v>
      </c>
      <c r="F1317" s="5" t="s">
        <v>28</v>
      </c>
      <c r="G1317" s="5" t="s">
        <v>104</v>
      </c>
      <c r="H1317" s="5" t="s">
        <v>16</v>
      </c>
      <c r="I1317" s="6" t="s">
        <v>17</v>
      </c>
      <c r="J1317" s="7" t="s">
        <v>34</v>
      </c>
      <c r="K1317" s="7"/>
      <c r="L1317" s="8">
        <v>1.771446587336E12</v>
      </c>
      <c r="M1317" s="9"/>
      <c r="N1317" s="10"/>
      <c r="O1317" s="10"/>
      <c r="P1317" s="10"/>
      <c r="Q1317" s="10"/>
      <c r="R1317" s="10"/>
      <c r="S1317" s="10"/>
      <c r="T1317" s="10"/>
      <c r="U1317" s="10"/>
      <c r="V1317" s="10"/>
    </row>
    <row r="1318" ht="22.5" customHeight="1">
      <c r="A1318" s="5">
        <v>2.03688106116E11</v>
      </c>
      <c r="B1318" s="5" t="s">
        <v>1404</v>
      </c>
      <c r="C1318" s="5">
        <v>51910083794</v>
      </c>
      <c r="D1318" s="5" t="s">
        <v>13</v>
      </c>
      <c r="E1318" s="5">
        <v>8.7547393E7</v>
      </c>
      <c r="F1318" s="5" t="s">
        <v>39</v>
      </c>
      <c r="G1318" s="5" t="s">
        <v>15</v>
      </c>
      <c r="H1318" s="5" t="s">
        <v>51</v>
      </c>
      <c r="I1318" s="6" t="s">
        <v>148</v>
      </c>
      <c r="J1318" s="7" t="s">
        <v>18</v>
      </c>
      <c r="K1318" s="7" t="s">
        <v>19</v>
      </c>
      <c r="L1318" s="8">
        <v>1.771446966344E12</v>
      </c>
      <c r="M1318" s="9"/>
      <c r="N1318" s="10"/>
      <c r="O1318" s="10"/>
      <c r="P1318" s="10"/>
      <c r="Q1318" s="10"/>
      <c r="R1318" s="10"/>
      <c r="S1318" s="10"/>
      <c r="T1318" s="10"/>
      <c r="U1318" s="10"/>
      <c r="V1318" s="10"/>
    </row>
    <row r="1319" ht="22.5" customHeight="1">
      <c r="A1319" s="5">
        <v>2.03696901812E11</v>
      </c>
      <c r="B1319" s="5" t="s">
        <v>1405</v>
      </c>
      <c r="C1319" s="5">
        <v>525549398538</v>
      </c>
      <c r="D1319" s="5" t="s">
        <v>13</v>
      </c>
      <c r="E1319" s="5">
        <v>8.0566583E7</v>
      </c>
      <c r="F1319" s="5" t="s">
        <v>65</v>
      </c>
      <c r="G1319" s="5" t="s">
        <v>15</v>
      </c>
      <c r="H1319" s="5" t="s">
        <v>24</v>
      </c>
      <c r="I1319" s="6" t="s">
        <v>17</v>
      </c>
      <c r="J1319" s="7" t="s">
        <v>18</v>
      </c>
      <c r="K1319" s="7" t="s">
        <v>61</v>
      </c>
      <c r="L1319" s="8">
        <v>1.771448041597E12</v>
      </c>
      <c r="M1319" s="9"/>
      <c r="N1319" s="10"/>
      <c r="O1319" s="10"/>
      <c r="P1319" s="10"/>
      <c r="Q1319" s="10"/>
      <c r="R1319" s="10"/>
      <c r="S1319" s="10"/>
      <c r="T1319" s="10"/>
      <c r="U1319" s="10"/>
      <c r="V1319" s="10"/>
    </row>
    <row r="1320" ht="22.5" customHeight="1">
      <c r="A1320" s="5">
        <v>2.0370115602E11</v>
      </c>
      <c r="B1320" s="5" t="s">
        <v>1406</v>
      </c>
      <c r="C1320" s="5">
        <v>524891255322</v>
      </c>
      <c r="D1320" s="5" t="s">
        <v>13</v>
      </c>
      <c r="E1320" s="5">
        <v>8.0566583E7</v>
      </c>
      <c r="F1320" s="5" t="s">
        <v>93</v>
      </c>
      <c r="G1320" s="5" t="s">
        <v>15</v>
      </c>
      <c r="H1320" s="5" t="s">
        <v>16</v>
      </c>
      <c r="I1320" s="6" t="s">
        <v>17</v>
      </c>
      <c r="J1320" s="7" t="s">
        <v>18</v>
      </c>
      <c r="K1320" s="7" t="s">
        <v>61</v>
      </c>
      <c r="L1320" s="8">
        <v>1.771448279462E12</v>
      </c>
      <c r="M1320" s="9"/>
      <c r="N1320" s="10"/>
      <c r="O1320" s="10"/>
      <c r="P1320" s="10"/>
      <c r="Q1320" s="10"/>
      <c r="R1320" s="10"/>
      <c r="S1320" s="10"/>
      <c r="T1320" s="10"/>
      <c r="U1320" s="10"/>
      <c r="V1320" s="10"/>
    </row>
    <row r="1321" ht="22.5" customHeight="1">
      <c r="A1321" s="5">
        <v>2.03693482576E11</v>
      </c>
      <c r="B1321" s="5" t="s">
        <v>1407</v>
      </c>
      <c r="C1321" s="5">
        <v>5531990861043</v>
      </c>
      <c r="D1321" s="5" t="s">
        <v>13</v>
      </c>
      <c r="E1321" s="5">
        <v>7.9360573E7</v>
      </c>
      <c r="F1321" s="5" t="s">
        <v>65</v>
      </c>
      <c r="G1321" s="5" t="s">
        <v>15</v>
      </c>
      <c r="H1321" s="5" t="s">
        <v>24</v>
      </c>
      <c r="I1321" s="6" t="s">
        <v>89</v>
      </c>
      <c r="J1321" s="7" t="s">
        <v>34</v>
      </c>
      <c r="K1321" s="7"/>
      <c r="L1321" s="8">
        <v>1.771449455067E12</v>
      </c>
      <c r="M1321" s="9"/>
      <c r="N1321" s="10"/>
      <c r="O1321" s="10"/>
      <c r="P1321" s="10"/>
      <c r="Q1321" s="10"/>
      <c r="R1321" s="10"/>
      <c r="S1321" s="10"/>
      <c r="T1321" s="10"/>
      <c r="U1321" s="10"/>
      <c r="V1321" s="10"/>
    </row>
    <row r="1322" ht="22.5" customHeight="1">
      <c r="A1322" s="5">
        <v>2.03696295725E11</v>
      </c>
      <c r="B1322" s="5" t="s">
        <v>1408</v>
      </c>
      <c r="C1322" s="5">
        <v>51958243134</v>
      </c>
      <c r="D1322" s="5" t="s">
        <v>13</v>
      </c>
      <c r="E1322" s="5">
        <v>8.0566583E7</v>
      </c>
      <c r="F1322" s="5" t="s">
        <v>28</v>
      </c>
      <c r="G1322" s="5" t="s">
        <v>15</v>
      </c>
      <c r="H1322" s="5" t="s">
        <v>74</v>
      </c>
      <c r="I1322" s="6" t="s">
        <v>17</v>
      </c>
      <c r="J1322" s="7" t="s">
        <v>18</v>
      </c>
      <c r="K1322" s="7" t="s">
        <v>19</v>
      </c>
      <c r="L1322" s="8">
        <v>1.771451831458E12</v>
      </c>
      <c r="M1322" s="9"/>
      <c r="N1322" s="10"/>
      <c r="O1322" s="10"/>
      <c r="P1322" s="10"/>
      <c r="Q1322" s="10"/>
      <c r="R1322" s="10"/>
      <c r="S1322" s="10"/>
      <c r="T1322" s="10"/>
      <c r="U1322" s="10"/>
      <c r="V1322" s="10"/>
    </row>
    <row r="1323" ht="22.5" customHeight="1">
      <c r="A1323" s="5">
        <v>2.03706264154E11</v>
      </c>
      <c r="B1323" s="5" t="s">
        <v>1409</v>
      </c>
      <c r="C1323" s="5">
        <v>51923664191</v>
      </c>
      <c r="D1323" s="5" t="s">
        <v>38</v>
      </c>
      <c r="E1323" s="5">
        <v>8.7547393E7</v>
      </c>
      <c r="F1323" s="5"/>
      <c r="G1323" s="5"/>
      <c r="H1323" s="5"/>
      <c r="I1323" s="6"/>
      <c r="J1323" s="7" t="s">
        <v>18</v>
      </c>
      <c r="K1323" s="7" t="s">
        <v>19</v>
      </c>
      <c r="L1323" s="8">
        <v>1.771451939303E12</v>
      </c>
      <c r="M1323" s="9"/>
      <c r="N1323" s="10"/>
      <c r="O1323" s="10"/>
      <c r="P1323" s="10"/>
      <c r="Q1323" s="10"/>
      <c r="R1323" s="10"/>
      <c r="S1323" s="10"/>
      <c r="T1323" s="10"/>
      <c r="U1323" s="10"/>
      <c r="V1323" s="10"/>
    </row>
    <row r="1324" ht="22.5" customHeight="1">
      <c r="A1324" s="5">
        <v>1.72161401399E11</v>
      </c>
      <c r="B1324" s="5" t="s">
        <v>1410</v>
      </c>
      <c r="C1324" s="5">
        <v>51963349937</v>
      </c>
      <c r="D1324" s="5" t="s">
        <v>13</v>
      </c>
      <c r="E1324" s="5">
        <v>8.7547393E7</v>
      </c>
      <c r="F1324" s="5" t="s">
        <v>714</v>
      </c>
      <c r="G1324" s="5" t="s">
        <v>32</v>
      </c>
      <c r="H1324" s="5" t="s">
        <v>16</v>
      </c>
      <c r="I1324" s="6" t="s">
        <v>17</v>
      </c>
      <c r="J1324" s="7" t="s">
        <v>18</v>
      </c>
      <c r="K1324" s="7" t="s">
        <v>116</v>
      </c>
      <c r="L1324" s="8">
        <v>1.771452431946E12</v>
      </c>
      <c r="M1324" s="9"/>
      <c r="N1324" s="10"/>
      <c r="O1324" s="10"/>
      <c r="P1324" s="10"/>
      <c r="Q1324" s="10"/>
      <c r="R1324" s="10"/>
      <c r="S1324" s="10"/>
      <c r="T1324" s="10"/>
      <c r="U1324" s="10"/>
      <c r="V1324" s="10"/>
    </row>
    <row r="1325" ht="22.5" customHeight="1">
      <c r="A1325" s="5">
        <v>2.03709424017E11</v>
      </c>
      <c r="B1325" s="5" t="s">
        <v>1411</v>
      </c>
      <c r="C1325" s="5">
        <v>528333084301</v>
      </c>
      <c r="D1325" s="5" t="s">
        <v>13</v>
      </c>
      <c r="E1325" s="5">
        <v>8.0566583E7</v>
      </c>
      <c r="F1325" s="5" t="s">
        <v>39</v>
      </c>
      <c r="G1325" s="5" t="s">
        <v>32</v>
      </c>
      <c r="H1325" s="5" t="s">
        <v>24</v>
      </c>
      <c r="I1325" s="6" t="s">
        <v>17</v>
      </c>
      <c r="J1325" s="7" t="s">
        <v>18</v>
      </c>
      <c r="K1325" s="7" t="s">
        <v>61</v>
      </c>
      <c r="L1325" s="8">
        <v>1.771453732813E12</v>
      </c>
      <c r="M1325" s="9"/>
      <c r="N1325" s="10"/>
      <c r="O1325" s="10"/>
      <c r="P1325" s="10"/>
      <c r="Q1325" s="10"/>
      <c r="R1325" s="10"/>
      <c r="S1325" s="10"/>
      <c r="T1325" s="10"/>
      <c r="U1325" s="10"/>
      <c r="V1325" s="10"/>
    </row>
    <row r="1326" ht="22.5" customHeight="1">
      <c r="A1326" s="5">
        <v>2.03712946711E11</v>
      </c>
      <c r="B1326" s="5" t="s">
        <v>1412</v>
      </c>
      <c r="C1326" s="5">
        <v>51981295611</v>
      </c>
      <c r="D1326" s="5" t="s">
        <v>22</v>
      </c>
      <c r="E1326" s="5">
        <v>8.7547393E7</v>
      </c>
      <c r="F1326" s="5" t="s">
        <v>28</v>
      </c>
      <c r="G1326" s="5" t="s">
        <v>44</v>
      </c>
      <c r="H1326" s="5" t="s">
        <v>51</v>
      </c>
      <c r="I1326" s="6" t="s">
        <v>17</v>
      </c>
      <c r="J1326" s="7" t="s">
        <v>18</v>
      </c>
      <c r="K1326" s="7" t="s">
        <v>19</v>
      </c>
      <c r="L1326" s="8">
        <v>1.771455199619E12</v>
      </c>
      <c r="M1326" s="9"/>
      <c r="N1326" s="10"/>
      <c r="O1326" s="10"/>
      <c r="P1326" s="10"/>
      <c r="Q1326" s="10"/>
      <c r="R1326" s="10"/>
      <c r="S1326" s="10"/>
      <c r="T1326" s="10"/>
      <c r="U1326" s="10"/>
      <c r="V1326" s="10"/>
    </row>
    <row r="1327" ht="22.5" customHeight="1">
      <c r="A1327" s="5">
        <v>2.03723020614E11</v>
      </c>
      <c r="B1327" s="5" t="s">
        <v>1413</v>
      </c>
      <c r="C1327" s="5">
        <v>51968915857</v>
      </c>
      <c r="D1327" s="5" t="s">
        <v>13</v>
      </c>
      <c r="E1327" s="5">
        <v>8.0566583E7</v>
      </c>
      <c r="F1327" s="5" t="s">
        <v>28</v>
      </c>
      <c r="G1327" s="5" t="s">
        <v>15</v>
      </c>
      <c r="H1327" s="5" t="s">
        <v>51</v>
      </c>
      <c r="I1327" s="6" t="s">
        <v>63</v>
      </c>
      <c r="J1327" s="7" t="s">
        <v>18</v>
      </c>
      <c r="K1327" s="7" t="s">
        <v>19</v>
      </c>
      <c r="L1327" s="8">
        <v>1.771457264126E12</v>
      </c>
      <c r="M1327" s="9"/>
      <c r="N1327" s="10"/>
      <c r="O1327" s="10"/>
      <c r="P1327" s="10"/>
      <c r="Q1327" s="10"/>
      <c r="R1327" s="10"/>
      <c r="S1327" s="10"/>
      <c r="T1327" s="10"/>
      <c r="U1327" s="10"/>
      <c r="V1327" s="10"/>
    </row>
    <row r="1328" ht="22.5" customHeight="1">
      <c r="A1328" s="5">
        <v>2.03732139852E11</v>
      </c>
      <c r="B1328" s="5" t="s">
        <v>1414</v>
      </c>
      <c r="C1328" s="5">
        <v>51979588382</v>
      </c>
      <c r="D1328" s="5" t="s">
        <v>38</v>
      </c>
      <c r="E1328" s="5">
        <v>8.7547393E7</v>
      </c>
      <c r="F1328" s="5"/>
      <c r="G1328" s="5"/>
      <c r="H1328" s="5"/>
      <c r="I1328" s="6"/>
      <c r="J1328" s="7" t="s">
        <v>18</v>
      </c>
      <c r="K1328" s="7" t="s">
        <v>19</v>
      </c>
      <c r="L1328" s="8">
        <v>1.771457722581E12</v>
      </c>
      <c r="M1328" s="9"/>
      <c r="N1328" s="10"/>
      <c r="O1328" s="10"/>
      <c r="P1328" s="10"/>
      <c r="Q1328" s="10"/>
      <c r="R1328" s="10"/>
      <c r="S1328" s="10"/>
      <c r="T1328" s="10"/>
      <c r="U1328" s="10"/>
      <c r="V1328" s="10"/>
    </row>
    <row r="1329" ht="22.5" customHeight="1">
      <c r="A1329" s="5">
        <v>2.03725300015E11</v>
      </c>
      <c r="B1329" s="5" t="s">
        <v>1415</v>
      </c>
      <c r="C1329" s="5">
        <v>5521980352684</v>
      </c>
      <c r="D1329" s="5" t="s">
        <v>13</v>
      </c>
      <c r="E1329" s="5">
        <v>7.9360573E7</v>
      </c>
      <c r="F1329" s="5" t="s">
        <v>28</v>
      </c>
      <c r="G1329" s="5" t="s">
        <v>15</v>
      </c>
      <c r="H1329" s="5" t="s">
        <v>16</v>
      </c>
      <c r="I1329" s="6" t="s">
        <v>17</v>
      </c>
      <c r="J1329" s="7" t="s">
        <v>34</v>
      </c>
      <c r="K1329" s="7"/>
      <c r="L1329" s="8">
        <v>1.77145796663E12</v>
      </c>
      <c r="M1329" s="9"/>
      <c r="N1329" s="10"/>
      <c r="O1329" s="10"/>
      <c r="P1329" s="10"/>
      <c r="Q1329" s="10"/>
      <c r="R1329" s="10"/>
      <c r="S1329" s="10"/>
      <c r="T1329" s="10"/>
      <c r="U1329" s="10"/>
      <c r="V1329" s="10"/>
    </row>
    <row r="1330" ht="22.5" customHeight="1">
      <c r="A1330" s="5">
        <v>2.03726500873E11</v>
      </c>
      <c r="B1330" s="5" t="s">
        <v>1416</v>
      </c>
      <c r="C1330" s="5">
        <v>5575988111574</v>
      </c>
      <c r="D1330" s="5" t="s">
        <v>13</v>
      </c>
      <c r="E1330" s="5">
        <v>7.9360573E7</v>
      </c>
      <c r="F1330" s="5" t="s">
        <v>28</v>
      </c>
      <c r="G1330" s="5" t="s">
        <v>15</v>
      </c>
      <c r="H1330" s="5" t="s">
        <v>51</v>
      </c>
      <c r="I1330" s="6" t="s">
        <v>36</v>
      </c>
      <c r="J1330" s="7" t="s">
        <v>34</v>
      </c>
      <c r="K1330" s="7"/>
      <c r="L1330" s="8">
        <v>1.771459958125E12</v>
      </c>
      <c r="M1330" s="9"/>
      <c r="N1330" s="10"/>
      <c r="O1330" s="10"/>
      <c r="P1330" s="10"/>
      <c r="Q1330" s="10"/>
      <c r="R1330" s="10"/>
      <c r="S1330" s="10"/>
      <c r="T1330" s="10"/>
      <c r="U1330" s="10"/>
      <c r="V1330" s="10"/>
    </row>
    <row r="1331" ht="22.5" customHeight="1">
      <c r="A1331" s="5">
        <v>2.03726828455E11</v>
      </c>
      <c r="B1331" s="5" t="s">
        <v>1417</v>
      </c>
      <c r="C1331" s="5">
        <v>51916583946</v>
      </c>
      <c r="D1331" s="5" t="s">
        <v>38</v>
      </c>
      <c r="E1331" s="5">
        <v>8.7547393E7</v>
      </c>
      <c r="F1331" s="5"/>
      <c r="G1331" s="5"/>
      <c r="H1331" s="5"/>
      <c r="I1331" s="6"/>
      <c r="J1331" s="7" t="s">
        <v>18</v>
      </c>
      <c r="K1331" s="7" t="s">
        <v>19</v>
      </c>
      <c r="L1331" s="8">
        <v>1.771460465326E12</v>
      </c>
      <c r="M1331" s="9"/>
      <c r="N1331" s="10"/>
      <c r="O1331" s="10"/>
      <c r="P1331" s="10"/>
      <c r="Q1331" s="10"/>
      <c r="R1331" s="10"/>
      <c r="S1331" s="10"/>
      <c r="T1331" s="10"/>
      <c r="U1331" s="10"/>
      <c r="V1331" s="10"/>
    </row>
    <row r="1332" ht="22.5" customHeight="1">
      <c r="A1332" s="5">
        <v>2.03730256148E11</v>
      </c>
      <c r="B1332" s="5" t="s">
        <v>1418</v>
      </c>
      <c r="C1332" s="5">
        <v>51966708852</v>
      </c>
      <c r="D1332" s="5" t="s">
        <v>13</v>
      </c>
      <c r="E1332" s="5">
        <v>8.0566583E7</v>
      </c>
      <c r="F1332" s="5" t="s">
        <v>93</v>
      </c>
      <c r="G1332" s="5" t="s">
        <v>15</v>
      </c>
      <c r="H1332" s="5" t="s">
        <v>24</v>
      </c>
      <c r="I1332" s="6" t="s">
        <v>17</v>
      </c>
      <c r="J1332" s="7" t="s">
        <v>18</v>
      </c>
      <c r="K1332" s="7" t="s">
        <v>19</v>
      </c>
      <c r="L1332" s="8">
        <v>1.771461775072E12</v>
      </c>
      <c r="M1332" s="9"/>
      <c r="N1332" s="10"/>
      <c r="O1332" s="10"/>
      <c r="P1332" s="10"/>
      <c r="Q1332" s="10"/>
      <c r="R1332" s="10"/>
      <c r="S1332" s="10"/>
      <c r="T1332" s="10"/>
      <c r="U1332" s="10"/>
      <c r="V1332" s="10"/>
    </row>
    <row r="1333" ht="22.5" customHeight="1">
      <c r="A1333" s="5">
        <v>2.03738779746E11</v>
      </c>
      <c r="B1333" s="5" t="s">
        <v>1419</v>
      </c>
      <c r="C1333" s="5">
        <v>5562981094955</v>
      </c>
      <c r="D1333" s="5" t="s">
        <v>13</v>
      </c>
      <c r="E1333" s="5">
        <v>7.9360573E7</v>
      </c>
      <c r="F1333" s="5" t="s">
        <v>510</v>
      </c>
      <c r="G1333" s="5" t="s">
        <v>15</v>
      </c>
      <c r="H1333" s="5" t="s">
        <v>51</v>
      </c>
      <c r="I1333" s="6" t="s">
        <v>36</v>
      </c>
      <c r="J1333" s="7" t="s">
        <v>34</v>
      </c>
      <c r="K1333" s="7"/>
      <c r="L1333" s="8">
        <v>1.771462401778E12</v>
      </c>
      <c r="M1333" s="9"/>
      <c r="N1333" s="10"/>
      <c r="O1333" s="10"/>
      <c r="P1333" s="10"/>
      <c r="Q1333" s="10"/>
      <c r="R1333" s="10"/>
      <c r="S1333" s="10"/>
      <c r="T1333" s="10"/>
      <c r="U1333" s="10"/>
      <c r="V1333" s="10"/>
    </row>
    <row r="1334" ht="22.5" customHeight="1">
      <c r="A1334" s="5">
        <v>2.03727714874E11</v>
      </c>
      <c r="B1334" s="5" t="s">
        <v>1420</v>
      </c>
      <c r="C1334" s="5">
        <v>51929898614</v>
      </c>
      <c r="D1334" s="5" t="s">
        <v>13</v>
      </c>
      <c r="E1334" s="5">
        <v>8.0566583E7</v>
      </c>
      <c r="F1334" s="5" t="s">
        <v>39</v>
      </c>
      <c r="G1334" s="5" t="s">
        <v>15</v>
      </c>
      <c r="H1334" s="5" t="s">
        <v>24</v>
      </c>
      <c r="I1334" s="6" t="s">
        <v>17</v>
      </c>
      <c r="J1334" s="7" t="s">
        <v>18</v>
      </c>
      <c r="K1334" s="7" t="s">
        <v>19</v>
      </c>
      <c r="L1334" s="8">
        <v>1.771462497397E12</v>
      </c>
      <c r="M1334" s="9"/>
      <c r="N1334" s="10"/>
      <c r="O1334" s="10"/>
      <c r="P1334" s="10"/>
      <c r="Q1334" s="10"/>
      <c r="R1334" s="10"/>
      <c r="S1334" s="10"/>
      <c r="T1334" s="10"/>
      <c r="U1334" s="10"/>
      <c r="V1334" s="10"/>
    </row>
    <row r="1335" ht="22.5" customHeight="1">
      <c r="A1335" s="5">
        <v>2.0373474996E11</v>
      </c>
      <c r="B1335" s="5" t="s">
        <v>1421</v>
      </c>
      <c r="C1335" s="5">
        <v>529519238072</v>
      </c>
      <c r="D1335" s="5" t="s">
        <v>22</v>
      </c>
      <c r="E1335" s="5">
        <v>8.0566583E7</v>
      </c>
      <c r="F1335" s="5" t="s">
        <v>28</v>
      </c>
      <c r="G1335" s="5" t="s">
        <v>44</v>
      </c>
      <c r="H1335" s="5" t="s">
        <v>114</v>
      </c>
      <c r="I1335" s="6" t="s">
        <v>17</v>
      </c>
      <c r="J1335" s="7" t="s">
        <v>18</v>
      </c>
      <c r="K1335" s="7" t="s">
        <v>61</v>
      </c>
      <c r="L1335" s="8">
        <v>1.771463840924E12</v>
      </c>
      <c r="M1335" s="9"/>
      <c r="N1335" s="10"/>
      <c r="O1335" s="10"/>
      <c r="P1335" s="10"/>
      <c r="Q1335" s="10"/>
      <c r="R1335" s="10"/>
      <c r="S1335" s="10"/>
      <c r="T1335" s="10"/>
      <c r="U1335" s="10"/>
      <c r="V1335" s="10"/>
    </row>
    <row r="1336" ht="22.5" customHeight="1">
      <c r="A1336" s="5">
        <v>2.03741842103E11</v>
      </c>
      <c r="B1336" s="5" t="s">
        <v>1422</v>
      </c>
      <c r="C1336" s="5">
        <v>573222085333</v>
      </c>
      <c r="D1336" s="5" t="s">
        <v>38</v>
      </c>
      <c r="E1336" s="5">
        <v>8.0566583E7</v>
      </c>
      <c r="F1336" s="5" t="s">
        <v>93</v>
      </c>
      <c r="G1336" s="5" t="s">
        <v>32</v>
      </c>
      <c r="H1336" s="5" t="s">
        <v>29</v>
      </c>
      <c r="I1336" s="6" t="s">
        <v>49</v>
      </c>
      <c r="J1336" s="7" t="s">
        <v>58</v>
      </c>
      <c r="K1336" s="11" t="s">
        <v>59</v>
      </c>
      <c r="L1336" s="8">
        <v>1.771465875083E12</v>
      </c>
      <c r="M1336" s="9"/>
      <c r="N1336" s="10"/>
      <c r="O1336" s="10"/>
      <c r="P1336" s="10"/>
      <c r="Q1336" s="10"/>
      <c r="R1336" s="10"/>
      <c r="S1336" s="10"/>
      <c r="T1336" s="10"/>
      <c r="U1336" s="10"/>
      <c r="V1336" s="10"/>
    </row>
    <row r="1337" ht="22.5" customHeight="1">
      <c r="A1337" s="5">
        <v>2.03740381765E11</v>
      </c>
      <c r="B1337" s="5" t="s">
        <v>1423</v>
      </c>
      <c r="C1337" s="5">
        <v>51985520812</v>
      </c>
      <c r="D1337" s="5" t="s">
        <v>13</v>
      </c>
      <c r="E1337" s="5">
        <v>8.0566583E7</v>
      </c>
      <c r="F1337" s="5" t="s">
        <v>28</v>
      </c>
      <c r="G1337" s="5" t="s">
        <v>32</v>
      </c>
      <c r="H1337" s="5" t="s">
        <v>188</v>
      </c>
      <c r="I1337" s="6" t="s">
        <v>17</v>
      </c>
      <c r="J1337" s="7" t="s">
        <v>18</v>
      </c>
      <c r="K1337" s="7" t="s">
        <v>19</v>
      </c>
      <c r="L1337" s="8">
        <v>1.77146598301E12</v>
      </c>
      <c r="M1337" s="9"/>
      <c r="N1337" s="10"/>
      <c r="O1337" s="10"/>
      <c r="P1337" s="10"/>
      <c r="Q1337" s="10"/>
      <c r="R1337" s="10"/>
      <c r="S1337" s="10"/>
      <c r="T1337" s="10"/>
      <c r="U1337" s="10"/>
      <c r="V1337" s="10"/>
    </row>
    <row r="1338" ht="22.5" customHeight="1">
      <c r="A1338" s="5">
        <v>2.03746232438E11</v>
      </c>
      <c r="B1338" s="5" t="s">
        <v>1424</v>
      </c>
      <c r="C1338" s="5">
        <v>5592993158364</v>
      </c>
      <c r="D1338" s="5" t="s">
        <v>13</v>
      </c>
      <c r="E1338" s="5">
        <v>7.9360573E7</v>
      </c>
      <c r="F1338" s="5" t="s">
        <v>28</v>
      </c>
      <c r="G1338" s="5" t="s">
        <v>15</v>
      </c>
      <c r="H1338" s="5" t="s">
        <v>66</v>
      </c>
      <c r="I1338" s="6" t="s">
        <v>36</v>
      </c>
      <c r="J1338" s="7" t="s">
        <v>34</v>
      </c>
      <c r="K1338" s="7"/>
      <c r="L1338" s="8">
        <v>1.771466769301E12</v>
      </c>
      <c r="M1338" s="9"/>
      <c r="N1338" s="10"/>
      <c r="O1338" s="10"/>
      <c r="P1338" s="10"/>
      <c r="Q1338" s="10"/>
      <c r="R1338" s="10"/>
      <c r="S1338" s="10"/>
      <c r="T1338" s="10"/>
      <c r="U1338" s="10"/>
      <c r="V1338" s="10"/>
    </row>
    <row r="1339" ht="22.5" customHeight="1">
      <c r="A1339" s="5">
        <v>2.03745807252E11</v>
      </c>
      <c r="B1339" s="5" t="s">
        <v>1425</v>
      </c>
      <c r="C1339" s="5">
        <v>51902562657</v>
      </c>
      <c r="D1339" s="5" t="s">
        <v>38</v>
      </c>
      <c r="E1339" s="5">
        <v>8.7547393E7</v>
      </c>
      <c r="F1339" s="5"/>
      <c r="G1339" s="5"/>
      <c r="H1339" s="5"/>
      <c r="I1339" s="6"/>
      <c r="J1339" s="7" t="s">
        <v>124</v>
      </c>
      <c r="K1339" s="7" t="s">
        <v>1426</v>
      </c>
      <c r="L1339" s="8">
        <v>1.771466783623E12</v>
      </c>
      <c r="M1339" s="9"/>
      <c r="N1339" s="10"/>
      <c r="O1339" s="10"/>
      <c r="P1339" s="10"/>
      <c r="Q1339" s="10"/>
      <c r="R1339" s="10"/>
      <c r="S1339" s="10"/>
      <c r="T1339" s="10"/>
      <c r="U1339" s="10"/>
      <c r="V1339" s="10"/>
    </row>
    <row r="1340" ht="22.5" customHeight="1">
      <c r="A1340" s="5">
        <v>2.03754892039E11</v>
      </c>
      <c r="B1340" s="5" t="s">
        <v>1427</v>
      </c>
      <c r="C1340" s="5">
        <v>522311566869</v>
      </c>
      <c r="D1340" s="5" t="s">
        <v>13</v>
      </c>
      <c r="E1340" s="5">
        <v>8.0566583E7</v>
      </c>
      <c r="F1340" s="5" t="s">
        <v>65</v>
      </c>
      <c r="G1340" s="5" t="s">
        <v>15</v>
      </c>
      <c r="H1340" s="5" t="s">
        <v>51</v>
      </c>
      <c r="I1340" s="6" t="s">
        <v>17</v>
      </c>
      <c r="J1340" s="7" t="s">
        <v>18</v>
      </c>
      <c r="K1340" s="7" t="s">
        <v>61</v>
      </c>
      <c r="L1340" s="8">
        <v>1.771470335841E12</v>
      </c>
      <c r="M1340" s="9"/>
      <c r="N1340" s="10"/>
      <c r="O1340" s="10"/>
      <c r="P1340" s="10"/>
      <c r="Q1340" s="10"/>
      <c r="R1340" s="10"/>
      <c r="S1340" s="10"/>
      <c r="T1340" s="10"/>
      <c r="U1340" s="10"/>
      <c r="V1340" s="10"/>
    </row>
    <row r="1341" ht="22.5" customHeight="1">
      <c r="A1341" s="5">
        <v>2.03754692276E11</v>
      </c>
      <c r="B1341" s="5" t="s">
        <v>1428</v>
      </c>
      <c r="C1341" s="5">
        <v>51982706624</v>
      </c>
      <c r="D1341" s="5" t="s">
        <v>13</v>
      </c>
      <c r="E1341" s="5">
        <v>8.0566583E7</v>
      </c>
      <c r="F1341" s="5" t="s">
        <v>39</v>
      </c>
      <c r="G1341" s="5" t="s">
        <v>15</v>
      </c>
      <c r="H1341" s="5" t="s">
        <v>24</v>
      </c>
      <c r="I1341" s="6" t="s">
        <v>148</v>
      </c>
      <c r="J1341" s="7" t="s">
        <v>18</v>
      </c>
      <c r="K1341" s="7" t="s">
        <v>19</v>
      </c>
      <c r="L1341" s="8">
        <v>1.771471465718E12</v>
      </c>
      <c r="M1341" s="9"/>
      <c r="N1341" s="10"/>
      <c r="O1341" s="10"/>
      <c r="P1341" s="10"/>
      <c r="Q1341" s="10"/>
      <c r="R1341" s="10"/>
      <c r="S1341" s="10"/>
      <c r="T1341" s="10"/>
      <c r="U1341" s="10"/>
      <c r="V1341" s="10"/>
    </row>
    <row r="1342" ht="22.5" customHeight="1">
      <c r="A1342" s="5">
        <v>2.0375225049E11</v>
      </c>
      <c r="B1342" s="5" t="s">
        <v>1429</v>
      </c>
      <c r="C1342" s="5">
        <v>51975739587</v>
      </c>
      <c r="D1342" s="5" t="s">
        <v>13</v>
      </c>
      <c r="E1342" s="5">
        <v>8.7547393E7</v>
      </c>
      <c r="F1342" s="5" t="s">
        <v>39</v>
      </c>
      <c r="G1342" s="5" t="s">
        <v>15</v>
      </c>
      <c r="H1342" s="5" t="s">
        <v>66</v>
      </c>
      <c r="I1342" s="6" t="s">
        <v>17</v>
      </c>
      <c r="J1342" s="7" t="s">
        <v>18</v>
      </c>
      <c r="K1342" s="7" t="s">
        <v>19</v>
      </c>
      <c r="L1342" s="8">
        <v>1.771471841439E12</v>
      </c>
      <c r="M1342" s="9"/>
      <c r="N1342" s="10"/>
      <c r="O1342" s="10"/>
      <c r="P1342" s="10"/>
      <c r="Q1342" s="10"/>
      <c r="R1342" s="10"/>
      <c r="S1342" s="10"/>
      <c r="T1342" s="10"/>
      <c r="U1342" s="10"/>
      <c r="V1342" s="10"/>
    </row>
    <row r="1343" ht="22.5" customHeight="1">
      <c r="A1343" s="5">
        <v>1.81119938643E11</v>
      </c>
      <c r="B1343" s="5" t="s">
        <v>1430</v>
      </c>
      <c r="C1343" s="5">
        <v>51975084036</v>
      </c>
      <c r="D1343" s="5" t="s">
        <v>13</v>
      </c>
      <c r="E1343" s="5">
        <v>8.0566583E7</v>
      </c>
      <c r="F1343" s="5" t="s">
        <v>714</v>
      </c>
      <c r="G1343" s="5" t="s">
        <v>15</v>
      </c>
      <c r="H1343" s="5" t="s">
        <v>74</v>
      </c>
      <c r="I1343" s="6" t="s">
        <v>17</v>
      </c>
      <c r="J1343" s="7" t="s">
        <v>18</v>
      </c>
      <c r="K1343" s="7" t="s">
        <v>116</v>
      </c>
      <c r="L1343" s="8">
        <v>1.771474477204E12</v>
      </c>
      <c r="M1343" s="9"/>
      <c r="N1343" s="10"/>
      <c r="O1343" s="10"/>
      <c r="P1343" s="10"/>
      <c r="Q1343" s="10"/>
      <c r="R1343" s="10"/>
      <c r="S1343" s="10"/>
      <c r="T1343" s="10"/>
      <c r="U1343" s="10"/>
      <c r="V1343" s="10"/>
    </row>
    <row r="1344" ht="22.5" customHeight="1">
      <c r="A1344" s="5">
        <v>2.03760475685E11</v>
      </c>
      <c r="B1344" s="5" t="s">
        <v>1431</v>
      </c>
      <c r="C1344" s="5">
        <v>51935887285</v>
      </c>
      <c r="D1344" s="5" t="s">
        <v>13</v>
      </c>
      <c r="E1344" s="5">
        <v>8.0566583E7</v>
      </c>
      <c r="F1344" s="5" t="s">
        <v>28</v>
      </c>
      <c r="G1344" s="5" t="s">
        <v>32</v>
      </c>
      <c r="H1344" s="5" t="s">
        <v>29</v>
      </c>
      <c r="I1344" s="6" t="s">
        <v>17</v>
      </c>
      <c r="J1344" s="7" t="s">
        <v>25</v>
      </c>
      <c r="K1344" s="7" t="s">
        <v>26</v>
      </c>
      <c r="L1344" s="8">
        <v>1.771474996078E12</v>
      </c>
      <c r="M1344" s="9"/>
      <c r="N1344" s="10"/>
      <c r="O1344" s="10"/>
      <c r="P1344" s="10"/>
      <c r="Q1344" s="10"/>
      <c r="R1344" s="10"/>
      <c r="S1344" s="10"/>
      <c r="T1344" s="10"/>
      <c r="U1344" s="10"/>
      <c r="V1344" s="10"/>
    </row>
    <row r="1345" ht="22.5" customHeight="1">
      <c r="A1345" s="5">
        <v>2.02025537634E11</v>
      </c>
      <c r="B1345" s="5" t="s">
        <v>1432</v>
      </c>
      <c r="C1345" s="5">
        <v>51960380362</v>
      </c>
      <c r="D1345" s="5" t="s">
        <v>13</v>
      </c>
      <c r="E1345" s="5">
        <v>8.0566583E7</v>
      </c>
      <c r="F1345" s="5"/>
      <c r="G1345" s="5" t="s">
        <v>15</v>
      </c>
      <c r="H1345" s="5" t="s">
        <v>51</v>
      </c>
      <c r="I1345" s="6" t="s">
        <v>49</v>
      </c>
      <c r="J1345" s="7" t="s">
        <v>18</v>
      </c>
      <c r="K1345" s="7" t="s">
        <v>19</v>
      </c>
      <c r="L1345" s="8">
        <v>1.771477002504E12</v>
      </c>
      <c r="M1345" s="9"/>
      <c r="N1345" s="10"/>
      <c r="O1345" s="10"/>
      <c r="P1345" s="10"/>
      <c r="Q1345" s="10"/>
      <c r="R1345" s="10"/>
      <c r="S1345" s="10"/>
      <c r="T1345" s="10"/>
      <c r="U1345" s="10"/>
      <c r="V1345" s="10"/>
    </row>
    <row r="1346" ht="22.5" customHeight="1">
      <c r="A1346" s="5">
        <v>2.03758424235E11</v>
      </c>
      <c r="B1346" s="5" t="s">
        <v>1433</v>
      </c>
      <c r="C1346" s="5">
        <v>51966629039</v>
      </c>
      <c r="D1346" s="5" t="s">
        <v>38</v>
      </c>
      <c r="E1346" s="5">
        <v>8.7547393E7</v>
      </c>
      <c r="F1346" s="5"/>
      <c r="G1346" s="5"/>
      <c r="H1346" s="5"/>
      <c r="I1346" s="6"/>
      <c r="J1346" s="7" t="s">
        <v>34</v>
      </c>
      <c r="K1346" s="7"/>
      <c r="L1346" s="8">
        <v>1.771477152615E12</v>
      </c>
      <c r="M1346" s="9"/>
      <c r="N1346" s="10"/>
      <c r="O1346" s="10"/>
      <c r="P1346" s="10"/>
      <c r="Q1346" s="10"/>
      <c r="R1346" s="10"/>
      <c r="S1346" s="10"/>
      <c r="T1346" s="10"/>
      <c r="U1346" s="10"/>
      <c r="V1346" s="10"/>
    </row>
    <row r="1347" ht="22.5" customHeight="1">
      <c r="A1347" s="5">
        <v>2.03759998722E11</v>
      </c>
      <c r="B1347" s="5" t="s">
        <v>1434</v>
      </c>
      <c r="C1347" s="5">
        <v>51974776577</v>
      </c>
      <c r="D1347" s="5" t="s">
        <v>22</v>
      </c>
      <c r="E1347" s="5">
        <v>8.7547393E7</v>
      </c>
      <c r="F1347" s="5" t="s">
        <v>14</v>
      </c>
      <c r="G1347" s="5" t="s">
        <v>44</v>
      </c>
      <c r="H1347" s="5" t="s">
        <v>180</v>
      </c>
      <c r="I1347" s="6" t="s">
        <v>17</v>
      </c>
      <c r="J1347" s="7" t="s">
        <v>34</v>
      </c>
      <c r="K1347" s="7"/>
      <c r="L1347" s="8">
        <v>1.77147738225E12</v>
      </c>
      <c r="M1347" s="9"/>
      <c r="N1347" s="10"/>
      <c r="O1347" s="10"/>
      <c r="P1347" s="10"/>
      <c r="Q1347" s="10"/>
      <c r="R1347" s="10"/>
      <c r="S1347" s="10"/>
      <c r="T1347" s="10"/>
      <c r="U1347" s="10"/>
      <c r="V1347" s="10"/>
    </row>
    <row r="1348" ht="22.5" customHeight="1">
      <c r="A1348" s="5">
        <v>2.03758424235E11</v>
      </c>
      <c r="B1348" s="5" t="s">
        <v>1433</v>
      </c>
      <c r="C1348" s="5">
        <v>51966629039</v>
      </c>
      <c r="D1348" s="5" t="s">
        <v>38</v>
      </c>
      <c r="E1348" s="5">
        <v>8.7547393E7</v>
      </c>
      <c r="F1348" s="5" t="s">
        <v>28</v>
      </c>
      <c r="G1348" s="5" t="s">
        <v>15</v>
      </c>
      <c r="H1348" s="5" t="s">
        <v>69</v>
      </c>
      <c r="I1348" s="6" t="s">
        <v>89</v>
      </c>
      <c r="J1348" s="7" t="s">
        <v>34</v>
      </c>
      <c r="K1348" s="7"/>
      <c r="L1348" s="8">
        <v>1.771477443549E12</v>
      </c>
      <c r="M1348" s="9"/>
      <c r="N1348" s="10"/>
      <c r="O1348" s="10"/>
      <c r="P1348" s="10"/>
      <c r="Q1348" s="10"/>
      <c r="R1348" s="10"/>
      <c r="S1348" s="10"/>
      <c r="T1348" s="10"/>
      <c r="U1348" s="10"/>
      <c r="V1348" s="10"/>
    </row>
    <row r="1349" ht="22.5" customHeight="1">
      <c r="A1349" s="5">
        <v>2.03772659798E11</v>
      </c>
      <c r="B1349" s="5" t="s">
        <v>1435</v>
      </c>
      <c r="C1349" s="5">
        <v>524425303779</v>
      </c>
      <c r="D1349" s="5" t="s">
        <v>13</v>
      </c>
      <c r="E1349" s="5">
        <v>8.7547393E7</v>
      </c>
      <c r="F1349" s="5" t="s">
        <v>39</v>
      </c>
      <c r="G1349" s="5" t="s">
        <v>15</v>
      </c>
      <c r="H1349" s="5" t="s">
        <v>66</v>
      </c>
      <c r="I1349" s="6" t="s">
        <v>17</v>
      </c>
      <c r="J1349" s="7" t="s">
        <v>18</v>
      </c>
      <c r="K1349" s="7" t="s">
        <v>61</v>
      </c>
      <c r="L1349" s="8">
        <v>1.771478442901E12</v>
      </c>
      <c r="M1349" s="9"/>
      <c r="N1349" s="10"/>
      <c r="O1349" s="10"/>
      <c r="P1349" s="10"/>
      <c r="Q1349" s="10"/>
      <c r="R1349" s="10"/>
      <c r="S1349" s="10"/>
      <c r="T1349" s="10"/>
      <c r="U1349" s="10"/>
      <c r="V1349" s="10"/>
    </row>
    <row r="1350" ht="22.5" customHeight="1">
      <c r="A1350" s="5">
        <v>2.03768556977E11</v>
      </c>
      <c r="B1350" s="5" t="s">
        <v>1436</v>
      </c>
      <c r="C1350" s="5">
        <v>51932159801</v>
      </c>
      <c r="D1350" s="5" t="s">
        <v>38</v>
      </c>
      <c r="E1350" s="5">
        <v>8.0566583E7</v>
      </c>
      <c r="F1350" s="5" t="s">
        <v>42</v>
      </c>
      <c r="G1350" s="5" t="s">
        <v>15</v>
      </c>
      <c r="H1350" s="5" t="s">
        <v>51</v>
      </c>
      <c r="I1350" s="6" t="s">
        <v>63</v>
      </c>
      <c r="J1350" s="7" t="s">
        <v>18</v>
      </c>
      <c r="K1350" s="7" t="s">
        <v>19</v>
      </c>
      <c r="L1350" s="8">
        <v>1.771483834049E12</v>
      </c>
      <c r="M1350" s="9"/>
      <c r="N1350" s="10"/>
      <c r="O1350" s="10"/>
      <c r="P1350" s="10"/>
      <c r="Q1350" s="10"/>
      <c r="R1350" s="10"/>
      <c r="S1350" s="10"/>
      <c r="T1350" s="10"/>
      <c r="U1350" s="10"/>
      <c r="V1350" s="10"/>
    </row>
    <row r="1351" ht="22.5" customHeight="1">
      <c r="A1351" s="5">
        <v>2.03774375815E11</v>
      </c>
      <c r="B1351" s="5" t="s">
        <v>1437</v>
      </c>
      <c r="C1351" s="5">
        <v>524426751112</v>
      </c>
      <c r="D1351" s="5" t="s">
        <v>13</v>
      </c>
      <c r="E1351" s="5">
        <v>8.0566583E7</v>
      </c>
      <c r="F1351" s="5" t="s">
        <v>39</v>
      </c>
      <c r="G1351" s="5" t="s">
        <v>15</v>
      </c>
      <c r="H1351" s="5" t="s">
        <v>66</v>
      </c>
      <c r="I1351" s="6" t="s">
        <v>17</v>
      </c>
      <c r="J1351" s="7" t="s">
        <v>34</v>
      </c>
      <c r="K1351" s="7"/>
      <c r="L1351" s="8">
        <v>1.771484070605E12</v>
      </c>
      <c r="M1351" s="9"/>
      <c r="N1351" s="10"/>
      <c r="O1351" s="10"/>
      <c r="P1351" s="10"/>
      <c r="Q1351" s="10"/>
      <c r="R1351" s="10"/>
      <c r="S1351" s="10"/>
      <c r="T1351" s="10"/>
      <c r="U1351" s="10"/>
      <c r="V1351" s="10"/>
    </row>
    <row r="1352" ht="22.5" customHeight="1">
      <c r="A1352" s="5">
        <v>2.03787046926E11</v>
      </c>
      <c r="B1352" s="5" t="s">
        <v>1438</v>
      </c>
      <c r="C1352" s="5">
        <v>523231215167</v>
      </c>
      <c r="D1352" s="5" t="s">
        <v>13</v>
      </c>
      <c r="E1352" s="5">
        <v>8.0566583E7</v>
      </c>
      <c r="F1352" s="5" t="s">
        <v>39</v>
      </c>
      <c r="G1352" s="5" t="s">
        <v>15</v>
      </c>
      <c r="H1352" s="5" t="s">
        <v>40</v>
      </c>
      <c r="I1352" s="6" t="s">
        <v>17</v>
      </c>
      <c r="J1352" s="7" t="s">
        <v>18</v>
      </c>
      <c r="K1352" s="7" t="s">
        <v>61</v>
      </c>
      <c r="L1352" s="8">
        <v>1.771484314896E12</v>
      </c>
      <c r="M1352" s="9"/>
      <c r="N1352" s="10"/>
      <c r="O1352" s="10"/>
      <c r="P1352" s="10"/>
      <c r="Q1352" s="10"/>
      <c r="R1352" s="10"/>
      <c r="S1352" s="10"/>
      <c r="T1352" s="10"/>
      <c r="U1352" s="10"/>
      <c r="V1352" s="10"/>
    </row>
    <row r="1353" ht="22.5" customHeight="1">
      <c r="A1353" s="5">
        <v>2.0380361169E11</v>
      </c>
      <c r="B1353" s="5" t="s">
        <v>1439</v>
      </c>
      <c r="C1353" s="5">
        <v>5533998513955</v>
      </c>
      <c r="D1353" s="5" t="s">
        <v>13</v>
      </c>
      <c r="E1353" s="5">
        <v>7.9360573E7</v>
      </c>
      <c r="F1353" s="5"/>
      <c r="G1353" s="5"/>
      <c r="H1353" s="5" t="s">
        <v>16</v>
      </c>
      <c r="I1353" s="6" t="s">
        <v>17</v>
      </c>
      <c r="J1353" s="7" t="s">
        <v>34</v>
      </c>
      <c r="K1353" s="7"/>
      <c r="L1353" s="8">
        <v>1.771492586476E12</v>
      </c>
      <c r="M1353" s="9"/>
      <c r="N1353" s="10"/>
      <c r="O1353" s="10"/>
      <c r="P1353" s="10"/>
      <c r="Q1353" s="10"/>
      <c r="R1353" s="10"/>
      <c r="S1353" s="10"/>
      <c r="T1353" s="10"/>
      <c r="U1353" s="10"/>
      <c r="V1353" s="10"/>
    </row>
    <row r="1354" ht="22.5" customHeight="1">
      <c r="A1354" s="5">
        <v>2.03800605017E11</v>
      </c>
      <c r="B1354" s="5" t="s">
        <v>1440</v>
      </c>
      <c r="C1354" s="5">
        <v>526863959186</v>
      </c>
      <c r="D1354" s="5" t="s">
        <v>13</v>
      </c>
      <c r="E1354" s="5">
        <v>8.0566583E7</v>
      </c>
      <c r="F1354" s="5" t="s">
        <v>259</v>
      </c>
      <c r="G1354" s="5" t="s">
        <v>15</v>
      </c>
      <c r="H1354" s="5" t="s">
        <v>55</v>
      </c>
      <c r="I1354" s="6" t="s">
        <v>17</v>
      </c>
      <c r="J1354" s="7" t="s">
        <v>18</v>
      </c>
      <c r="K1354" s="7" t="s">
        <v>61</v>
      </c>
      <c r="L1354" s="8">
        <v>1.771493650018E12</v>
      </c>
      <c r="M1354" s="9"/>
      <c r="N1354" s="10"/>
      <c r="O1354" s="10"/>
      <c r="P1354" s="10"/>
      <c r="Q1354" s="10"/>
      <c r="R1354" s="10"/>
      <c r="S1354" s="10"/>
      <c r="T1354" s="10"/>
      <c r="U1354" s="10"/>
      <c r="V1354" s="10"/>
    </row>
    <row r="1355" ht="22.5" customHeight="1">
      <c r="A1355" s="5">
        <v>2.0380551939E11</v>
      </c>
      <c r="B1355" s="5" t="s">
        <v>1441</v>
      </c>
      <c r="C1355" s="5">
        <v>5521984436248</v>
      </c>
      <c r="D1355" s="5" t="s">
        <v>13</v>
      </c>
      <c r="E1355" s="5">
        <v>7.9360573E7</v>
      </c>
      <c r="F1355" s="5" t="s">
        <v>28</v>
      </c>
      <c r="G1355" s="5" t="s">
        <v>32</v>
      </c>
      <c r="H1355" s="5" t="s">
        <v>16</v>
      </c>
      <c r="I1355" s="6" t="s">
        <v>17</v>
      </c>
      <c r="J1355" s="7" t="s">
        <v>34</v>
      </c>
      <c r="K1355" s="7"/>
      <c r="L1355" s="8">
        <v>1.771496156786E12</v>
      </c>
      <c r="M1355" s="9"/>
      <c r="N1355" s="10"/>
      <c r="O1355" s="10"/>
      <c r="P1355" s="10"/>
      <c r="Q1355" s="10"/>
      <c r="R1355" s="10"/>
      <c r="S1355" s="10"/>
      <c r="T1355" s="10"/>
      <c r="U1355" s="10"/>
      <c r="V1355" s="10"/>
    </row>
    <row r="1356" ht="22.5" customHeight="1">
      <c r="A1356" s="5">
        <v>2.03804040608E11</v>
      </c>
      <c r="B1356" s="5" t="s">
        <v>1442</v>
      </c>
      <c r="C1356" s="5">
        <v>51981219817</v>
      </c>
      <c r="D1356" s="5" t="s">
        <v>13</v>
      </c>
      <c r="E1356" s="5">
        <v>8.0566583E7</v>
      </c>
      <c r="F1356" s="5" t="s">
        <v>39</v>
      </c>
      <c r="G1356" s="5" t="s">
        <v>15</v>
      </c>
      <c r="H1356" s="5" t="s">
        <v>51</v>
      </c>
      <c r="I1356" s="6" t="s">
        <v>17</v>
      </c>
      <c r="J1356" s="7" t="s">
        <v>18</v>
      </c>
      <c r="K1356" s="7" t="s">
        <v>19</v>
      </c>
      <c r="L1356" s="8">
        <v>1.771496700814E12</v>
      </c>
      <c r="M1356" s="9"/>
      <c r="N1356" s="10"/>
      <c r="O1356" s="10"/>
      <c r="P1356" s="10"/>
      <c r="Q1356" s="10"/>
      <c r="R1356" s="10"/>
      <c r="S1356" s="10"/>
      <c r="T1356" s="10"/>
      <c r="U1356" s="10"/>
      <c r="V1356" s="10"/>
    </row>
    <row r="1357" ht="22.5" customHeight="1">
      <c r="A1357" s="5">
        <v>2.03830853402E11</v>
      </c>
      <c r="B1357" s="5" t="s">
        <v>1443</v>
      </c>
      <c r="C1357" s="5">
        <v>51923247411</v>
      </c>
      <c r="D1357" s="5" t="s">
        <v>13</v>
      </c>
      <c r="E1357" s="5">
        <v>8.0566583E7</v>
      </c>
      <c r="F1357" s="5" t="s">
        <v>65</v>
      </c>
      <c r="G1357" s="5" t="s">
        <v>15</v>
      </c>
      <c r="H1357" s="5" t="s">
        <v>66</v>
      </c>
      <c r="I1357" s="6" t="s">
        <v>17</v>
      </c>
      <c r="J1357" s="7" t="s">
        <v>18</v>
      </c>
      <c r="K1357" s="7" t="s">
        <v>19</v>
      </c>
      <c r="L1357" s="8">
        <v>1.771497802524E12</v>
      </c>
      <c r="M1357" s="9"/>
      <c r="N1357" s="10"/>
      <c r="O1357" s="10"/>
      <c r="P1357" s="10"/>
      <c r="Q1357" s="10"/>
      <c r="R1357" s="10"/>
      <c r="S1357" s="10"/>
      <c r="T1357" s="10"/>
      <c r="U1357" s="10"/>
      <c r="V1357" s="10"/>
    </row>
    <row r="1358" ht="22.5" customHeight="1">
      <c r="A1358" s="5">
        <v>2.0344261568E11</v>
      </c>
      <c r="B1358" s="5" t="s">
        <v>1444</v>
      </c>
      <c r="C1358" s="5">
        <v>5511983541811</v>
      </c>
      <c r="D1358" s="5" t="s">
        <v>38</v>
      </c>
      <c r="E1358" s="5">
        <v>7.9360573E7</v>
      </c>
      <c r="F1358" s="5"/>
      <c r="G1358" s="5"/>
      <c r="H1358" s="5"/>
      <c r="I1358" s="6"/>
      <c r="J1358" s="7" t="s">
        <v>124</v>
      </c>
      <c r="K1358" s="7" t="s">
        <v>1256</v>
      </c>
      <c r="L1358" s="8">
        <v>1.771499919822E12</v>
      </c>
      <c r="M1358" s="9"/>
      <c r="N1358" s="10"/>
      <c r="O1358" s="10"/>
      <c r="P1358" s="10"/>
      <c r="Q1358" s="10"/>
      <c r="R1358" s="10"/>
      <c r="S1358" s="10"/>
      <c r="T1358" s="10"/>
      <c r="U1358" s="10"/>
      <c r="V1358" s="10"/>
    </row>
    <row r="1359" ht="22.5" customHeight="1">
      <c r="A1359" s="5">
        <v>2.03834135861E11</v>
      </c>
      <c r="B1359" s="5" t="s">
        <v>1445</v>
      </c>
      <c r="C1359" s="5">
        <v>51931874293</v>
      </c>
      <c r="D1359" s="5" t="s">
        <v>13</v>
      </c>
      <c r="E1359" s="5">
        <v>8.0566583E7</v>
      </c>
      <c r="F1359" s="5" t="s">
        <v>28</v>
      </c>
      <c r="G1359" s="5" t="s">
        <v>32</v>
      </c>
      <c r="H1359" s="5" t="s">
        <v>24</v>
      </c>
      <c r="I1359" s="6" t="s">
        <v>17</v>
      </c>
      <c r="J1359" s="7" t="s">
        <v>18</v>
      </c>
      <c r="K1359" s="7" t="s">
        <v>19</v>
      </c>
      <c r="L1359" s="8">
        <v>1.771500014314E12</v>
      </c>
      <c r="M1359" s="9"/>
      <c r="N1359" s="10"/>
      <c r="O1359" s="10"/>
      <c r="P1359" s="10"/>
      <c r="Q1359" s="10"/>
      <c r="R1359" s="10"/>
      <c r="S1359" s="10"/>
      <c r="T1359" s="10"/>
      <c r="U1359" s="10"/>
      <c r="V1359" s="10"/>
    </row>
    <row r="1360" ht="22.5" customHeight="1">
      <c r="A1360" s="5">
        <v>2.03838628183E11</v>
      </c>
      <c r="B1360" s="5" t="s">
        <v>1446</v>
      </c>
      <c r="C1360" s="5">
        <v>5518996216046</v>
      </c>
      <c r="D1360" s="5" t="s">
        <v>13</v>
      </c>
      <c r="E1360" s="5">
        <v>7.9360573E7</v>
      </c>
      <c r="F1360" s="5" t="s">
        <v>39</v>
      </c>
      <c r="G1360" s="5" t="s">
        <v>15</v>
      </c>
      <c r="H1360" s="5" t="s">
        <v>69</v>
      </c>
      <c r="I1360" s="6" t="s">
        <v>17</v>
      </c>
      <c r="J1360" s="7" t="s">
        <v>34</v>
      </c>
      <c r="K1360" s="7"/>
      <c r="L1360" s="8">
        <v>1.771501800405E12</v>
      </c>
      <c r="M1360" s="9"/>
      <c r="N1360" s="10"/>
      <c r="O1360" s="10"/>
      <c r="P1360" s="10"/>
      <c r="Q1360" s="10"/>
      <c r="R1360" s="10"/>
      <c r="S1360" s="10"/>
      <c r="T1360" s="10"/>
      <c r="U1360" s="10"/>
      <c r="V1360" s="10"/>
    </row>
    <row r="1361" ht="22.5" customHeight="1">
      <c r="A1361" s="5">
        <v>2.03838434488E11</v>
      </c>
      <c r="B1361" s="5" t="s">
        <v>1447</v>
      </c>
      <c r="C1361" s="5">
        <v>51913948378</v>
      </c>
      <c r="D1361" s="5" t="s">
        <v>13</v>
      </c>
      <c r="E1361" s="5">
        <v>8.7547393E7</v>
      </c>
      <c r="F1361" s="5" t="s">
        <v>39</v>
      </c>
      <c r="G1361" s="5" t="s">
        <v>32</v>
      </c>
      <c r="H1361" s="5" t="s">
        <v>114</v>
      </c>
      <c r="I1361" s="6" t="s">
        <v>17</v>
      </c>
      <c r="J1361" s="7" t="s">
        <v>58</v>
      </c>
      <c r="K1361" s="11" t="s">
        <v>59</v>
      </c>
      <c r="L1361" s="8">
        <v>1.771502180574E12</v>
      </c>
      <c r="M1361" s="9"/>
      <c r="N1361" s="10"/>
      <c r="O1361" s="10"/>
      <c r="P1361" s="10"/>
      <c r="Q1361" s="10"/>
      <c r="R1361" s="10"/>
      <c r="S1361" s="10"/>
      <c r="T1361" s="10"/>
      <c r="U1361" s="10"/>
      <c r="V1361" s="10"/>
    </row>
    <row r="1362" ht="22.5" customHeight="1">
      <c r="A1362" s="5">
        <v>2.03839688559E11</v>
      </c>
      <c r="B1362" s="5" t="s">
        <v>1448</v>
      </c>
      <c r="C1362" s="5">
        <v>51903330468</v>
      </c>
      <c r="D1362" s="5" t="s">
        <v>13</v>
      </c>
      <c r="E1362" s="5">
        <v>8.7547393E7</v>
      </c>
      <c r="F1362" s="5" t="s">
        <v>259</v>
      </c>
      <c r="G1362" s="5" t="s">
        <v>32</v>
      </c>
      <c r="H1362" s="5" t="s">
        <v>69</v>
      </c>
      <c r="I1362" s="6" t="s">
        <v>17</v>
      </c>
      <c r="J1362" s="7" t="s">
        <v>18</v>
      </c>
      <c r="K1362" s="7" t="s">
        <v>19</v>
      </c>
      <c r="L1362" s="8">
        <v>1.771502226517E12</v>
      </c>
      <c r="M1362" s="9"/>
      <c r="N1362" s="10"/>
      <c r="O1362" s="10"/>
      <c r="P1362" s="10"/>
      <c r="Q1362" s="10"/>
      <c r="R1362" s="10"/>
      <c r="S1362" s="10"/>
      <c r="T1362" s="10"/>
      <c r="U1362" s="10"/>
      <c r="V1362" s="10"/>
    </row>
    <row r="1363" ht="22.5" customHeight="1">
      <c r="A1363" s="5">
        <v>2.03846113563E11</v>
      </c>
      <c r="B1363" s="5" t="s">
        <v>1449</v>
      </c>
      <c r="C1363" s="5">
        <v>5511944037387</v>
      </c>
      <c r="D1363" s="5" t="s">
        <v>22</v>
      </c>
      <c r="E1363" s="5">
        <v>7.9360573E7</v>
      </c>
      <c r="F1363" s="5" t="s">
        <v>39</v>
      </c>
      <c r="G1363" s="5" t="s">
        <v>44</v>
      </c>
      <c r="H1363" s="5" t="s">
        <v>114</v>
      </c>
      <c r="I1363" s="6" t="s">
        <v>148</v>
      </c>
      <c r="J1363" s="7" t="s">
        <v>34</v>
      </c>
      <c r="K1363" s="7"/>
      <c r="L1363" s="8">
        <v>1.771504243954E12</v>
      </c>
      <c r="M1363" s="9"/>
      <c r="N1363" s="10"/>
      <c r="O1363" s="10"/>
      <c r="P1363" s="10"/>
      <c r="Q1363" s="10"/>
      <c r="R1363" s="10"/>
      <c r="S1363" s="10"/>
      <c r="T1363" s="10"/>
      <c r="U1363" s="10"/>
      <c r="V1363" s="10"/>
    </row>
    <row r="1364" ht="22.5" customHeight="1">
      <c r="A1364" s="5">
        <v>2.03843058712E11</v>
      </c>
      <c r="B1364" s="5" t="s">
        <v>1450</v>
      </c>
      <c r="C1364" s="5">
        <v>51942387147</v>
      </c>
      <c r="D1364" s="5" t="s">
        <v>38</v>
      </c>
      <c r="E1364" s="5">
        <v>8.7547393E7</v>
      </c>
      <c r="F1364" s="5"/>
      <c r="G1364" s="5"/>
      <c r="H1364" s="5"/>
      <c r="I1364" s="6"/>
      <c r="J1364" s="7" t="s">
        <v>124</v>
      </c>
      <c r="K1364" s="7" t="s">
        <v>1426</v>
      </c>
      <c r="L1364" s="8">
        <v>1.771505308384E12</v>
      </c>
      <c r="M1364" s="9"/>
      <c r="N1364" s="10"/>
      <c r="O1364" s="10"/>
      <c r="P1364" s="10"/>
      <c r="Q1364" s="10"/>
      <c r="R1364" s="10"/>
      <c r="S1364" s="10"/>
      <c r="T1364" s="10"/>
      <c r="U1364" s="10"/>
      <c r="V1364" s="10"/>
    </row>
    <row r="1365" ht="22.5" customHeight="1">
      <c r="A1365" s="5">
        <v>2.0384294452E11</v>
      </c>
      <c r="B1365" s="5" t="s">
        <v>1451</v>
      </c>
      <c r="C1365" s="5">
        <v>51901086568</v>
      </c>
      <c r="D1365" s="5" t="s">
        <v>13</v>
      </c>
      <c r="E1365" s="5">
        <v>8.7547393E7</v>
      </c>
      <c r="F1365" s="5" t="s">
        <v>39</v>
      </c>
      <c r="G1365" s="5" t="s">
        <v>15</v>
      </c>
      <c r="H1365" s="5" t="s">
        <v>33</v>
      </c>
      <c r="I1365" s="6" t="s">
        <v>17</v>
      </c>
      <c r="J1365" s="7" t="s">
        <v>18</v>
      </c>
      <c r="K1365" s="7" t="s">
        <v>19</v>
      </c>
      <c r="L1365" s="8">
        <v>1.771506010258E12</v>
      </c>
      <c r="M1365" s="9"/>
      <c r="N1365" s="10"/>
      <c r="O1365" s="10"/>
      <c r="P1365" s="10"/>
      <c r="Q1365" s="10"/>
      <c r="R1365" s="10"/>
      <c r="S1365" s="10"/>
      <c r="T1365" s="10"/>
      <c r="U1365" s="10"/>
      <c r="V1365" s="10"/>
    </row>
    <row r="1366" ht="22.5" customHeight="1">
      <c r="A1366" s="5">
        <v>2.03849219925E11</v>
      </c>
      <c r="B1366" s="5" t="s">
        <v>1452</v>
      </c>
      <c r="C1366" s="5">
        <v>51978316241</v>
      </c>
      <c r="D1366" s="5" t="s">
        <v>13</v>
      </c>
      <c r="E1366" s="5">
        <v>8.7547393E7</v>
      </c>
      <c r="F1366" s="5" t="s">
        <v>259</v>
      </c>
      <c r="G1366" s="5" t="s">
        <v>15</v>
      </c>
      <c r="H1366" s="5" t="s">
        <v>51</v>
      </c>
      <c r="I1366" s="6" t="s">
        <v>63</v>
      </c>
      <c r="J1366" s="7" t="s">
        <v>18</v>
      </c>
      <c r="K1366" s="7" t="s">
        <v>19</v>
      </c>
      <c r="L1366" s="8">
        <v>1.771506519321E12</v>
      </c>
      <c r="M1366" s="9"/>
      <c r="N1366" s="10"/>
      <c r="O1366" s="10"/>
      <c r="P1366" s="10"/>
      <c r="Q1366" s="10"/>
      <c r="R1366" s="10"/>
      <c r="S1366" s="10"/>
      <c r="T1366" s="10"/>
      <c r="U1366" s="10"/>
      <c r="V1366" s="10"/>
    </row>
    <row r="1367" ht="22.5" customHeight="1">
      <c r="A1367" s="5">
        <v>2.03849149071E11</v>
      </c>
      <c r="B1367" s="5" t="s">
        <v>1453</v>
      </c>
      <c r="C1367" s="5">
        <v>51932125941</v>
      </c>
      <c r="D1367" s="5" t="s">
        <v>13</v>
      </c>
      <c r="E1367" s="5">
        <v>8.0566583E7</v>
      </c>
      <c r="F1367" s="5" t="s">
        <v>82</v>
      </c>
      <c r="G1367" s="5" t="s">
        <v>15</v>
      </c>
      <c r="H1367" s="5" t="s">
        <v>24</v>
      </c>
      <c r="I1367" s="6" t="s">
        <v>17</v>
      </c>
      <c r="J1367" s="7" t="s">
        <v>18</v>
      </c>
      <c r="K1367" s="7" t="s">
        <v>19</v>
      </c>
      <c r="L1367" s="8">
        <v>1.771507152238E12</v>
      </c>
      <c r="M1367" s="9"/>
      <c r="N1367" s="10"/>
      <c r="O1367" s="10"/>
      <c r="P1367" s="10"/>
      <c r="Q1367" s="10"/>
      <c r="R1367" s="10"/>
      <c r="S1367" s="10"/>
      <c r="T1367" s="10"/>
      <c r="U1367" s="10"/>
      <c r="V1367" s="10"/>
    </row>
    <row r="1368" ht="22.5" customHeight="1">
      <c r="A1368" s="5">
        <v>2.03851696451E11</v>
      </c>
      <c r="B1368" s="5" t="s">
        <v>1454</v>
      </c>
      <c r="C1368" s="5">
        <v>51989926955</v>
      </c>
      <c r="D1368" s="5" t="s">
        <v>13</v>
      </c>
      <c r="E1368" s="5">
        <v>8.0566583E7</v>
      </c>
      <c r="F1368" s="5" t="s">
        <v>259</v>
      </c>
      <c r="G1368" s="5" t="s">
        <v>15</v>
      </c>
      <c r="H1368" s="5" t="s">
        <v>51</v>
      </c>
      <c r="I1368" s="6" t="s">
        <v>17</v>
      </c>
      <c r="J1368" s="7" t="s">
        <v>18</v>
      </c>
      <c r="K1368" s="7" t="s">
        <v>19</v>
      </c>
      <c r="L1368" s="8">
        <v>1.771508081598E12</v>
      </c>
      <c r="M1368" s="9"/>
      <c r="N1368" s="10"/>
      <c r="O1368" s="10"/>
      <c r="P1368" s="10"/>
      <c r="Q1368" s="10"/>
      <c r="R1368" s="10"/>
      <c r="S1368" s="10"/>
      <c r="T1368" s="10"/>
      <c r="U1368" s="10"/>
      <c r="V1368" s="10"/>
    </row>
    <row r="1369" ht="22.5" customHeight="1">
      <c r="A1369" s="5">
        <v>2.03851696451E11</v>
      </c>
      <c r="B1369" s="5" t="s">
        <v>1454</v>
      </c>
      <c r="C1369" s="5">
        <v>51989926955</v>
      </c>
      <c r="D1369" s="5" t="s">
        <v>13</v>
      </c>
      <c r="E1369" s="5">
        <v>8.0566583E7</v>
      </c>
      <c r="F1369" s="5" t="s">
        <v>259</v>
      </c>
      <c r="G1369" s="5" t="s">
        <v>15</v>
      </c>
      <c r="H1369" s="5" t="s">
        <v>51</v>
      </c>
      <c r="I1369" s="6" t="s">
        <v>17</v>
      </c>
      <c r="J1369" s="7" t="s">
        <v>18</v>
      </c>
      <c r="K1369" s="7" t="s">
        <v>19</v>
      </c>
      <c r="L1369" s="8">
        <v>1.771508345312E12</v>
      </c>
      <c r="M1369" s="9"/>
      <c r="N1369" s="10"/>
      <c r="O1369" s="10"/>
      <c r="P1369" s="10"/>
      <c r="Q1369" s="10"/>
      <c r="R1369" s="10"/>
      <c r="S1369" s="10"/>
      <c r="T1369" s="10"/>
      <c r="U1369" s="10"/>
      <c r="V1369" s="10"/>
    </row>
    <row r="1370" ht="22.5" customHeight="1">
      <c r="A1370" s="5">
        <v>2.03853601438E11</v>
      </c>
      <c r="B1370" s="5" t="s">
        <v>1455</v>
      </c>
      <c r="C1370" s="5">
        <v>51903574040</v>
      </c>
      <c r="D1370" s="5" t="s">
        <v>38</v>
      </c>
      <c r="E1370" s="5">
        <v>8.7547393E7</v>
      </c>
      <c r="F1370" s="5"/>
      <c r="G1370" s="5"/>
      <c r="H1370" s="5"/>
      <c r="I1370" s="6"/>
      <c r="J1370" s="7" t="s">
        <v>18</v>
      </c>
      <c r="K1370" s="7" t="s">
        <v>19</v>
      </c>
      <c r="L1370" s="8">
        <v>1.771508364488E12</v>
      </c>
      <c r="M1370" s="9"/>
      <c r="N1370" s="10"/>
      <c r="O1370" s="10"/>
      <c r="P1370" s="10"/>
      <c r="Q1370" s="10"/>
      <c r="R1370" s="10"/>
      <c r="S1370" s="10"/>
      <c r="T1370" s="10"/>
      <c r="U1370" s="10"/>
      <c r="V1370" s="10"/>
    </row>
    <row r="1371" ht="22.5" customHeight="1">
      <c r="A1371" s="5">
        <v>2.03857295137E11</v>
      </c>
      <c r="B1371" s="5" t="s">
        <v>1456</v>
      </c>
      <c r="C1371" s="5">
        <v>5531971465899</v>
      </c>
      <c r="D1371" s="5" t="s">
        <v>103</v>
      </c>
      <c r="E1371" s="5">
        <v>7.9360573E7</v>
      </c>
      <c r="F1371" s="5" t="s">
        <v>28</v>
      </c>
      <c r="G1371" s="5" t="s">
        <v>79</v>
      </c>
      <c r="H1371" s="5" t="s">
        <v>188</v>
      </c>
      <c r="I1371" s="6" t="s">
        <v>148</v>
      </c>
      <c r="J1371" s="7" t="s">
        <v>34</v>
      </c>
      <c r="K1371" s="7"/>
      <c r="L1371" s="8">
        <v>1.771509164402E12</v>
      </c>
      <c r="M1371" s="9"/>
      <c r="N1371" s="10"/>
      <c r="O1371" s="10"/>
      <c r="P1371" s="10"/>
      <c r="Q1371" s="10"/>
      <c r="R1371" s="10"/>
      <c r="S1371" s="10"/>
      <c r="T1371" s="10"/>
      <c r="U1371" s="10"/>
      <c r="V1371" s="10"/>
    </row>
    <row r="1372" ht="22.5" customHeight="1">
      <c r="A1372" s="5">
        <v>2.03863122869E11</v>
      </c>
      <c r="B1372" s="5" t="s">
        <v>1457</v>
      </c>
      <c r="C1372" s="5">
        <v>5562999147799</v>
      </c>
      <c r="D1372" s="5" t="s">
        <v>13</v>
      </c>
      <c r="E1372" s="5">
        <v>7.9360573E7</v>
      </c>
      <c r="F1372" s="5" t="s">
        <v>39</v>
      </c>
      <c r="G1372" s="5" t="s">
        <v>32</v>
      </c>
      <c r="H1372" s="5" t="s">
        <v>114</v>
      </c>
      <c r="I1372" s="6" t="s">
        <v>148</v>
      </c>
      <c r="J1372" s="7" t="s">
        <v>34</v>
      </c>
      <c r="K1372" s="7"/>
      <c r="L1372" s="8">
        <v>1.771509377137E12</v>
      </c>
      <c r="M1372" s="9"/>
      <c r="N1372" s="10"/>
      <c r="O1372" s="10"/>
      <c r="P1372" s="10"/>
      <c r="Q1372" s="10"/>
      <c r="R1372" s="10"/>
      <c r="S1372" s="10"/>
      <c r="T1372" s="10"/>
      <c r="U1372" s="10"/>
      <c r="V1372" s="10"/>
    </row>
    <row r="1373" ht="22.5" customHeight="1">
      <c r="A1373" s="5">
        <v>2.03858913122E11</v>
      </c>
      <c r="B1373" s="5" t="s">
        <v>1458</v>
      </c>
      <c r="C1373" s="5">
        <v>524422067668</v>
      </c>
      <c r="D1373" s="5" t="s">
        <v>13</v>
      </c>
      <c r="E1373" s="5">
        <v>8.7547393E7</v>
      </c>
      <c r="F1373" s="5" t="s">
        <v>28</v>
      </c>
      <c r="G1373" s="5" t="s">
        <v>44</v>
      </c>
      <c r="H1373" s="5" t="s">
        <v>16</v>
      </c>
      <c r="I1373" s="6" t="s">
        <v>89</v>
      </c>
      <c r="J1373" s="7" t="s">
        <v>18</v>
      </c>
      <c r="K1373" s="7" t="s">
        <v>61</v>
      </c>
      <c r="L1373" s="8">
        <v>1.771509569309E12</v>
      </c>
      <c r="M1373" s="9"/>
      <c r="N1373" s="10"/>
      <c r="O1373" s="10"/>
      <c r="P1373" s="10"/>
      <c r="Q1373" s="10"/>
      <c r="R1373" s="10"/>
      <c r="S1373" s="10"/>
      <c r="T1373" s="10"/>
      <c r="U1373" s="10"/>
      <c r="V1373" s="10"/>
    </row>
    <row r="1374" ht="22.5" customHeight="1">
      <c r="A1374" s="5">
        <v>2.0386476836E11</v>
      </c>
      <c r="B1374" s="5" t="s">
        <v>1459</v>
      </c>
      <c r="C1374" s="5">
        <v>5592991583927</v>
      </c>
      <c r="D1374" s="5" t="s">
        <v>22</v>
      </c>
      <c r="E1374" s="5">
        <v>7.9360573E7</v>
      </c>
      <c r="F1374" s="5" t="s">
        <v>28</v>
      </c>
      <c r="G1374" s="5" t="s">
        <v>32</v>
      </c>
      <c r="H1374" s="5" t="s">
        <v>114</v>
      </c>
      <c r="I1374" s="6" t="s">
        <v>49</v>
      </c>
      <c r="J1374" s="7" t="s">
        <v>34</v>
      </c>
      <c r="K1374" s="7"/>
      <c r="L1374" s="8">
        <v>1.771509834392E12</v>
      </c>
      <c r="M1374" s="9"/>
      <c r="N1374" s="10"/>
      <c r="O1374" s="10"/>
      <c r="P1374" s="10"/>
      <c r="Q1374" s="10"/>
      <c r="R1374" s="10"/>
      <c r="S1374" s="10"/>
      <c r="T1374" s="10"/>
      <c r="U1374" s="10"/>
      <c r="V1374" s="10"/>
    </row>
    <row r="1375" ht="22.5" customHeight="1">
      <c r="A1375" s="5">
        <v>2.03865748224E11</v>
      </c>
      <c r="B1375" s="5" t="s">
        <v>1460</v>
      </c>
      <c r="C1375" s="5">
        <v>528110151039</v>
      </c>
      <c r="D1375" s="5" t="s">
        <v>13</v>
      </c>
      <c r="E1375" s="5">
        <v>8.7547393E7</v>
      </c>
      <c r="F1375" s="5"/>
      <c r="G1375" s="5" t="s">
        <v>15</v>
      </c>
      <c r="H1375" s="5" t="s">
        <v>24</v>
      </c>
      <c r="I1375" s="6" t="s">
        <v>17</v>
      </c>
      <c r="J1375" s="7" t="s">
        <v>34</v>
      </c>
      <c r="K1375" s="7"/>
      <c r="L1375" s="8">
        <v>1.771509885992E12</v>
      </c>
      <c r="M1375" s="9"/>
      <c r="N1375" s="10"/>
      <c r="O1375" s="10"/>
      <c r="P1375" s="10"/>
      <c r="Q1375" s="10"/>
      <c r="R1375" s="10"/>
      <c r="S1375" s="10"/>
      <c r="T1375" s="10"/>
      <c r="U1375" s="10"/>
      <c r="V1375" s="10"/>
    </row>
    <row r="1376" ht="22.5" customHeight="1">
      <c r="A1376" s="5">
        <v>2.03865928818E11</v>
      </c>
      <c r="B1376" s="5" t="s">
        <v>1461</v>
      </c>
      <c r="C1376" s="5">
        <v>5548991358351</v>
      </c>
      <c r="D1376" s="5" t="s">
        <v>22</v>
      </c>
      <c r="E1376" s="5">
        <v>7.9360573E7</v>
      </c>
      <c r="F1376" s="5" t="s">
        <v>714</v>
      </c>
      <c r="G1376" s="5" t="s">
        <v>44</v>
      </c>
      <c r="H1376" s="5" t="s">
        <v>24</v>
      </c>
      <c r="I1376" s="6" t="s">
        <v>17</v>
      </c>
      <c r="J1376" s="7" t="s">
        <v>34</v>
      </c>
      <c r="K1376" s="7"/>
      <c r="L1376" s="8">
        <v>1.771510231991E12</v>
      </c>
      <c r="M1376" s="9"/>
      <c r="N1376" s="10"/>
      <c r="O1376" s="10"/>
      <c r="P1376" s="10"/>
      <c r="Q1376" s="10"/>
      <c r="R1376" s="10"/>
      <c r="S1376" s="10"/>
      <c r="T1376" s="10"/>
      <c r="U1376" s="10"/>
      <c r="V1376" s="10"/>
    </row>
    <row r="1377" ht="22.5" customHeight="1">
      <c r="A1377" s="5">
        <v>1.8480215747E11</v>
      </c>
      <c r="B1377" s="5" t="s">
        <v>1462</v>
      </c>
      <c r="C1377" s="5">
        <v>51927610637</v>
      </c>
      <c r="D1377" s="5" t="s">
        <v>38</v>
      </c>
      <c r="E1377" s="5"/>
      <c r="F1377" s="5"/>
      <c r="G1377" s="5"/>
      <c r="H1377" s="5"/>
      <c r="I1377" s="6"/>
      <c r="J1377" s="7" t="s">
        <v>18</v>
      </c>
      <c r="K1377" s="7" t="s">
        <v>19</v>
      </c>
      <c r="L1377" s="8">
        <v>1.771510250589E12</v>
      </c>
      <c r="M1377" s="9"/>
      <c r="N1377" s="10"/>
      <c r="O1377" s="10"/>
      <c r="P1377" s="10"/>
      <c r="Q1377" s="10"/>
      <c r="R1377" s="10"/>
      <c r="S1377" s="10"/>
      <c r="T1377" s="10"/>
      <c r="U1377" s="10"/>
      <c r="V1377" s="10"/>
    </row>
    <row r="1378" ht="22.5" customHeight="1">
      <c r="A1378" s="5">
        <v>2.03868634539E11</v>
      </c>
      <c r="B1378" s="5" t="s">
        <v>1463</v>
      </c>
      <c r="C1378" s="5">
        <v>5561996122743</v>
      </c>
      <c r="D1378" s="5" t="s">
        <v>13</v>
      </c>
      <c r="E1378" s="5">
        <v>7.9360573E7</v>
      </c>
      <c r="F1378" s="5" t="s">
        <v>28</v>
      </c>
      <c r="G1378" s="5" t="s">
        <v>32</v>
      </c>
      <c r="H1378" s="5" t="s">
        <v>24</v>
      </c>
      <c r="I1378" s="6" t="s">
        <v>17</v>
      </c>
      <c r="J1378" s="7" t="s">
        <v>34</v>
      </c>
      <c r="K1378" s="7"/>
      <c r="L1378" s="8">
        <v>1.771510742848E12</v>
      </c>
      <c r="M1378" s="9"/>
      <c r="N1378" s="10"/>
      <c r="O1378" s="10"/>
      <c r="P1378" s="10"/>
      <c r="Q1378" s="10"/>
      <c r="R1378" s="10"/>
      <c r="S1378" s="10"/>
      <c r="T1378" s="10"/>
      <c r="U1378" s="10"/>
      <c r="V1378" s="10"/>
    </row>
    <row r="1379" ht="22.5" customHeight="1">
      <c r="A1379" s="5">
        <v>2.03868877126E11</v>
      </c>
      <c r="B1379" s="5" t="s">
        <v>1464</v>
      </c>
      <c r="C1379" s="5">
        <v>5535991953595</v>
      </c>
      <c r="D1379" s="5" t="s">
        <v>22</v>
      </c>
      <c r="E1379" s="5">
        <v>7.9360573E7</v>
      </c>
      <c r="F1379" s="5" t="s">
        <v>93</v>
      </c>
      <c r="G1379" s="5" t="s">
        <v>32</v>
      </c>
      <c r="H1379" s="5" t="s">
        <v>16</v>
      </c>
      <c r="I1379" s="6" t="s">
        <v>17</v>
      </c>
      <c r="J1379" s="7" t="s">
        <v>34</v>
      </c>
      <c r="K1379" s="7"/>
      <c r="L1379" s="8">
        <v>1.771511235752E12</v>
      </c>
      <c r="M1379" s="9"/>
      <c r="N1379" s="10"/>
      <c r="O1379" s="10"/>
      <c r="P1379" s="10"/>
      <c r="Q1379" s="10"/>
      <c r="R1379" s="10"/>
      <c r="S1379" s="10"/>
      <c r="T1379" s="10"/>
      <c r="U1379" s="10"/>
      <c r="V1379" s="10"/>
    </row>
    <row r="1380" ht="22.5" customHeight="1">
      <c r="A1380" s="5">
        <v>2.03864705702E11</v>
      </c>
      <c r="B1380" s="5" t="s">
        <v>1465</v>
      </c>
      <c r="C1380" s="5">
        <v>5511973320504</v>
      </c>
      <c r="D1380" s="5" t="s">
        <v>13</v>
      </c>
      <c r="E1380" s="5">
        <v>7.9360573E7</v>
      </c>
      <c r="F1380" s="5" t="s">
        <v>28</v>
      </c>
      <c r="G1380" s="5" t="s">
        <v>32</v>
      </c>
      <c r="H1380" s="5" t="s">
        <v>114</v>
      </c>
      <c r="I1380" s="6" t="s">
        <v>148</v>
      </c>
      <c r="J1380" s="7" t="s">
        <v>58</v>
      </c>
      <c r="K1380" s="11" t="s">
        <v>59</v>
      </c>
      <c r="L1380" s="8">
        <v>1.771511314682E12</v>
      </c>
      <c r="M1380" s="9"/>
      <c r="N1380" s="10"/>
      <c r="O1380" s="10"/>
      <c r="P1380" s="10"/>
      <c r="Q1380" s="10"/>
      <c r="R1380" s="10"/>
      <c r="S1380" s="10"/>
      <c r="T1380" s="10"/>
      <c r="U1380" s="10"/>
      <c r="V1380" s="10"/>
    </row>
    <row r="1381" ht="22.5" customHeight="1">
      <c r="A1381" s="5">
        <v>2.00065769063E11</v>
      </c>
      <c r="B1381" s="5" t="s">
        <v>1466</v>
      </c>
      <c r="C1381" s="5">
        <v>51960192982</v>
      </c>
      <c r="D1381" s="5" t="s">
        <v>22</v>
      </c>
      <c r="E1381" s="5">
        <v>8.7547393E7</v>
      </c>
      <c r="F1381" s="5" t="s">
        <v>259</v>
      </c>
      <c r="G1381" s="5" t="s">
        <v>44</v>
      </c>
      <c r="H1381" s="5" t="s">
        <v>66</v>
      </c>
      <c r="I1381" s="6" t="s">
        <v>17</v>
      </c>
      <c r="J1381" s="7" t="s">
        <v>34</v>
      </c>
      <c r="K1381" s="7"/>
      <c r="L1381" s="8">
        <v>1.771511387973E12</v>
      </c>
      <c r="M1381" s="9"/>
      <c r="N1381" s="10"/>
      <c r="O1381" s="10"/>
      <c r="P1381" s="10"/>
      <c r="Q1381" s="10"/>
      <c r="R1381" s="10"/>
      <c r="S1381" s="10"/>
      <c r="T1381" s="10"/>
      <c r="U1381" s="10"/>
      <c r="V1381" s="10"/>
    </row>
    <row r="1382" ht="22.5" customHeight="1">
      <c r="A1382" s="5">
        <v>2.03880154522E11</v>
      </c>
      <c r="B1382" s="5" t="s">
        <v>1467</v>
      </c>
      <c r="C1382" s="5">
        <v>526393981006</v>
      </c>
      <c r="D1382" s="5" t="s">
        <v>38</v>
      </c>
      <c r="E1382" s="5">
        <v>8.0566583E7</v>
      </c>
      <c r="F1382" s="5"/>
      <c r="G1382" s="5"/>
      <c r="H1382" s="5"/>
      <c r="I1382" s="6"/>
      <c r="J1382" s="7" t="s">
        <v>18</v>
      </c>
      <c r="K1382" s="7" t="s">
        <v>61</v>
      </c>
      <c r="L1382" s="8">
        <v>1.771511741416E12</v>
      </c>
      <c r="M1382" s="9"/>
      <c r="N1382" s="10"/>
      <c r="O1382" s="10"/>
      <c r="P1382" s="10"/>
      <c r="Q1382" s="10"/>
      <c r="R1382" s="10"/>
      <c r="S1382" s="10"/>
      <c r="T1382" s="10"/>
      <c r="U1382" s="10"/>
      <c r="V1382" s="10"/>
    </row>
    <row r="1383" ht="22.5" customHeight="1">
      <c r="A1383" s="5">
        <v>2.03880154522E11</v>
      </c>
      <c r="B1383" s="5" t="s">
        <v>1467</v>
      </c>
      <c r="C1383" s="5">
        <v>526393981006</v>
      </c>
      <c r="D1383" s="5" t="s">
        <v>38</v>
      </c>
      <c r="E1383" s="5">
        <v>8.0566583E7</v>
      </c>
      <c r="F1383" s="5"/>
      <c r="G1383" s="5"/>
      <c r="H1383" s="5"/>
      <c r="I1383" s="6"/>
      <c r="J1383" s="7" t="s">
        <v>18</v>
      </c>
      <c r="K1383" s="7" t="s">
        <v>61</v>
      </c>
      <c r="L1383" s="8">
        <v>1.771511795418E12</v>
      </c>
      <c r="M1383" s="9"/>
      <c r="N1383" s="10"/>
      <c r="O1383" s="10"/>
      <c r="P1383" s="10"/>
      <c r="Q1383" s="10"/>
      <c r="R1383" s="10"/>
      <c r="S1383" s="10"/>
      <c r="T1383" s="10"/>
      <c r="U1383" s="10"/>
      <c r="V1383" s="10"/>
    </row>
    <row r="1384" ht="22.5" customHeight="1">
      <c r="A1384" s="5">
        <v>2.03880343927E11</v>
      </c>
      <c r="B1384" s="5" t="s">
        <v>1468</v>
      </c>
      <c r="C1384" s="5">
        <v>51996608167</v>
      </c>
      <c r="D1384" s="5" t="s">
        <v>13</v>
      </c>
      <c r="E1384" s="5">
        <v>8.0566583E7</v>
      </c>
      <c r="F1384" s="5" t="s">
        <v>28</v>
      </c>
      <c r="G1384" s="5" t="s">
        <v>15</v>
      </c>
      <c r="H1384" s="5" t="s">
        <v>69</v>
      </c>
      <c r="I1384" s="6" t="s">
        <v>17</v>
      </c>
      <c r="J1384" s="7" t="s">
        <v>18</v>
      </c>
      <c r="K1384" s="7" t="s">
        <v>19</v>
      </c>
      <c r="L1384" s="8">
        <v>1.771511842324E12</v>
      </c>
      <c r="M1384" s="9"/>
      <c r="N1384" s="10"/>
      <c r="O1384" s="10"/>
      <c r="P1384" s="10"/>
      <c r="Q1384" s="10"/>
      <c r="R1384" s="10"/>
      <c r="S1384" s="10"/>
      <c r="T1384" s="10"/>
      <c r="U1384" s="10"/>
      <c r="V1384" s="10"/>
    </row>
    <row r="1385" ht="22.5" customHeight="1">
      <c r="A1385" s="5">
        <v>2.0387301641E11</v>
      </c>
      <c r="B1385" s="5" t="s">
        <v>1469</v>
      </c>
      <c r="C1385" s="5">
        <v>5511919237383</v>
      </c>
      <c r="D1385" s="5" t="s">
        <v>38</v>
      </c>
      <c r="E1385" s="5">
        <v>7.9360573E7</v>
      </c>
      <c r="F1385" s="5" t="s">
        <v>510</v>
      </c>
      <c r="G1385" s="5" t="s">
        <v>15</v>
      </c>
      <c r="H1385" s="5" t="s">
        <v>16</v>
      </c>
      <c r="I1385" s="6" t="s">
        <v>17</v>
      </c>
      <c r="J1385" s="7" t="s">
        <v>124</v>
      </c>
      <c r="K1385" s="7" t="s">
        <v>125</v>
      </c>
      <c r="L1385" s="8">
        <v>1.771511909641E12</v>
      </c>
      <c r="M1385" s="9"/>
      <c r="N1385" s="10"/>
      <c r="O1385" s="10"/>
      <c r="P1385" s="10"/>
      <c r="Q1385" s="10"/>
      <c r="R1385" s="10"/>
      <c r="S1385" s="10"/>
      <c r="T1385" s="10"/>
      <c r="U1385" s="10"/>
      <c r="V1385" s="10"/>
    </row>
    <row r="1386" ht="22.5" customHeight="1">
      <c r="A1386" s="5">
        <v>2.0387432872E11</v>
      </c>
      <c r="B1386" s="5" t="s">
        <v>1470</v>
      </c>
      <c r="C1386" s="5">
        <v>5548991917560</v>
      </c>
      <c r="D1386" s="5" t="s">
        <v>22</v>
      </c>
      <c r="E1386" s="5">
        <v>7.9360573E7</v>
      </c>
      <c r="F1386" s="5" t="s">
        <v>28</v>
      </c>
      <c r="G1386" s="5" t="s">
        <v>44</v>
      </c>
      <c r="H1386" s="5" t="s">
        <v>24</v>
      </c>
      <c r="I1386" s="6" t="s">
        <v>17</v>
      </c>
      <c r="J1386" s="7" t="s">
        <v>34</v>
      </c>
      <c r="K1386" s="7"/>
      <c r="L1386" s="8">
        <v>1.771512328239E12</v>
      </c>
      <c r="M1386" s="9"/>
      <c r="N1386" s="10"/>
      <c r="O1386" s="10"/>
      <c r="P1386" s="10"/>
      <c r="Q1386" s="10"/>
      <c r="R1386" s="10"/>
      <c r="S1386" s="10"/>
      <c r="T1386" s="10"/>
      <c r="U1386" s="10"/>
      <c r="V1386" s="10"/>
    </row>
    <row r="1387" ht="22.5" customHeight="1">
      <c r="A1387" s="5">
        <v>2.03873474463E11</v>
      </c>
      <c r="B1387" s="5" t="s">
        <v>1471</v>
      </c>
      <c r="C1387" s="5">
        <v>5515981641871</v>
      </c>
      <c r="D1387" s="5" t="s">
        <v>22</v>
      </c>
      <c r="E1387" s="5">
        <v>7.9360573E7</v>
      </c>
      <c r="F1387" s="5" t="s">
        <v>39</v>
      </c>
      <c r="G1387" s="5" t="s">
        <v>44</v>
      </c>
      <c r="H1387" s="5" t="s">
        <v>33</v>
      </c>
      <c r="I1387" s="6" t="s">
        <v>148</v>
      </c>
      <c r="J1387" s="7" t="s">
        <v>34</v>
      </c>
      <c r="K1387" s="7"/>
      <c r="L1387" s="8">
        <v>1.771512592756E12</v>
      </c>
      <c r="M1387" s="9"/>
      <c r="N1387" s="10"/>
      <c r="O1387" s="10"/>
      <c r="P1387" s="10"/>
      <c r="Q1387" s="10"/>
      <c r="R1387" s="10"/>
      <c r="S1387" s="10"/>
      <c r="T1387" s="10"/>
      <c r="U1387" s="10"/>
      <c r="V1387" s="10"/>
    </row>
    <row r="1388" ht="22.5" customHeight="1">
      <c r="A1388" s="5">
        <v>2.03874763622E11</v>
      </c>
      <c r="B1388" s="5" t="s">
        <v>1472</v>
      </c>
      <c r="C1388" s="5">
        <v>5538997448306</v>
      </c>
      <c r="D1388" s="5" t="s">
        <v>13</v>
      </c>
      <c r="E1388" s="5">
        <v>7.9360573E7</v>
      </c>
      <c r="F1388" s="5" t="s">
        <v>93</v>
      </c>
      <c r="G1388" s="5" t="s">
        <v>15</v>
      </c>
      <c r="H1388" s="5" t="s">
        <v>114</v>
      </c>
      <c r="I1388" s="6" t="s">
        <v>148</v>
      </c>
      <c r="J1388" s="7" t="s">
        <v>34</v>
      </c>
      <c r="K1388" s="7"/>
      <c r="L1388" s="8">
        <v>1.771513112735E12</v>
      </c>
      <c r="M1388" s="9"/>
      <c r="N1388" s="10"/>
      <c r="O1388" s="10"/>
      <c r="P1388" s="10"/>
      <c r="Q1388" s="10"/>
      <c r="R1388" s="10"/>
      <c r="S1388" s="10"/>
      <c r="T1388" s="10"/>
      <c r="U1388" s="10"/>
      <c r="V1388" s="10"/>
    </row>
    <row r="1389" ht="22.5" customHeight="1">
      <c r="A1389" s="5">
        <v>2.03880808855E11</v>
      </c>
      <c r="B1389" s="5" t="s">
        <v>1473</v>
      </c>
      <c r="C1389" s="5">
        <v>5575983217121</v>
      </c>
      <c r="D1389" s="5" t="s">
        <v>22</v>
      </c>
      <c r="E1389" s="5">
        <v>7.9360573E7</v>
      </c>
      <c r="F1389" s="5" t="s">
        <v>39</v>
      </c>
      <c r="G1389" s="5" t="s">
        <v>44</v>
      </c>
      <c r="H1389" s="5" t="s">
        <v>114</v>
      </c>
      <c r="I1389" s="6" t="s">
        <v>148</v>
      </c>
      <c r="J1389" s="7" t="s">
        <v>58</v>
      </c>
      <c r="K1389" s="11" t="s">
        <v>59</v>
      </c>
      <c r="L1389" s="8">
        <v>1.771513249005E12</v>
      </c>
      <c r="M1389" s="9"/>
      <c r="N1389" s="10"/>
      <c r="O1389" s="10"/>
      <c r="P1389" s="10"/>
      <c r="Q1389" s="10"/>
      <c r="R1389" s="10"/>
      <c r="S1389" s="10"/>
      <c r="T1389" s="10"/>
      <c r="U1389" s="10"/>
      <c r="V1389" s="10"/>
    </row>
    <row r="1390" ht="22.5" customHeight="1">
      <c r="A1390" s="5">
        <v>2.03868866404E11</v>
      </c>
      <c r="B1390" s="5" t="s">
        <v>1474</v>
      </c>
      <c r="C1390" s="5">
        <v>5551998858912</v>
      </c>
      <c r="D1390" s="5" t="s">
        <v>22</v>
      </c>
      <c r="E1390" s="5">
        <v>8.0566583E7</v>
      </c>
      <c r="F1390" s="5" t="s">
        <v>39</v>
      </c>
      <c r="G1390" s="5" t="s">
        <v>44</v>
      </c>
      <c r="H1390" s="5" t="s">
        <v>74</v>
      </c>
      <c r="I1390" s="6" t="s">
        <v>148</v>
      </c>
      <c r="J1390" s="7" t="s">
        <v>34</v>
      </c>
      <c r="K1390" s="7"/>
      <c r="L1390" s="8">
        <v>1.771513572531E12</v>
      </c>
      <c r="M1390" s="9"/>
      <c r="N1390" s="10"/>
      <c r="O1390" s="10"/>
      <c r="P1390" s="10"/>
      <c r="Q1390" s="10"/>
      <c r="R1390" s="10"/>
      <c r="S1390" s="10"/>
      <c r="T1390" s="10"/>
      <c r="U1390" s="10"/>
      <c r="V1390" s="10"/>
    </row>
    <row r="1391" ht="22.5" customHeight="1">
      <c r="A1391" s="5">
        <v>2.03882836637E11</v>
      </c>
      <c r="B1391" s="5" t="s">
        <v>1475</v>
      </c>
      <c r="C1391" s="5">
        <v>5531992006835</v>
      </c>
      <c r="D1391" s="5" t="s">
        <v>22</v>
      </c>
      <c r="E1391" s="5">
        <v>7.9360573E7</v>
      </c>
      <c r="F1391" s="5" t="s">
        <v>39</v>
      </c>
      <c r="G1391" s="5" t="s">
        <v>32</v>
      </c>
      <c r="H1391" s="5" t="s">
        <v>80</v>
      </c>
      <c r="I1391" s="6" t="s">
        <v>148</v>
      </c>
      <c r="J1391" s="7" t="s">
        <v>34</v>
      </c>
      <c r="K1391" s="7"/>
      <c r="L1391" s="8">
        <v>1.771513895317E12</v>
      </c>
      <c r="M1391" s="9"/>
      <c r="N1391" s="10"/>
      <c r="O1391" s="10"/>
      <c r="P1391" s="10"/>
      <c r="Q1391" s="10"/>
      <c r="R1391" s="10"/>
      <c r="S1391" s="10"/>
      <c r="T1391" s="10"/>
      <c r="U1391" s="10"/>
      <c r="V1391" s="10"/>
    </row>
    <row r="1392" ht="22.5" customHeight="1">
      <c r="A1392" s="5">
        <v>2.03884334671E11</v>
      </c>
      <c r="B1392" s="5" t="s">
        <v>1476</v>
      </c>
      <c r="C1392" s="5">
        <v>527713270450</v>
      </c>
      <c r="D1392" s="5" t="s">
        <v>13</v>
      </c>
      <c r="E1392" s="5">
        <v>8.0566583E7</v>
      </c>
      <c r="F1392" s="5" t="s">
        <v>510</v>
      </c>
      <c r="G1392" s="5" t="s">
        <v>15</v>
      </c>
      <c r="H1392" s="5" t="s">
        <v>16</v>
      </c>
      <c r="I1392" s="6" t="s">
        <v>17</v>
      </c>
      <c r="J1392" s="7" t="s">
        <v>25</v>
      </c>
      <c r="K1392" s="7" t="s">
        <v>501</v>
      </c>
      <c r="L1392" s="8">
        <v>1.771514251454E12</v>
      </c>
      <c r="M1392" s="9"/>
      <c r="N1392" s="10"/>
      <c r="O1392" s="10"/>
      <c r="P1392" s="10"/>
      <c r="Q1392" s="10"/>
      <c r="R1392" s="10"/>
      <c r="S1392" s="10"/>
      <c r="T1392" s="10"/>
      <c r="U1392" s="10"/>
      <c r="V1392" s="10"/>
    </row>
    <row r="1393" ht="22.5" customHeight="1">
      <c r="A1393" s="5">
        <v>2.03890290002E11</v>
      </c>
      <c r="B1393" s="5" t="s">
        <v>1477</v>
      </c>
      <c r="C1393" s="5">
        <v>51934930107</v>
      </c>
      <c r="D1393" s="5" t="s">
        <v>13</v>
      </c>
      <c r="E1393" s="5">
        <v>8.7547393E7</v>
      </c>
      <c r="F1393" s="5" t="s">
        <v>65</v>
      </c>
      <c r="G1393" s="5" t="s">
        <v>32</v>
      </c>
      <c r="H1393" s="5" t="s">
        <v>1478</v>
      </c>
      <c r="I1393" s="6" t="s">
        <v>17</v>
      </c>
      <c r="J1393" s="7" t="s">
        <v>25</v>
      </c>
      <c r="K1393" s="7" t="s">
        <v>26</v>
      </c>
      <c r="L1393" s="8">
        <v>1.771514995597E12</v>
      </c>
      <c r="M1393" s="9"/>
      <c r="N1393" s="10"/>
      <c r="O1393" s="10"/>
      <c r="P1393" s="10"/>
      <c r="Q1393" s="10"/>
      <c r="R1393" s="10"/>
      <c r="S1393" s="10"/>
      <c r="T1393" s="10"/>
      <c r="U1393" s="10"/>
      <c r="V1393" s="10"/>
    </row>
    <row r="1394" ht="22.5" customHeight="1">
      <c r="A1394" s="5">
        <v>2.03890464357E11</v>
      </c>
      <c r="B1394" s="5" t="s">
        <v>1479</v>
      </c>
      <c r="C1394" s="5">
        <v>5545999510215</v>
      </c>
      <c r="D1394" s="5" t="s">
        <v>22</v>
      </c>
      <c r="E1394" s="5">
        <v>7.9360573E7</v>
      </c>
      <c r="F1394" s="5" t="s">
        <v>93</v>
      </c>
      <c r="G1394" s="5" t="s">
        <v>32</v>
      </c>
      <c r="H1394" s="5" t="s">
        <v>16</v>
      </c>
      <c r="I1394" s="6" t="s">
        <v>17</v>
      </c>
      <c r="J1394" s="7" t="s">
        <v>34</v>
      </c>
      <c r="K1394" s="7"/>
      <c r="L1394" s="8">
        <v>1.771515023128E12</v>
      </c>
      <c r="M1394" s="9"/>
      <c r="N1394" s="10"/>
      <c r="O1394" s="10"/>
      <c r="P1394" s="10"/>
      <c r="Q1394" s="10"/>
      <c r="R1394" s="10"/>
      <c r="S1394" s="10"/>
      <c r="T1394" s="10"/>
      <c r="U1394" s="10"/>
      <c r="V1394" s="10"/>
    </row>
    <row r="1395" ht="22.5" customHeight="1">
      <c r="A1395" s="5">
        <v>2.03888036756E11</v>
      </c>
      <c r="B1395" s="5" t="s">
        <v>1480</v>
      </c>
      <c r="C1395" s="5">
        <v>51957745283</v>
      </c>
      <c r="D1395" s="5" t="s">
        <v>13</v>
      </c>
      <c r="E1395" s="5">
        <v>8.0566583E7</v>
      </c>
      <c r="F1395" s="5" t="s">
        <v>259</v>
      </c>
      <c r="G1395" s="5" t="s">
        <v>15</v>
      </c>
      <c r="H1395" s="5" t="s">
        <v>24</v>
      </c>
      <c r="I1395" s="6" t="s">
        <v>17</v>
      </c>
      <c r="J1395" s="7" t="s">
        <v>18</v>
      </c>
      <c r="K1395" s="7" t="s">
        <v>19</v>
      </c>
      <c r="L1395" s="8">
        <v>1.771515899917E12</v>
      </c>
      <c r="M1395" s="9"/>
      <c r="N1395" s="10"/>
      <c r="O1395" s="10"/>
      <c r="P1395" s="10"/>
      <c r="Q1395" s="10"/>
      <c r="R1395" s="10"/>
      <c r="S1395" s="10"/>
      <c r="T1395" s="10"/>
      <c r="U1395" s="10"/>
      <c r="V1395" s="10"/>
    </row>
    <row r="1396" ht="22.5" customHeight="1">
      <c r="A1396" s="5">
        <v>2.03885090707E11</v>
      </c>
      <c r="B1396" s="5" t="s">
        <v>1481</v>
      </c>
      <c r="C1396" s="5">
        <v>584142772951</v>
      </c>
      <c r="D1396" s="5" t="s">
        <v>38</v>
      </c>
      <c r="E1396" s="5">
        <v>8.0566583E7</v>
      </c>
      <c r="F1396" s="5"/>
      <c r="G1396" s="5"/>
      <c r="H1396" s="5"/>
      <c r="I1396" s="6"/>
      <c r="J1396" s="7" t="s">
        <v>124</v>
      </c>
      <c r="K1396" s="7" t="s">
        <v>125</v>
      </c>
      <c r="L1396" s="8">
        <v>1.771515958226E12</v>
      </c>
      <c r="M1396" s="9"/>
      <c r="N1396" s="10"/>
      <c r="O1396" s="10"/>
      <c r="P1396" s="10"/>
      <c r="Q1396" s="10"/>
      <c r="R1396" s="10"/>
      <c r="S1396" s="10"/>
      <c r="T1396" s="10"/>
      <c r="U1396" s="10"/>
      <c r="V1396" s="10"/>
    </row>
    <row r="1397" ht="22.5" customHeight="1">
      <c r="A1397" s="5">
        <v>2.03890752065E11</v>
      </c>
      <c r="B1397" s="5" t="s">
        <v>1482</v>
      </c>
      <c r="C1397" s="5">
        <v>5543991588966</v>
      </c>
      <c r="D1397" s="5" t="s">
        <v>13</v>
      </c>
      <c r="E1397" s="5">
        <v>7.9360573E7</v>
      </c>
      <c r="F1397" s="5" t="s">
        <v>28</v>
      </c>
      <c r="G1397" s="5" t="s">
        <v>32</v>
      </c>
      <c r="H1397" s="5" t="s">
        <v>16</v>
      </c>
      <c r="I1397" s="6" t="s">
        <v>148</v>
      </c>
      <c r="J1397" s="7" t="s">
        <v>58</v>
      </c>
      <c r="K1397" s="11" t="s">
        <v>59</v>
      </c>
      <c r="L1397" s="8">
        <v>1.771516268017E12</v>
      </c>
      <c r="M1397" s="9"/>
      <c r="N1397" s="10"/>
      <c r="O1397" s="10"/>
      <c r="P1397" s="10"/>
      <c r="Q1397" s="10"/>
      <c r="R1397" s="10"/>
      <c r="S1397" s="10"/>
      <c r="T1397" s="10"/>
      <c r="U1397" s="10"/>
      <c r="V1397" s="10"/>
    </row>
    <row r="1398" ht="22.5" customHeight="1">
      <c r="A1398" s="5">
        <v>2.03887882612E11</v>
      </c>
      <c r="B1398" s="5" t="s">
        <v>1483</v>
      </c>
      <c r="C1398" s="5">
        <v>5531982133182</v>
      </c>
      <c r="D1398" s="5" t="s">
        <v>13</v>
      </c>
      <c r="E1398" s="5">
        <v>7.9360573E7</v>
      </c>
      <c r="F1398" s="5" t="s">
        <v>14</v>
      </c>
      <c r="G1398" s="5" t="s">
        <v>32</v>
      </c>
      <c r="H1398" s="5" t="s">
        <v>33</v>
      </c>
      <c r="I1398" s="6" t="s">
        <v>148</v>
      </c>
      <c r="J1398" s="7" t="s">
        <v>58</v>
      </c>
      <c r="K1398" s="11" t="s">
        <v>59</v>
      </c>
      <c r="L1398" s="8">
        <v>1.771516699803E12</v>
      </c>
      <c r="M1398" s="9"/>
      <c r="N1398" s="10"/>
      <c r="O1398" s="10"/>
      <c r="P1398" s="10"/>
      <c r="Q1398" s="10"/>
      <c r="R1398" s="10"/>
      <c r="S1398" s="10"/>
      <c r="T1398" s="10"/>
      <c r="U1398" s="10"/>
      <c r="V1398" s="10"/>
    </row>
    <row r="1399" ht="22.5" customHeight="1">
      <c r="A1399" s="5">
        <v>2.03887461529E11</v>
      </c>
      <c r="B1399" s="5" t="s">
        <v>1484</v>
      </c>
      <c r="C1399" s="5">
        <v>5561991660173</v>
      </c>
      <c r="D1399" s="5" t="s">
        <v>13</v>
      </c>
      <c r="E1399" s="5">
        <v>7.9360573E7</v>
      </c>
      <c r="F1399" s="5" t="s">
        <v>259</v>
      </c>
      <c r="G1399" s="5" t="s">
        <v>32</v>
      </c>
      <c r="H1399" s="5" t="s">
        <v>66</v>
      </c>
      <c r="I1399" s="6" t="s">
        <v>148</v>
      </c>
      <c r="J1399" s="7" t="s">
        <v>34</v>
      </c>
      <c r="K1399" s="7"/>
      <c r="L1399" s="8">
        <v>1.771516879993E12</v>
      </c>
      <c r="M1399" s="9"/>
      <c r="N1399" s="10"/>
      <c r="O1399" s="10"/>
      <c r="P1399" s="10"/>
      <c r="Q1399" s="10"/>
      <c r="R1399" s="10"/>
      <c r="S1399" s="10"/>
      <c r="T1399" s="10"/>
      <c r="U1399" s="10"/>
      <c r="V1399" s="10"/>
    </row>
    <row r="1400" ht="22.5" customHeight="1">
      <c r="A1400" s="5">
        <v>2.0388788433E11</v>
      </c>
      <c r="B1400" s="5" t="s">
        <v>1485</v>
      </c>
      <c r="C1400" s="5">
        <v>51982032515</v>
      </c>
      <c r="D1400" s="5" t="s">
        <v>38</v>
      </c>
      <c r="E1400" s="5">
        <v>8.7547393E7</v>
      </c>
      <c r="F1400" s="5" t="s">
        <v>28</v>
      </c>
      <c r="G1400" s="5" t="s">
        <v>15</v>
      </c>
      <c r="H1400" s="5" t="s">
        <v>66</v>
      </c>
      <c r="I1400" s="6" t="s">
        <v>17</v>
      </c>
      <c r="J1400" s="7" t="s">
        <v>34</v>
      </c>
      <c r="K1400" s="7"/>
      <c r="L1400" s="8">
        <v>1.771517048325E12</v>
      </c>
      <c r="M1400" s="9"/>
      <c r="N1400" s="10"/>
      <c r="O1400" s="10"/>
      <c r="P1400" s="10"/>
      <c r="Q1400" s="10"/>
      <c r="R1400" s="10"/>
      <c r="S1400" s="10"/>
      <c r="T1400" s="10"/>
      <c r="U1400" s="10"/>
      <c r="V1400" s="10"/>
    </row>
    <row r="1401" ht="22.5" customHeight="1">
      <c r="A1401" s="5">
        <v>2.03887942666E11</v>
      </c>
      <c r="B1401" s="5" t="s">
        <v>1486</v>
      </c>
      <c r="C1401" s="5">
        <v>51936032197</v>
      </c>
      <c r="D1401" s="5" t="s">
        <v>38</v>
      </c>
      <c r="E1401" s="5">
        <v>8.0566583E7</v>
      </c>
      <c r="F1401" s="5" t="s">
        <v>259</v>
      </c>
      <c r="G1401" s="5" t="s">
        <v>15</v>
      </c>
      <c r="H1401" s="5" t="s">
        <v>51</v>
      </c>
      <c r="I1401" s="6" t="s">
        <v>17</v>
      </c>
      <c r="J1401" s="7" t="s">
        <v>25</v>
      </c>
      <c r="K1401" s="7" t="s">
        <v>501</v>
      </c>
      <c r="L1401" s="8">
        <v>1.771517548726E12</v>
      </c>
      <c r="M1401" s="9"/>
      <c r="N1401" s="10"/>
      <c r="O1401" s="10"/>
      <c r="P1401" s="10"/>
      <c r="Q1401" s="10"/>
      <c r="R1401" s="10"/>
      <c r="S1401" s="10"/>
      <c r="T1401" s="10"/>
      <c r="U1401" s="10"/>
      <c r="V1401" s="10"/>
    </row>
    <row r="1402" ht="22.5" customHeight="1">
      <c r="A1402" s="5">
        <v>2.03894055198E11</v>
      </c>
      <c r="B1402" s="5" t="s">
        <v>1487</v>
      </c>
      <c r="C1402" s="5">
        <v>5516974061492</v>
      </c>
      <c r="D1402" s="5" t="s">
        <v>13</v>
      </c>
      <c r="E1402" s="5">
        <v>7.9360573E7</v>
      </c>
      <c r="F1402" s="5" t="s">
        <v>28</v>
      </c>
      <c r="G1402" s="5" t="s">
        <v>15</v>
      </c>
      <c r="H1402" s="5" t="s">
        <v>51</v>
      </c>
      <c r="I1402" s="6" t="s">
        <v>36</v>
      </c>
      <c r="J1402" s="7" t="s">
        <v>34</v>
      </c>
      <c r="K1402" s="7"/>
      <c r="L1402" s="8">
        <v>1.771517828257E12</v>
      </c>
      <c r="M1402" s="9"/>
      <c r="N1402" s="10"/>
      <c r="O1402" s="10"/>
      <c r="P1402" s="10"/>
      <c r="Q1402" s="10"/>
      <c r="R1402" s="10"/>
      <c r="S1402" s="10"/>
      <c r="T1402" s="10"/>
      <c r="U1402" s="10"/>
      <c r="V1402" s="10"/>
    </row>
    <row r="1403" ht="22.5" customHeight="1">
      <c r="A1403" s="5">
        <v>2.03895056224E11</v>
      </c>
      <c r="B1403" s="5" t="s">
        <v>1488</v>
      </c>
      <c r="C1403" s="5">
        <v>51917717171</v>
      </c>
      <c r="D1403" s="5" t="s">
        <v>22</v>
      </c>
      <c r="E1403" s="5">
        <v>8.7547393E7</v>
      </c>
      <c r="F1403" s="5" t="s">
        <v>28</v>
      </c>
      <c r="G1403" s="5" t="s">
        <v>44</v>
      </c>
      <c r="H1403" s="5" t="s">
        <v>114</v>
      </c>
      <c r="I1403" s="6" t="s">
        <v>17</v>
      </c>
      <c r="J1403" s="7" t="s">
        <v>18</v>
      </c>
      <c r="K1403" s="7" t="s">
        <v>19</v>
      </c>
      <c r="L1403" s="8">
        <v>1.771518218603E12</v>
      </c>
      <c r="M1403" s="9"/>
      <c r="N1403" s="10"/>
      <c r="O1403" s="10"/>
      <c r="P1403" s="10"/>
      <c r="Q1403" s="10"/>
      <c r="R1403" s="10"/>
      <c r="S1403" s="10"/>
      <c r="T1403" s="10"/>
      <c r="U1403" s="10"/>
      <c r="V1403" s="10"/>
    </row>
    <row r="1404" ht="22.5" customHeight="1">
      <c r="A1404" s="5">
        <v>2.03892858036E11</v>
      </c>
      <c r="B1404" s="5" t="s">
        <v>1489</v>
      </c>
      <c r="C1404" s="5">
        <v>5579996448096</v>
      </c>
      <c r="D1404" s="5" t="s">
        <v>13</v>
      </c>
      <c r="E1404" s="5">
        <v>7.9360573E7</v>
      </c>
      <c r="F1404" s="5" t="s">
        <v>39</v>
      </c>
      <c r="G1404" s="5" t="s">
        <v>15</v>
      </c>
      <c r="H1404" s="5" t="s">
        <v>114</v>
      </c>
      <c r="I1404" s="6" t="s">
        <v>148</v>
      </c>
      <c r="J1404" s="7" t="s">
        <v>34</v>
      </c>
      <c r="K1404" s="7"/>
      <c r="L1404" s="8">
        <v>1.771518221549E12</v>
      </c>
      <c r="M1404" s="9"/>
      <c r="N1404" s="10"/>
      <c r="O1404" s="10"/>
      <c r="P1404" s="10"/>
      <c r="Q1404" s="10"/>
      <c r="R1404" s="10"/>
      <c r="S1404" s="10"/>
      <c r="T1404" s="10"/>
      <c r="U1404" s="10"/>
      <c r="V1404" s="10"/>
    </row>
    <row r="1405" ht="22.5" customHeight="1">
      <c r="A1405" s="5">
        <v>2.03908941106E11</v>
      </c>
      <c r="B1405" s="5" t="s">
        <v>1490</v>
      </c>
      <c r="C1405" s="5">
        <v>5567999204725</v>
      </c>
      <c r="D1405" s="5" t="s">
        <v>22</v>
      </c>
      <c r="E1405" s="5">
        <v>7.9360573E7</v>
      </c>
      <c r="F1405" s="5" t="s">
        <v>39</v>
      </c>
      <c r="G1405" s="5" t="s">
        <v>44</v>
      </c>
      <c r="H1405" s="5" t="s">
        <v>114</v>
      </c>
      <c r="I1405" s="6" t="s">
        <v>148</v>
      </c>
      <c r="J1405" s="7" t="s">
        <v>34</v>
      </c>
      <c r="K1405" s="7"/>
      <c r="L1405" s="8">
        <v>1.771520857211E12</v>
      </c>
      <c r="M1405" s="9"/>
      <c r="N1405" s="10"/>
      <c r="O1405" s="10"/>
      <c r="P1405" s="10"/>
      <c r="Q1405" s="10"/>
      <c r="R1405" s="10"/>
      <c r="S1405" s="10"/>
      <c r="T1405" s="10"/>
      <c r="U1405" s="10"/>
      <c r="V1405" s="10"/>
    </row>
    <row r="1406" ht="22.5" customHeight="1">
      <c r="A1406" s="5">
        <v>2.03899394353E11</v>
      </c>
      <c r="B1406" s="5" t="s">
        <v>1491</v>
      </c>
      <c r="C1406" s="5">
        <v>51919665368</v>
      </c>
      <c r="D1406" s="5" t="s">
        <v>38</v>
      </c>
      <c r="E1406" s="5">
        <v>8.7547393E7</v>
      </c>
      <c r="F1406" s="5"/>
      <c r="G1406" s="5"/>
      <c r="H1406" s="5"/>
      <c r="I1406" s="6"/>
      <c r="J1406" s="7" t="s">
        <v>18</v>
      </c>
      <c r="K1406" s="7" t="s">
        <v>19</v>
      </c>
      <c r="L1406" s="8">
        <v>1.771520896762E12</v>
      </c>
      <c r="M1406" s="9"/>
      <c r="N1406" s="10"/>
      <c r="O1406" s="10"/>
      <c r="P1406" s="10"/>
      <c r="Q1406" s="10"/>
      <c r="R1406" s="10"/>
      <c r="S1406" s="10"/>
      <c r="T1406" s="10"/>
      <c r="U1406" s="10"/>
      <c r="V1406" s="10"/>
    </row>
    <row r="1407" ht="22.5" customHeight="1">
      <c r="A1407" s="5">
        <v>1.55901182232E11</v>
      </c>
      <c r="B1407" s="5" t="s">
        <v>1492</v>
      </c>
      <c r="C1407" s="5">
        <v>51954782459</v>
      </c>
      <c r="D1407" s="5" t="s">
        <v>13</v>
      </c>
      <c r="E1407" s="5"/>
      <c r="F1407" s="5" t="s">
        <v>14</v>
      </c>
      <c r="G1407" s="5" t="s">
        <v>15</v>
      </c>
      <c r="H1407" s="5" t="s">
        <v>16</v>
      </c>
      <c r="I1407" s="6" t="s">
        <v>17</v>
      </c>
      <c r="J1407" s="7" t="s">
        <v>18</v>
      </c>
      <c r="K1407" s="7" t="s">
        <v>19</v>
      </c>
      <c r="L1407" s="8">
        <v>1.771520995217E12</v>
      </c>
      <c r="M1407" s="9"/>
      <c r="N1407" s="10"/>
      <c r="O1407" s="10"/>
      <c r="P1407" s="10"/>
      <c r="Q1407" s="10"/>
      <c r="R1407" s="10"/>
      <c r="S1407" s="10"/>
      <c r="T1407" s="10"/>
      <c r="U1407" s="10"/>
      <c r="V1407" s="10"/>
    </row>
    <row r="1408" ht="22.5" customHeight="1">
      <c r="A1408" s="5">
        <v>2.02413007394E11</v>
      </c>
      <c r="B1408" s="5" t="s">
        <v>1493</v>
      </c>
      <c r="C1408" s="5">
        <v>51957089501</v>
      </c>
      <c r="D1408" s="5" t="s">
        <v>38</v>
      </c>
      <c r="E1408" s="5">
        <v>8.0566583E7</v>
      </c>
      <c r="F1408" s="5"/>
      <c r="G1408" s="5"/>
      <c r="H1408" s="5"/>
      <c r="I1408" s="6"/>
      <c r="J1408" s="7" t="s">
        <v>34</v>
      </c>
      <c r="K1408" s="7"/>
      <c r="L1408" s="8">
        <v>1.771521342911E12</v>
      </c>
      <c r="M1408" s="9"/>
      <c r="N1408" s="10"/>
      <c r="O1408" s="10"/>
      <c r="P1408" s="10"/>
      <c r="Q1408" s="10"/>
      <c r="R1408" s="10"/>
      <c r="S1408" s="10"/>
      <c r="T1408" s="10"/>
      <c r="U1408" s="10"/>
      <c r="V1408" s="10"/>
    </row>
    <row r="1409" ht="22.5" customHeight="1">
      <c r="A1409" s="5">
        <v>2.03887942666E11</v>
      </c>
      <c r="B1409" s="5" t="s">
        <v>1486</v>
      </c>
      <c r="C1409" s="5">
        <v>51936032197</v>
      </c>
      <c r="D1409" s="5" t="s">
        <v>13</v>
      </c>
      <c r="E1409" s="5">
        <v>8.0566583E7</v>
      </c>
      <c r="F1409" s="5" t="s">
        <v>259</v>
      </c>
      <c r="G1409" s="5" t="s">
        <v>15</v>
      </c>
      <c r="H1409" s="5" t="s">
        <v>51</v>
      </c>
      <c r="I1409" s="6" t="s">
        <v>17</v>
      </c>
      <c r="J1409" s="7" t="s">
        <v>25</v>
      </c>
      <c r="K1409" s="7"/>
      <c r="L1409" s="8">
        <v>1.771521713488E12</v>
      </c>
      <c r="M1409" s="9"/>
      <c r="N1409" s="10"/>
      <c r="O1409" s="10"/>
      <c r="P1409" s="10"/>
      <c r="Q1409" s="10"/>
      <c r="R1409" s="10"/>
      <c r="S1409" s="10"/>
      <c r="T1409" s="10"/>
      <c r="U1409" s="10"/>
      <c r="V1409" s="10"/>
    </row>
    <row r="1410" ht="22.5" customHeight="1">
      <c r="A1410" s="5">
        <v>2.03907615496E11</v>
      </c>
      <c r="B1410" s="5" t="s">
        <v>1494</v>
      </c>
      <c r="C1410" s="5">
        <v>5598983496761</v>
      </c>
      <c r="D1410" s="5" t="s">
        <v>13</v>
      </c>
      <c r="E1410" s="5">
        <v>7.9360573E7</v>
      </c>
      <c r="F1410" s="5" t="s">
        <v>39</v>
      </c>
      <c r="G1410" s="5" t="s">
        <v>15</v>
      </c>
      <c r="H1410" s="5" t="s">
        <v>69</v>
      </c>
      <c r="I1410" s="6" t="s">
        <v>148</v>
      </c>
      <c r="J1410" s="7" t="s">
        <v>58</v>
      </c>
      <c r="K1410" s="11" t="s">
        <v>59</v>
      </c>
      <c r="L1410" s="8">
        <v>1.771521738677E12</v>
      </c>
      <c r="M1410" s="9"/>
      <c r="N1410" s="10"/>
      <c r="O1410" s="10"/>
      <c r="P1410" s="10"/>
      <c r="Q1410" s="10"/>
      <c r="R1410" s="10"/>
      <c r="S1410" s="10"/>
      <c r="T1410" s="10"/>
      <c r="U1410" s="10"/>
      <c r="V1410" s="10"/>
    </row>
    <row r="1411" ht="22.5" customHeight="1">
      <c r="A1411" s="5">
        <v>2.03908351324E11</v>
      </c>
      <c r="B1411" s="5" t="s">
        <v>1495</v>
      </c>
      <c r="C1411" s="5">
        <v>5571988391404</v>
      </c>
      <c r="D1411" s="5" t="s">
        <v>38</v>
      </c>
      <c r="E1411" s="5">
        <v>7.9360573E7</v>
      </c>
      <c r="F1411" s="5" t="s">
        <v>28</v>
      </c>
      <c r="G1411" s="5" t="s">
        <v>79</v>
      </c>
      <c r="H1411" s="5" t="s">
        <v>16</v>
      </c>
      <c r="I1411" s="6" t="s">
        <v>148</v>
      </c>
      <c r="J1411" s="7" t="s">
        <v>34</v>
      </c>
      <c r="K1411" s="7"/>
      <c r="L1411" s="8">
        <v>1.771521999875E12</v>
      </c>
      <c r="M1411" s="9"/>
      <c r="N1411" s="10"/>
      <c r="O1411" s="10"/>
      <c r="P1411" s="10"/>
      <c r="Q1411" s="10"/>
      <c r="R1411" s="10"/>
      <c r="S1411" s="10"/>
      <c r="T1411" s="10"/>
      <c r="U1411" s="10"/>
      <c r="V1411" s="10"/>
    </row>
    <row r="1412" ht="22.5" customHeight="1">
      <c r="A1412" s="5">
        <v>2.03907271842E11</v>
      </c>
      <c r="B1412" s="5" t="s">
        <v>1496</v>
      </c>
      <c r="C1412" s="5">
        <v>51976144082</v>
      </c>
      <c r="D1412" s="5" t="s">
        <v>22</v>
      </c>
      <c r="E1412" s="5">
        <v>8.0566583E7</v>
      </c>
      <c r="F1412" s="5" t="s">
        <v>14</v>
      </c>
      <c r="G1412" s="5" t="s">
        <v>44</v>
      </c>
      <c r="H1412" s="5" t="s">
        <v>69</v>
      </c>
      <c r="I1412" s="6" t="s">
        <v>17</v>
      </c>
      <c r="J1412" s="7" t="s">
        <v>18</v>
      </c>
      <c r="K1412" s="7" t="s">
        <v>19</v>
      </c>
      <c r="L1412" s="8">
        <v>1.771522177628E12</v>
      </c>
      <c r="M1412" s="9"/>
      <c r="N1412" s="10"/>
      <c r="O1412" s="10"/>
      <c r="P1412" s="10"/>
      <c r="Q1412" s="10"/>
      <c r="R1412" s="10"/>
      <c r="S1412" s="10"/>
      <c r="T1412" s="10"/>
      <c r="U1412" s="10"/>
      <c r="V1412" s="10"/>
    </row>
    <row r="1413" ht="22.5" customHeight="1">
      <c r="A1413" s="5">
        <v>2.03916582746E11</v>
      </c>
      <c r="B1413" s="5" t="s">
        <v>1497</v>
      </c>
      <c r="C1413" s="5">
        <v>523124181698</v>
      </c>
      <c r="D1413" s="5" t="s">
        <v>13</v>
      </c>
      <c r="E1413" s="5">
        <v>8.0566583E7</v>
      </c>
      <c r="F1413" s="5" t="s">
        <v>28</v>
      </c>
      <c r="G1413" s="5" t="s">
        <v>32</v>
      </c>
      <c r="H1413" s="5" t="s">
        <v>16</v>
      </c>
      <c r="I1413" s="6" t="s">
        <v>17</v>
      </c>
      <c r="J1413" s="7" t="s">
        <v>25</v>
      </c>
      <c r="K1413" s="7" t="s">
        <v>501</v>
      </c>
      <c r="L1413" s="8">
        <v>1.771522490957E12</v>
      </c>
      <c r="M1413" s="9"/>
      <c r="N1413" s="10"/>
      <c r="O1413" s="10"/>
      <c r="P1413" s="10"/>
      <c r="Q1413" s="10"/>
      <c r="R1413" s="10"/>
      <c r="S1413" s="10"/>
      <c r="T1413" s="10"/>
      <c r="U1413" s="10"/>
      <c r="V1413" s="10"/>
    </row>
    <row r="1414" ht="22.5" customHeight="1">
      <c r="A1414" s="5">
        <v>2.03919898781E11</v>
      </c>
      <c r="B1414" s="5" t="s">
        <v>1498</v>
      </c>
      <c r="C1414" s="5">
        <v>5511940733130</v>
      </c>
      <c r="D1414" s="5" t="s">
        <v>13</v>
      </c>
      <c r="E1414" s="5">
        <v>7.9360573E7</v>
      </c>
      <c r="F1414" s="5" t="s">
        <v>39</v>
      </c>
      <c r="G1414" s="5" t="s">
        <v>15</v>
      </c>
      <c r="H1414" s="5" t="s">
        <v>66</v>
      </c>
      <c r="I1414" s="6" t="s">
        <v>17</v>
      </c>
      <c r="J1414" s="7" t="s">
        <v>34</v>
      </c>
      <c r="K1414" s="7"/>
      <c r="L1414" s="8">
        <v>1.771524987306E12</v>
      </c>
      <c r="M1414" s="9"/>
      <c r="N1414" s="10"/>
      <c r="O1414" s="10"/>
      <c r="P1414" s="10"/>
      <c r="Q1414" s="10"/>
      <c r="R1414" s="10"/>
      <c r="S1414" s="10"/>
      <c r="T1414" s="10"/>
      <c r="U1414" s="10"/>
      <c r="V1414" s="10"/>
    </row>
    <row r="1415" ht="22.5" customHeight="1">
      <c r="A1415" s="5">
        <v>2.03918649974E11</v>
      </c>
      <c r="B1415" s="5" t="s">
        <v>1499</v>
      </c>
      <c r="C1415" s="5">
        <v>524438440090</v>
      </c>
      <c r="D1415" s="5" t="s">
        <v>38</v>
      </c>
      <c r="E1415" s="5">
        <v>8.0566583E7</v>
      </c>
      <c r="F1415" s="5" t="s">
        <v>14</v>
      </c>
      <c r="G1415" s="5" t="s">
        <v>15</v>
      </c>
      <c r="H1415" s="5" t="s">
        <v>51</v>
      </c>
      <c r="I1415" s="6" t="s">
        <v>63</v>
      </c>
      <c r="J1415" s="7" t="s">
        <v>34</v>
      </c>
      <c r="K1415" s="7"/>
      <c r="L1415" s="8">
        <v>1.771525209676E12</v>
      </c>
      <c r="M1415" s="9"/>
      <c r="N1415" s="10"/>
      <c r="O1415" s="10"/>
      <c r="P1415" s="10"/>
      <c r="Q1415" s="10"/>
      <c r="R1415" s="10"/>
      <c r="S1415" s="10"/>
      <c r="T1415" s="10"/>
      <c r="U1415" s="10"/>
      <c r="V1415" s="10"/>
    </row>
    <row r="1416" ht="22.5" customHeight="1">
      <c r="A1416" s="5">
        <v>2.03931245834E11</v>
      </c>
      <c r="B1416" s="5" t="s">
        <v>1500</v>
      </c>
      <c r="C1416" s="5">
        <v>51929046322</v>
      </c>
      <c r="D1416" s="5" t="s">
        <v>13</v>
      </c>
      <c r="E1416" s="5">
        <v>8.0566583E7</v>
      </c>
      <c r="F1416" s="5" t="s">
        <v>510</v>
      </c>
      <c r="G1416" s="5" t="s">
        <v>15</v>
      </c>
      <c r="H1416" s="5" t="s">
        <v>16</v>
      </c>
      <c r="I1416" s="6" t="s">
        <v>17</v>
      </c>
      <c r="J1416" s="7" t="s">
        <v>34</v>
      </c>
      <c r="K1416" s="7"/>
      <c r="L1416" s="8">
        <v>1.771525579176E12</v>
      </c>
      <c r="M1416" s="9"/>
      <c r="N1416" s="10"/>
      <c r="O1416" s="10"/>
      <c r="P1416" s="10"/>
      <c r="Q1416" s="10"/>
      <c r="R1416" s="10"/>
      <c r="S1416" s="10"/>
      <c r="T1416" s="10"/>
      <c r="U1416" s="10"/>
      <c r="V1416" s="10"/>
    </row>
    <row r="1417" ht="22.5" customHeight="1">
      <c r="A1417" s="5">
        <v>2.03920463932E11</v>
      </c>
      <c r="B1417" s="5" t="s">
        <v>1501</v>
      </c>
      <c r="C1417" s="5">
        <v>522461412340</v>
      </c>
      <c r="D1417" s="5" t="s">
        <v>13</v>
      </c>
      <c r="E1417" s="5">
        <v>8.7547393E7</v>
      </c>
      <c r="F1417" s="5" t="s">
        <v>39</v>
      </c>
      <c r="G1417" s="5" t="s">
        <v>15</v>
      </c>
      <c r="H1417" s="5" t="s">
        <v>352</v>
      </c>
      <c r="I1417" s="6" t="s">
        <v>17</v>
      </c>
      <c r="J1417" s="7" t="s">
        <v>18</v>
      </c>
      <c r="K1417" s="7" t="s">
        <v>61</v>
      </c>
      <c r="L1417" s="8">
        <v>1.771526059261E12</v>
      </c>
      <c r="M1417" s="9"/>
      <c r="N1417" s="10"/>
      <c r="O1417" s="10"/>
      <c r="P1417" s="10"/>
      <c r="Q1417" s="10"/>
      <c r="R1417" s="10"/>
      <c r="S1417" s="10"/>
      <c r="T1417" s="10"/>
      <c r="U1417" s="10"/>
      <c r="V1417" s="10"/>
    </row>
    <row r="1418" ht="22.5" customHeight="1">
      <c r="A1418" s="5">
        <v>2.03922623663E11</v>
      </c>
      <c r="B1418" s="5" t="s">
        <v>1502</v>
      </c>
      <c r="C1418" s="5">
        <v>526693327763</v>
      </c>
      <c r="D1418" s="5" t="s">
        <v>13</v>
      </c>
      <c r="E1418" s="5">
        <v>8.7547393E7</v>
      </c>
      <c r="F1418" s="5" t="s">
        <v>714</v>
      </c>
      <c r="G1418" s="5" t="s">
        <v>15</v>
      </c>
      <c r="H1418" s="5" t="s">
        <v>165</v>
      </c>
      <c r="I1418" s="6" t="s">
        <v>17</v>
      </c>
      <c r="J1418" s="7" t="s">
        <v>18</v>
      </c>
      <c r="K1418" s="7" t="s">
        <v>61</v>
      </c>
      <c r="L1418" s="8">
        <v>1.771526377755E12</v>
      </c>
      <c r="M1418" s="9"/>
      <c r="N1418" s="10"/>
      <c r="O1418" s="10"/>
      <c r="P1418" s="10"/>
      <c r="Q1418" s="10"/>
      <c r="R1418" s="10"/>
      <c r="S1418" s="10"/>
      <c r="T1418" s="10"/>
      <c r="U1418" s="10"/>
      <c r="V1418" s="10"/>
    </row>
    <row r="1419" ht="22.5" customHeight="1">
      <c r="A1419" s="5">
        <v>7.9334383761E10</v>
      </c>
      <c r="B1419" s="5" t="s">
        <v>1503</v>
      </c>
      <c r="C1419" s="5">
        <v>51924036476</v>
      </c>
      <c r="D1419" s="5" t="s">
        <v>22</v>
      </c>
      <c r="E1419" s="5">
        <v>8.7547393E7</v>
      </c>
      <c r="F1419" s="5" t="s">
        <v>259</v>
      </c>
      <c r="G1419" s="5" t="s">
        <v>44</v>
      </c>
      <c r="H1419" s="5" t="s">
        <v>128</v>
      </c>
      <c r="I1419" s="6" t="s">
        <v>17</v>
      </c>
      <c r="J1419" s="7" t="s">
        <v>34</v>
      </c>
      <c r="K1419" s="7"/>
      <c r="L1419" s="8">
        <v>1.771526485179E12</v>
      </c>
      <c r="M1419" s="9"/>
      <c r="N1419" s="10"/>
      <c r="O1419" s="10"/>
      <c r="P1419" s="10"/>
      <c r="Q1419" s="10"/>
      <c r="R1419" s="10"/>
      <c r="S1419" s="10"/>
      <c r="T1419" s="10"/>
      <c r="U1419" s="10"/>
      <c r="V1419" s="10"/>
    </row>
    <row r="1420" ht="22.5" customHeight="1">
      <c r="A1420" s="5">
        <v>2.03934928796E11</v>
      </c>
      <c r="B1420" s="5" t="s">
        <v>1504</v>
      </c>
      <c r="C1420" s="5">
        <v>543756616942</v>
      </c>
      <c r="D1420" s="5" t="s">
        <v>38</v>
      </c>
      <c r="E1420" s="5">
        <v>8.7547393E7</v>
      </c>
      <c r="F1420" s="5"/>
      <c r="G1420" s="5"/>
      <c r="H1420" s="5"/>
      <c r="I1420" s="6"/>
      <c r="J1420" s="7" t="s">
        <v>34</v>
      </c>
      <c r="K1420" s="7"/>
      <c r="L1420" s="8">
        <v>1.771527198079E12</v>
      </c>
      <c r="M1420" s="9"/>
      <c r="N1420" s="10"/>
      <c r="O1420" s="10"/>
      <c r="P1420" s="10"/>
      <c r="Q1420" s="10"/>
      <c r="R1420" s="10"/>
      <c r="S1420" s="10"/>
      <c r="T1420" s="10"/>
      <c r="U1420" s="10"/>
      <c r="V1420" s="10"/>
    </row>
    <row r="1421" ht="22.5" customHeight="1">
      <c r="A1421" s="5">
        <v>2.03936749439E11</v>
      </c>
      <c r="B1421" s="5" t="s">
        <v>1505</v>
      </c>
      <c r="C1421" s="5">
        <v>51923807720</v>
      </c>
      <c r="D1421" s="5" t="s">
        <v>13</v>
      </c>
      <c r="E1421" s="5">
        <v>8.0566583E7</v>
      </c>
      <c r="F1421" s="5" t="s">
        <v>39</v>
      </c>
      <c r="G1421" s="5" t="s">
        <v>15</v>
      </c>
      <c r="H1421" s="5" t="s">
        <v>51</v>
      </c>
      <c r="I1421" s="6" t="s">
        <v>63</v>
      </c>
      <c r="J1421" s="7" t="s">
        <v>18</v>
      </c>
      <c r="K1421" s="7" t="s">
        <v>19</v>
      </c>
      <c r="L1421" s="8"/>
      <c r="M1421" s="9"/>
      <c r="N1421" s="10"/>
      <c r="O1421" s="10"/>
      <c r="P1421" s="10"/>
      <c r="Q1421" s="10"/>
      <c r="R1421" s="10"/>
      <c r="S1421" s="10"/>
      <c r="T1421" s="10"/>
      <c r="U1421" s="10"/>
      <c r="V1421" s="10"/>
    </row>
    <row r="1422" ht="22.5" customHeight="1">
      <c r="A1422" s="5">
        <v>2.0393545712E11</v>
      </c>
      <c r="B1422" s="5" t="s">
        <v>1506</v>
      </c>
      <c r="C1422" s="5">
        <v>51959192813</v>
      </c>
      <c r="D1422" s="5" t="s">
        <v>13</v>
      </c>
      <c r="E1422" s="5">
        <v>8.0566583E7</v>
      </c>
      <c r="F1422" s="5" t="s">
        <v>510</v>
      </c>
      <c r="G1422" s="5" t="s">
        <v>15</v>
      </c>
      <c r="H1422" s="5" t="s">
        <v>16</v>
      </c>
      <c r="I1422" s="6" t="s">
        <v>17</v>
      </c>
      <c r="J1422" s="7" t="s">
        <v>25</v>
      </c>
      <c r="K1422" s="7" t="s">
        <v>26</v>
      </c>
      <c r="L1422" s="8"/>
      <c r="M1422" s="9"/>
      <c r="N1422" s="10"/>
      <c r="O1422" s="10"/>
      <c r="P1422" s="10"/>
      <c r="Q1422" s="10"/>
      <c r="R1422" s="10"/>
      <c r="S1422" s="10"/>
      <c r="T1422" s="10"/>
      <c r="U1422" s="10"/>
      <c r="V1422" s="10"/>
    </row>
    <row r="1423" ht="22.5" customHeight="1">
      <c r="A1423" s="5">
        <v>1.79214993182E11</v>
      </c>
      <c r="B1423" s="5" t="s">
        <v>1507</v>
      </c>
      <c r="C1423" s="5">
        <v>528127335805</v>
      </c>
      <c r="D1423" s="5" t="s">
        <v>13</v>
      </c>
      <c r="E1423" s="5">
        <v>8.0566583E7</v>
      </c>
      <c r="F1423" s="5" t="s">
        <v>714</v>
      </c>
      <c r="G1423" s="5" t="s">
        <v>15</v>
      </c>
      <c r="H1423" s="5" t="s">
        <v>16</v>
      </c>
      <c r="I1423" s="6" t="s">
        <v>17</v>
      </c>
      <c r="J1423" s="7" t="s">
        <v>124</v>
      </c>
      <c r="K1423" s="7" t="s">
        <v>1508</v>
      </c>
      <c r="L1423" s="8">
        <v>1.771528905814E12</v>
      </c>
      <c r="M1423" s="9"/>
      <c r="N1423" s="10"/>
      <c r="O1423" s="10"/>
      <c r="P1423" s="10"/>
      <c r="Q1423" s="10"/>
      <c r="R1423" s="10"/>
      <c r="S1423" s="10"/>
      <c r="T1423" s="10"/>
      <c r="U1423" s="10"/>
      <c r="V1423" s="10"/>
    </row>
    <row r="1424" ht="22.5" customHeight="1">
      <c r="A1424" s="5">
        <v>2.0391064541E11</v>
      </c>
      <c r="B1424" s="5" t="s">
        <v>1509</v>
      </c>
      <c r="C1424" s="5">
        <v>51968623270</v>
      </c>
      <c r="D1424" s="5" t="s">
        <v>13</v>
      </c>
      <c r="E1424" s="5">
        <v>8.0566583E7</v>
      </c>
      <c r="F1424" s="5" t="s">
        <v>510</v>
      </c>
      <c r="G1424" s="5" t="s">
        <v>15</v>
      </c>
      <c r="H1424" s="5" t="s">
        <v>16</v>
      </c>
      <c r="I1424" s="6" t="s">
        <v>17</v>
      </c>
      <c r="J1424" s="7" t="s">
        <v>34</v>
      </c>
      <c r="K1424" s="7"/>
      <c r="L1424" s="8">
        <v>1.771529524832E12</v>
      </c>
      <c r="M1424" s="9"/>
      <c r="N1424" s="10"/>
      <c r="O1424" s="10"/>
      <c r="P1424" s="10"/>
      <c r="Q1424" s="10"/>
      <c r="R1424" s="10"/>
      <c r="S1424" s="10"/>
      <c r="T1424" s="10"/>
      <c r="U1424" s="10"/>
      <c r="V1424" s="10"/>
    </row>
    <row r="1425" ht="22.5" customHeight="1">
      <c r="A1425" s="5">
        <v>2.03941645854E11</v>
      </c>
      <c r="B1425" s="5" t="s">
        <v>1510</v>
      </c>
      <c r="C1425" s="5">
        <v>51948398962</v>
      </c>
      <c r="D1425" s="5" t="s">
        <v>38</v>
      </c>
      <c r="E1425" s="5">
        <v>8.7547393E7</v>
      </c>
      <c r="F1425" s="5" t="s">
        <v>714</v>
      </c>
      <c r="G1425" s="5" t="s">
        <v>44</v>
      </c>
      <c r="H1425" s="5" t="s">
        <v>188</v>
      </c>
      <c r="I1425" s="6" t="s">
        <v>17</v>
      </c>
      <c r="J1425" s="7" t="s">
        <v>34</v>
      </c>
      <c r="K1425" s="7"/>
      <c r="L1425" s="8">
        <v>1.771530125669E12</v>
      </c>
      <c r="M1425" s="9"/>
      <c r="N1425" s="10"/>
      <c r="O1425" s="10"/>
      <c r="P1425" s="10"/>
      <c r="Q1425" s="10"/>
      <c r="R1425" s="10"/>
      <c r="S1425" s="10"/>
      <c r="T1425" s="10"/>
      <c r="U1425" s="10"/>
      <c r="V1425" s="10"/>
    </row>
    <row r="1426" ht="22.5" customHeight="1">
      <c r="A1426" s="5">
        <v>2.03943806977E11</v>
      </c>
      <c r="B1426" s="5" t="s">
        <v>1511</v>
      </c>
      <c r="C1426" s="5">
        <v>5561996403221</v>
      </c>
      <c r="D1426" s="5" t="s">
        <v>13</v>
      </c>
      <c r="E1426" s="5">
        <v>7.9360573E7</v>
      </c>
      <c r="F1426" s="5" t="s">
        <v>93</v>
      </c>
      <c r="G1426" s="5" t="s">
        <v>15</v>
      </c>
      <c r="H1426" s="5" t="s">
        <v>114</v>
      </c>
      <c r="I1426" s="6" t="s">
        <v>148</v>
      </c>
      <c r="J1426" s="7" t="s">
        <v>34</v>
      </c>
      <c r="K1426" s="7"/>
      <c r="L1426" s="8">
        <v>1.771530294368E12</v>
      </c>
      <c r="M1426" s="9"/>
      <c r="N1426" s="10"/>
      <c r="O1426" s="10"/>
      <c r="P1426" s="10"/>
      <c r="Q1426" s="10"/>
      <c r="R1426" s="10"/>
      <c r="S1426" s="10"/>
      <c r="T1426" s="10"/>
      <c r="U1426" s="10"/>
      <c r="V1426" s="10"/>
    </row>
    <row r="1427" ht="22.5" customHeight="1">
      <c r="A1427" s="5">
        <v>2.03943362353E11</v>
      </c>
      <c r="B1427" s="5" t="s">
        <v>1512</v>
      </c>
      <c r="C1427" s="5">
        <v>51961472095</v>
      </c>
      <c r="D1427" s="5" t="s">
        <v>13</v>
      </c>
      <c r="E1427" s="5">
        <v>8.0566583E7</v>
      </c>
      <c r="F1427" s="5" t="s">
        <v>14</v>
      </c>
      <c r="G1427" s="5" t="s">
        <v>32</v>
      </c>
      <c r="H1427" s="5" t="s">
        <v>24</v>
      </c>
      <c r="I1427" s="6" t="s">
        <v>17</v>
      </c>
      <c r="J1427" s="7" t="s">
        <v>18</v>
      </c>
      <c r="K1427" s="7" t="s">
        <v>19</v>
      </c>
      <c r="L1427" s="8">
        <v>1.771530373729E12</v>
      </c>
      <c r="M1427" s="9"/>
      <c r="N1427" s="10"/>
      <c r="O1427" s="10"/>
      <c r="P1427" s="10"/>
      <c r="Q1427" s="10"/>
      <c r="R1427" s="10"/>
      <c r="S1427" s="10"/>
      <c r="T1427" s="10"/>
      <c r="U1427" s="10"/>
      <c r="V1427" s="10"/>
    </row>
    <row r="1428" ht="22.5" customHeight="1">
      <c r="A1428" s="5">
        <v>2.03928092082E11</v>
      </c>
      <c r="B1428" s="5" t="s">
        <v>1513</v>
      </c>
      <c r="C1428" s="5">
        <v>5575988190527</v>
      </c>
      <c r="D1428" s="5" t="s">
        <v>13</v>
      </c>
      <c r="E1428" s="5">
        <v>7.9360573E7</v>
      </c>
      <c r="F1428" s="5" t="s">
        <v>65</v>
      </c>
      <c r="G1428" s="5" t="s">
        <v>15</v>
      </c>
      <c r="H1428" s="5" t="s">
        <v>24</v>
      </c>
      <c r="I1428" s="6" t="s">
        <v>17</v>
      </c>
      <c r="J1428" s="7" t="s">
        <v>34</v>
      </c>
      <c r="K1428" s="7"/>
      <c r="L1428" s="8">
        <v>1.77153078556E12</v>
      </c>
      <c r="M1428" s="9"/>
      <c r="N1428" s="10"/>
      <c r="O1428" s="10"/>
      <c r="P1428" s="10"/>
      <c r="Q1428" s="10"/>
      <c r="R1428" s="10"/>
      <c r="S1428" s="10"/>
      <c r="T1428" s="10"/>
      <c r="U1428" s="10"/>
      <c r="V1428" s="10"/>
    </row>
    <row r="1429" ht="22.5" customHeight="1">
      <c r="A1429" s="5">
        <v>2.03939978526E11</v>
      </c>
      <c r="B1429" s="5" t="s">
        <v>1514</v>
      </c>
      <c r="C1429" s="5">
        <v>5547989267638</v>
      </c>
      <c r="D1429" s="5" t="s">
        <v>13</v>
      </c>
      <c r="E1429" s="5">
        <v>7.9360573E7</v>
      </c>
      <c r="F1429" s="5" t="s">
        <v>65</v>
      </c>
      <c r="G1429" s="5" t="s">
        <v>15</v>
      </c>
      <c r="H1429" s="5" t="s">
        <v>16</v>
      </c>
      <c r="I1429" s="6" t="s">
        <v>17</v>
      </c>
      <c r="J1429" s="7" t="s">
        <v>34</v>
      </c>
      <c r="K1429" s="7"/>
      <c r="L1429" s="8">
        <v>1.77153108693E12</v>
      </c>
      <c r="M1429" s="9"/>
      <c r="N1429" s="10"/>
      <c r="O1429" s="10"/>
      <c r="P1429" s="10"/>
      <c r="Q1429" s="10"/>
      <c r="R1429" s="10"/>
      <c r="S1429" s="10"/>
      <c r="T1429" s="10"/>
      <c r="U1429" s="10"/>
      <c r="V1429" s="10"/>
    </row>
    <row r="1430" ht="22.5" customHeight="1">
      <c r="A1430" s="5">
        <v>2.03948997957E11</v>
      </c>
      <c r="B1430" s="5" t="s">
        <v>1515</v>
      </c>
      <c r="C1430" s="5">
        <v>51964943866</v>
      </c>
      <c r="D1430" s="5" t="s">
        <v>13</v>
      </c>
      <c r="E1430" s="5">
        <v>8.7547393E7</v>
      </c>
      <c r="F1430" s="5" t="s">
        <v>65</v>
      </c>
      <c r="G1430" s="5" t="s">
        <v>15</v>
      </c>
      <c r="H1430" s="5" t="s">
        <v>29</v>
      </c>
      <c r="I1430" s="6" t="s">
        <v>17</v>
      </c>
      <c r="J1430" s="7" t="s">
        <v>18</v>
      </c>
      <c r="K1430" s="7" t="s">
        <v>19</v>
      </c>
      <c r="L1430" s="8">
        <v>1.771533247419E12</v>
      </c>
      <c r="M1430" s="9"/>
      <c r="N1430" s="10"/>
      <c r="O1430" s="10"/>
      <c r="P1430" s="10"/>
      <c r="Q1430" s="10"/>
      <c r="R1430" s="10"/>
      <c r="S1430" s="10"/>
      <c r="T1430" s="10"/>
      <c r="U1430" s="10"/>
      <c r="V1430" s="10"/>
    </row>
    <row r="1431" ht="22.5" customHeight="1">
      <c r="A1431" s="5">
        <v>1.69217504299E11</v>
      </c>
      <c r="B1431" s="5" t="s">
        <v>1516</v>
      </c>
      <c r="C1431" s="5">
        <v>51998334661</v>
      </c>
      <c r="D1431" s="5" t="s">
        <v>13</v>
      </c>
      <c r="E1431" s="5">
        <v>8.0566583E7</v>
      </c>
      <c r="F1431" s="5" t="s">
        <v>65</v>
      </c>
      <c r="G1431" s="5" t="s">
        <v>15</v>
      </c>
      <c r="H1431" s="5" t="s">
        <v>29</v>
      </c>
      <c r="I1431" s="6" t="s">
        <v>36</v>
      </c>
      <c r="J1431" s="7" t="s">
        <v>34</v>
      </c>
      <c r="K1431" s="7"/>
      <c r="L1431" s="8">
        <v>1.771534636447E12</v>
      </c>
      <c r="M1431" s="9"/>
      <c r="N1431" s="10"/>
      <c r="O1431" s="10"/>
      <c r="P1431" s="10"/>
      <c r="Q1431" s="10"/>
      <c r="R1431" s="10"/>
      <c r="S1431" s="10"/>
      <c r="T1431" s="10"/>
      <c r="U1431" s="10"/>
      <c r="V1431" s="10"/>
    </row>
    <row r="1432" ht="22.5" customHeight="1">
      <c r="A1432" s="5">
        <v>2.03954148356E11</v>
      </c>
      <c r="B1432" s="5" t="s">
        <v>1517</v>
      </c>
      <c r="C1432" s="5">
        <v>51972265543</v>
      </c>
      <c r="D1432" s="5" t="s">
        <v>13</v>
      </c>
      <c r="E1432" s="5">
        <v>8.7547393E7</v>
      </c>
      <c r="F1432" s="5" t="s">
        <v>714</v>
      </c>
      <c r="G1432" s="5" t="s">
        <v>15</v>
      </c>
      <c r="H1432" s="5" t="s">
        <v>51</v>
      </c>
      <c r="I1432" s="6" t="s">
        <v>17</v>
      </c>
      <c r="J1432" s="7" t="s">
        <v>18</v>
      </c>
      <c r="K1432" s="7" t="s">
        <v>19</v>
      </c>
      <c r="L1432" s="8">
        <v>1.771535337132E12</v>
      </c>
      <c r="M1432" s="9"/>
      <c r="N1432" s="10"/>
      <c r="O1432" s="10"/>
      <c r="P1432" s="10"/>
      <c r="Q1432" s="10"/>
      <c r="R1432" s="10"/>
      <c r="S1432" s="10"/>
      <c r="T1432" s="10"/>
      <c r="U1432" s="10"/>
      <c r="V1432" s="10"/>
    </row>
    <row r="1433" ht="22.5" customHeight="1">
      <c r="A1433" s="5">
        <v>2.03968200586E11</v>
      </c>
      <c r="B1433" s="5" t="s">
        <v>1518</v>
      </c>
      <c r="C1433" s="5">
        <v>526141406453</v>
      </c>
      <c r="D1433" s="5" t="s">
        <v>13</v>
      </c>
      <c r="E1433" s="5">
        <v>8.7547393E7</v>
      </c>
      <c r="F1433" s="5" t="s">
        <v>259</v>
      </c>
      <c r="G1433" s="5" t="s">
        <v>15</v>
      </c>
      <c r="H1433" s="5" t="s">
        <v>66</v>
      </c>
      <c r="I1433" s="6" t="s">
        <v>17</v>
      </c>
      <c r="J1433" s="7" t="s">
        <v>18</v>
      </c>
      <c r="K1433" s="7" t="s">
        <v>61</v>
      </c>
      <c r="L1433" s="8">
        <v>1.77153671502E12</v>
      </c>
      <c r="M1433" s="9"/>
      <c r="N1433" s="10"/>
      <c r="O1433" s="10"/>
      <c r="P1433" s="10"/>
      <c r="Q1433" s="10"/>
      <c r="R1433" s="10"/>
      <c r="S1433" s="10"/>
      <c r="T1433" s="10"/>
      <c r="U1433" s="10"/>
      <c r="V1433" s="10"/>
    </row>
    <row r="1434" ht="22.5" customHeight="1">
      <c r="A1434" s="5">
        <v>1.50985454098E11</v>
      </c>
      <c r="B1434" s="5" t="s">
        <v>1519</v>
      </c>
      <c r="C1434" s="5">
        <v>51908554808</v>
      </c>
      <c r="D1434" s="5" t="s">
        <v>38</v>
      </c>
      <c r="E1434" s="5">
        <v>8.0566583E7</v>
      </c>
      <c r="F1434" s="5"/>
      <c r="G1434" s="5"/>
      <c r="H1434" s="5"/>
      <c r="I1434" s="6"/>
      <c r="J1434" s="7" t="s">
        <v>34</v>
      </c>
      <c r="K1434" s="7"/>
      <c r="L1434" s="8">
        <v>1.771537158339E12</v>
      </c>
      <c r="M1434" s="9"/>
      <c r="N1434" s="10"/>
      <c r="O1434" s="10"/>
      <c r="P1434" s="10"/>
      <c r="Q1434" s="10"/>
      <c r="R1434" s="10"/>
      <c r="S1434" s="10"/>
      <c r="T1434" s="10"/>
      <c r="U1434" s="10"/>
      <c r="V1434" s="10"/>
    </row>
    <row r="1435" ht="22.5" customHeight="1">
      <c r="A1435" s="5">
        <v>2.0395306383E11</v>
      </c>
      <c r="B1435" s="5" t="s">
        <v>1520</v>
      </c>
      <c r="C1435" s="5">
        <v>51970698334</v>
      </c>
      <c r="D1435" s="5" t="s">
        <v>38</v>
      </c>
      <c r="E1435" s="5">
        <v>8.0566583E7</v>
      </c>
      <c r="F1435" s="5"/>
      <c r="G1435" s="5"/>
      <c r="H1435" s="5"/>
      <c r="I1435" s="6"/>
      <c r="J1435" s="7" t="s">
        <v>18</v>
      </c>
      <c r="K1435" s="7" t="s">
        <v>19</v>
      </c>
      <c r="L1435" s="8">
        <v>1.771537434367E12</v>
      </c>
      <c r="M1435" s="9"/>
      <c r="N1435" s="10"/>
      <c r="O1435" s="10"/>
      <c r="P1435" s="10"/>
      <c r="Q1435" s="10"/>
      <c r="R1435" s="10"/>
      <c r="S1435" s="10"/>
      <c r="T1435" s="10"/>
      <c r="U1435" s="10"/>
      <c r="V1435" s="10"/>
    </row>
    <row r="1436" ht="22.5" customHeight="1">
      <c r="A1436" s="5">
        <v>2.03961082643E11</v>
      </c>
      <c r="B1436" s="5" t="s">
        <v>1521</v>
      </c>
      <c r="C1436" s="5">
        <v>51902365492</v>
      </c>
      <c r="D1436" s="5" t="s">
        <v>13</v>
      </c>
      <c r="E1436" s="5">
        <v>8.0566583E7</v>
      </c>
      <c r="F1436" s="5" t="s">
        <v>39</v>
      </c>
      <c r="G1436" s="5" t="s">
        <v>15</v>
      </c>
      <c r="H1436" s="5" t="s">
        <v>51</v>
      </c>
      <c r="I1436" s="6" t="s">
        <v>17</v>
      </c>
      <c r="J1436" s="7" t="s">
        <v>34</v>
      </c>
      <c r="K1436" s="7"/>
      <c r="L1436" s="8">
        <v>1.77153808877E12</v>
      </c>
      <c r="M1436" s="9"/>
      <c r="N1436" s="10"/>
      <c r="O1436" s="10"/>
      <c r="P1436" s="10"/>
      <c r="Q1436" s="10"/>
      <c r="R1436" s="10"/>
      <c r="S1436" s="10"/>
      <c r="T1436" s="10"/>
      <c r="U1436" s="10"/>
      <c r="V1436" s="10"/>
    </row>
    <row r="1437" ht="22.5" customHeight="1">
      <c r="A1437" s="5">
        <v>2.03953614369E11</v>
      </c>
      <c r="B1437" s="5" t="s">
        <v>1522</v>
      </c>
      <c r="C1437" s="5">
        <v>5551981909766</v>
      </c>
      <c r="D1437" s="5" t="s">
        <v>13</v>
      </c>
      <c r="E1437" s="5">
        <v>7.9360573E7</v>
      </c>
      <c r="F1437" s="5" t="s">
        <v>39</v>
      </c>
      <c r="G1437" s="5" t="s">
        <v>32</v>
      </c>
      <c r="H1437" s="5" t="s">
        <v>16</v>
      </c>
      <c r="I1437" s="6" t="s">
        <v>148</v>
      </c>
      <c r="J1437" s="7" t="s">
        <v>34</v>
      </c>
      <c r="K1437" s="7"/>
      <c r="L1437" s="8">
        <v>1.771538837337E12</v>
      </c>
      <c r="M1437" s="9"/>
      <c r="N1437" s="10"/>
      <c r="O1437" s="10"/>
      <c r="P1437" s="10"/>
      <c r="Q1437" s="10"/>
      <c r="R1437" s="10"/>
      <c r="S1437" s="10"/>
      <c r="T1437" s="10"/>
      <c r="U1437" s="10"/>
      <c r="V1437" s="10"/>
    </row>
    <row r="1438" ht="22.5" customHeight="1">
      <c r="A1438" s="5">
        <v>2.03961038894E11</v>
      </c>
      <c r="B1438" s="5" t="s">
        <v>1523</v>
      </c>
      <c r="C1438" s="5">
        <v>5598989202176</v>
      </c>
      <c r="D1438" s="5" t="s">
        <v>38</v>
      </c>
      <c r="E1438" s="5">
        <v>7.9360573E7</v>
      </c>
      <c r="F1438" s="5" t="s">
        <v>28</v>
      </c>
      <c r="G1438" s="5" t="s">
        <v>15</v>
      </c>
      <c r="H1438" s="5" t="s">
        <v>16</v>
      </c>
      <c r="I1438" s="6" t="s">
        <v>17</v>
      </c>
      <c r="J1438" s="7" t="s">
        <v>34</v>
      </c>
      <c r="K1438" s="7"/>
      <c r="L1438" s="8">
        <v>1.771539160856E12</v>
      </c>
      <c r="M1438" s="9"/>
      <c r="N1438" s="10"/>
      <c r="O1438" s="10"/>
      <c r="P1438" s="10"/>
      <c r="Q1438" s="10"/>
      <c r="R1438" s="10"/>
      <c r="S1438" s="10"/>
      <c r="T1438" s="10"/>
      <c r="U1438" s="10"/>
      <c r="V1438" s="10"/>
    </row>
    <row r="1439" ht="22.5" customHeight="1">
      <c r="A1439" s="5">
        <v>2.03964121902E11</v>
      </c>
      <c r="B1439" s="5" t="s">
        <v>1524</v>
      </c>
      <c r="C1439" s="5">
        <v>51980679744</v>
      </c>
      <c r="D1439" s="5" t="s">
        <v>13</v>
      </c>
      <c r="E1439" s="5">
        <v>8.0566583E7</v>
      </c>
      <c r="F1439" s="5" t="s">
        <v>42</v>
      </c>
      <c r="G1439" s="5" t="s">
        <v>15</v>
      </c>
      <c r="H1439" s="5" t="s">
        <v>24</v>
      </c>
      <c r="I1439" s="6" t="s">
        <v>17</v>
      </c>
      <c r="J1439" s="7" t="s">
        <v>18</v>
      </c>
      <c r="K1439" s="7" t="s">
        <v>19</v>
      </c>
      <c r="L1439" s="8">
        <v>1.771540696525E12</v>
      </c>
      <c r="M1439" s="9"/>
      <c r="N1439" s="10"/>
      <c r="O1439" s="10"/>
      <c r="P1439" s="10"/>
      <c r="Q1439" s="10"/>
      <c r="R1439" s="10"/>
      <c r="S1439" s="10"/>
      <c r="T1439" s="10"/>
      <c r="U1439" s="10"/>
      <c r="V1439" s="10"/>
    </row>
    <row r="1440" ht="22.5" customHeight="1">
      <c r="A1440" s="5">
        <v>2.03970424475E11</v>
      </c>
      <c r="B1440" s="5" t="s">
        <v>1525</v>
      </c>
      <c r="C1440" s="5">
        <v>5544997126904</v>
      </c>
      <c r="D1440" s="5" t="s">
        <v>22</v>
      </c>
      <c r="E1440" s="5">
        <v>7.9360573E7</v>
      </c>
      <c r="F1440" s="5" t="s">
        <v>93</v>
      </c>
      <c r="G1440" s="5" t="s">
        <v>32</v>
      </c>
      <c r="H1440" s="5" t="s">
        <v>114</v>
      </c>
      <c r="I1440" s="6" t="s">
        <v>17</v>
      </c>
      <c r="J1440" s="7" t="s">
        <v>34</v>
      </c>
      <c r="K1440" s="7"/>
      <c r="L1440" s="8">
        <v>1.771541482938E12</v>
      </c>
      <c r="M1440" s="9"/>
      <c r="N1440" s="10"/>
      <c r="O1440" s="10"/>
      <c r="P1440" s="10"/>
      <c r="Q1440" s="10"/>
      <c r="R1440" s="10"/>
      <c r="S1440" s="10"/>
      <c r="T1440" s="10"/>
      <c r="U1440" s="10"/>
      <c r="V1440" s="10"/>
    </row>
    <row r="1441" ht="22.5" customHeight="1">
      <c r="A1441" s="5">
        <v>2.03961132197E11</v>
      </c>
      <c r="B1441" s="5" t="s">
        <v>1526</v>
      </c>
      <c r="C1441" s="5">
        <v>51956368051</v>
      </c>
      <c r="D1441" s="5" t="s">
        <v>38</v>
      </c>
      <c r="E1441" s="5">
        <v>8.7547393E7</v>
      </c>
      <c r="F1441" s="5"/>
      <c r="G1441" s="5"/>
      <c r="H1441" s="5"/>
      <c r="I1441" s="6"/>
      <c r="J1441" s="7" t="s">
        <v>34</v>
      </c>
      <c r="K1441" s="7"/>
      <c r="L1441" s="8">
        <v>1.771542746155E12</v>
      </c>
      <c r="M1441" s="9"/>
      <c r="N1441" s="10"/>
      <c r="O1441" s="10"/>
      <c r="P1441" s="10"/>
      <c r="Q1441" s="10"/>
      <c r="R1441" s="10"/>
      <c r="S1441" s="10"/>
      <c r="T1441" s="10"/>
      <c r="U1441" s="10"/>
      <c r="V1441" s="10"/>
    </row>
    <row r="1442" ht="22.5" customHeight="1">
      <c r="A1442" s="5">
        <v>2.03982900267E11</v>
      </c>
      <c r="B1442" s="5" t="s">
        <v>1527</v>
      </c>
      <c r="C1442" s="5">
        <v>526695318121</v>
      </c>
      <c r="D1442" s="5" t="s">
        <v>13</v>
      </c>
      <c r="E1442" s="5">
        <v>8.7547393E7</v>
      </c>
      <c r="F1442" s="5" t="s">
        <v>14</v>
      </c>
      <c r="G1442" s="5" t="s">
        <v>15</v>
      </c>
      <c r="H1442" s="5" t="s">
        <v>66</v>
      </c>
      <c r="I1442" s="6" t="s">
        <v>17</v>
      </c>
      <c r="J1442" s="7" t="s">
        <v>18</v>
      </c>
      <c r="K1442" s="7" t="s">
        <v>61</v>
      </c>
      <c r="L1442" s="8">
        <v>1.771543208857E12</v>
      </c>
      <c r="M1442" s="9"/>
      <c r="N1442" s="10"/>
      <c r="O1442" s="10"/>
      <c r="P1442" s="10"/>
      <c r="Q1442" s="10"/>
      <c r="R1442" s="10"/>
      <c r="S1442" s="10"/>
      <c r="T1442" s="10"/>
      <c r="U1442" s="10"/>
      <c r="V1442" s="10"/>
    </row>
    <row r="1443" ht="22.5" customHeight="1">
      <c r="A1443" s="5">
        <v>2.03984219704E11</v>
      </c>
      <c r="B1443" s="5" t="s">
        <v>1528</v>
      </c>
      <c r="C1443" s="5">
        <v>5592991550702</v>
      </c>
      <c r="D1443" s="5" t="s">
        <v>13</v>
      </c>
      <c r="E1443" s="5">
        <v>7.9360573E7</v>
      </c>
      <c r="F1443" s="5" t="s">
        <v>28</v>
      </c>
      <c r="G1443" s="5" t="s">
        <v>15</v>
      </c>
      <c r="H1443" s="5" t="s">
        <v>16</v>
      </c>
      <c r="I1443" s="6" t="s">
        <v>36</v>
      </c>
      <c r="J1443" s="7" t="s">
        <v>34</v>
      </c>
      <c r="K1443" s="7"/>
      <c r="L1443" s="8">
        <v>1.771543567524E12</v>
      </c>
      <c r="M1443" s="9"/>
      <c r="N1443" s="10"/>
      <c r="O1443" s="10"/>
      <c r="P1443" s="10"/>
      <c r="Q1443" s="10"/>
      <c r="R1443" s="10"/>
      <c r="S1443" s="10"/>
      <c r="T1443" s="10"/>
      <c r="U1443" s="10"/>
      <c r="V1443" s="10"/>
    </row>
    <row r="1444" ht="22.5" customHeight="1">
      <c r="A1444" s="5">
        <v>2.0398732451E11</v>
      </c>
      <c r="B1444" s="5" t="s">
        <v>1529</v>
      </c>
      <c r="C1444" s="5">
        <v>351969637344</v>
      </c>
      <c r="D1444" s="5" t="s">
        <v>13</v>
      </c>
      <c r="E1444" s="5">
        <v>8.7547393E7</v>
      </c>
      <c r="F1444" s="5" t="s">
        <v>28</v>
      </c>
      <c r="G1444" s="5" t="s">
        <v>15</v>
      </c>
      <c r="H1444" s="5" t="s">
        <v>643</v>
      </c>
      <c r="I1444" s="6" t="s">
        <v>17</v>
      </c>
      <c r="J1444" s="7" t="s">
        <v>34</v>
      </c>
      <c r="K1444" s="7"/>
      <c r="L1444" s="8">
        <v>1.771544187624E12</v>
      </c>
      <c r="M1444" s="9"/>
      <c r="N1444" s="10"/>
      <c r="O1444" s="10"/>
      <c r="P1444" s="10"/>
      <c r="Q1444" s="10"/>
      <c r="R1444" s="10"/>
      <c r="S1444" s="10"/>
      <c r="T1444" s="10"/>
      <c r="U1444" s="10"/>
      <c r="V1444" s="10"/>
    </row>
    <row r="1445" ht="22.5" customHeight="1">
      <c r="A1445" s="5">
        <v>2.0398702755E11</v>
      </c>
      <c r="B1445" s="5" t="s">
        <v>1530</v>
      </c>
      <c r="C1445" s="5">
        <v>5531986478327</v>
      </c>
      <c r="D1445" s="5" t="s">
        <v>13</v>
      </c>
      <c r="E1445" s="5">
        <v>7.9360573E7</v>
      </c>
      <c r="F1445" s="5" t="s">
        <v>39</v>
      </c>
      <c r="G1445" s="5" t="s">
        <v>15</v>
      </c>
      <c r="H1445" s="5" t="s">
        <v>51</v>
      </c>
      <c r="I1445" s="6"/>
      <c r="J1445" s="7" t="s">
        <v>124</v>
      </c>
      <c r="K1445" s="7" t="s">
        <v>1256</v>
      </c>
      <c r="L1445" s="8">
        <v>1.771544455068E12</v>
      </c>
      <c r="M1445" s="9"/>
      <c r="N1445" s="10"/>
      <c r="O1445" s="10"/>
      <c r="P1445" s="10"/>
      <c r="Q1445" s="10"/>
      <c r="R1445" s="10"/>
      <c r="S1445" s="10"/>
      <c r="T1445" s="10"/>
      <c r="U1445" s="10"/>
      <c r="V1445" s="10"/>
    </row>
    <row r="1446" ht="22.5" customHeight="1">
      <c r="A1446" s="5">
        <v>2.03999918956E11</v>
      </c>
      <c r="B1446" s="5" t="s">
        <v>1531</v>
      </c>
      <c r="C1446" s="5">
        <v>523891122220</v>
      </c>
      <c r="D1446" s="5" t="s">
        <v>13</v>
      </c>
      <c r="E1446" s="5">
        <v>8.7547393E7</v>
      </c>
      <c r="F1446" s="5" t="s">
        <v>39</v>
      </c>
      <c r="G1446" s="5" t="s">
        <v>15</v>
      </c>
      <c r="H1446" s="5" t="s">
        <v>51</v>
      </c>
      <c r="I1446" s="6" t="s">
        <v>17</v>
      </c>
      <c r="J1446" s="7" t="s">
        <v>58</v>
      </c>
      <c r="K1446" s="11" t="s">
        <v>59</v>
      </c>
      <c r="L1446" s="8">
        <v>1.771544540308E12</v>
      </c>
      <c r="M1446" s="9"/>
      <c r="N1446" s="10"/>
      <c r="O1446" s="10"/>
      <c r="P1446" s="10"/>
      <c r="Q1446" s="10"/>
      <c r="R1446" s="10"/>
      <c r="S1446" s="10"/>
      <c r="T1446" s="10"/>
      <c r="U1446" s="10"/>
      <c r="V1446" s="10"/>
    </row>
    <row r="1447" ht="22.5" customHeight="1">
      <c r="A1447" s="5">
        <v>2.03999964084E11</v>
      </c>
      <c r="B1447" s="5" t="s">
        <v>1532</v>
      </c>
      <c r="C1447" s="5">
        <v>528671033738</v>
      </c>
      <c r="D1447" s="5" t="s">
        <v>13</v>
      </c>
      <c r="E1447" s="5">
        <v>8.0566583E7</v>
      </c>
      <c r="F1447" s="5" t="s">
        <v>65</v>
      </c>
      <c r="G1447" s="5" t="s">
        <v>15</v>
      </c>
      <c r="H1447" s="5" t="s">
        <v>51</v>
      </c>
      <c r="I1447" s="6"/>
      <c r="J1447" s="7" t="s">
        <v>18</v>
      </c>
      <c r="K1447" s="7" t="s">
        <v>61</v>
      </c>
      <c r="L1447" s="8">
        <v>1.77154524882E12</v>
      </c>
      <c r="M1447" s="9"/>
      <c r="N1447" s="10"/>
      <c r="O1447" s="10"/>
      <c r="P1447" s="10"/>
      <c r="Q1447" s="10"/>
      <c r="R1447" s="10"/>
      <c r="S1447" s="10"/>
      <c r="T1447" s="10"/>
      <c r="U1447" s="10"/>
      <c r="V1447" s="10"/>
    </row>
    <row r="1448" ht="22.5" customHeight="1">
      <c r="A1448" s="5">
        <v>2.03988385108E11</v>
      </c>
      <c r="B1448" s="5" t="s">
        <v>1533</v>
      </c>
      <c r="C1448" s="5">
        <v>5531983180770</v>
      </c>
      <c r="D1448" s="5" t="s">
        <v>13</v>
      </c>
      <c r="E1448" s="5">
        <v>7.9360573E7</v>
      </c>
      <c r="F1448" s="5" t="s">
        <v>39</v>
      </c>
      <c r="G1448" s="5" t="s">
        <v>15</v>
      </c>
      <c r="H1448" s="5" t="s">
        <v>16</v>
      </c>
      <c r="I1448" s="6" t="s">
        <v>17</v>
      </c>
      <c r="J1448" s="7" t="s">
        <v>34</v>
      </c>
      <c r="K1448" s="7"/>
      <c r="L1448" s="8">
        <v>1.771546103784E12</v>
      </c>
      <c r="M1448" s="9"/>
      <c r="N1448" s="10"/>
      <c r="O1448" s="10"/>
      <c r="P1448" s="10"/>
      <c r="Q1448" s="10"/>
      <c r="R1448" s="10"/>
      <c r="S1448" s="10"/>
      <c r="T1448" s="10"/>
      <c r="U1448" s="10"/>
      <c r="V1448" s="10"/>
    </row>
    <row r="1449" ht="22.5" customHeight="1">
      <c r="A1449" s="5">
        <v>2.0398432496E11</v>
      </c>
      <c r="B1449" s="5" t="s">
        <v>1534</v>
      </c>
      <c r="C1449" s="5">
        <v>51906981243</v>
      </c>
      <c r="D1449" s="5" t="s">
        <v>22</v>
      </c>
      <c r="E1449" s="5">
        <v>8.0566583E7</v>
      </c>
      <c r="F1449" s="5" t="s">
        <v>39</v>
      </c>
      <c r="G1449" s="5" t="s">
        <v>32</v>
      </c>
      <c r="H1449" s="5" t="s">
        <v>112</v>
      </c>
      <c r="I1449" s="6" t="s">
        <v>17</v>
      </c>
      <c r="J1449" s="7" t="s">
        <v>34</v>
      </c>
      <c r="K1449" s="7"/>
      <c r="L1449" s="8">
        <v>1.771546303643E12</v>
      </c>
      <c r="M1449" s="9"/>
      <c r="N1449" s="10"/>
      <c r="O1449" s="10"/>
      <c r="P1449" s="10"/>
      <c r="Q1449" s="10"/>
      <c r="R1449" s="10"/>
      <c r="S1449" s="10"/>
      <c r="T1449" s="10"/>
      <c r="U1449" s="10"/>
      <c r="V1449" s="10"/>
    </row>
    <row r="1450" ht="22.5" customHeight="1">
      <c r="A1450" s="5">
        <v>2.03987141671E11</v>
      </c>
      <c r="B1450" s="5" t="s">
        <v>1535</v>
      </c>
      <c r="C1450" s="5">
        <v>51976760499</v>
      </c>
      <c r="D1450" s="5" t="s">
        <v>38</v>
      </c>
      <c r="E1450" s="5">
        <v>8.0566583E7</v>
      </c>
      <c r="F1450" s="5"/>
      <c r="G1450" s="5"/>
      <c r="H1450" s="5"/>
      <c r="I1450" s="6"/>
      <c r="J1450" s="7" t="s">
        <v>58</v>
      </c>
      <c r="K1450" s="11" t="s">
        <v>59</v>
      </c>
      <c r="L1450" s="8">
        <v>1.771546365676E12</v>
      </c>
      <c r="M1450" s="9"/>
      <c r="N1450" s="10"/>
      <c r="O1450" s="10"/>
      <c r="P1450" s="10"/>
      <c r="Q1450" s="10"/>
      <c r="R1450" s="10"/>
      <c r="S1450" s="10"/>
      <c r="T1450" s="10"/>
      <c r="U1450" s="10"/>
      <c r="V1450" s="10"/>
    </row>
    <row r="1451" ht="22.5" customHeight="1">
      <c r="A1451" s="5">
        <v>2.0400041684E11</v>
      </c>
      <c r="B1451" s="5" t="s">
        <v>1536</v>
      </c>
      <c r="C1451" s="5">
        <v>51903105551</v>
      </c>
      <c r="D1451" s="5" t="s">
        <v>38</v>
      </c>
      <c r="E1451" s="5">
        <v>8.7547393E7</v>
      </c>
      <c r="F1451" s="5"/>
      <c r="G1451" s="5"/>
      <c r="H1451" s="5"/>
      <c r="I1451" s="6"/>
      <c r="J1451" s="7" t="s">
        <v>58</v>
      </c>
      <c r="K1451" s="11" t="s">
        <v>59</v>
      </c>
      <c r="L1451" s="8">
        <v>1.771546481591E12</v>
      </c>
      <c r="M1451" s="9"/>
      <c r="N1451" s="10"/>
      <c r="O1451" s="10"/>
      <c r="P1451" s="10"/>
      <c r="Q1451" s="10"/>
      <c r="R1451" s="10"/>
      <c r="S1451" s="10"/>
      <c r="T1451" s="10"/>
      <c r="U1451" s="10"/>
      <c r="V1451" s="10"/>
    </row>
    <row r="1452" ht="22.5" customHeight="1">
      <c r="A1452" s="5">
        <v>2.03989821606E11</v>
      </c>
      <c r="B1452" s="5" t="s">
        <v>1537</v>
      </c>
      <c r="C1452" s="5">
        <v>5512988411686</v>
      </c>
      <c r="D1452" s="5" t="s">
        <v>13</v>
      </c>
      <c r="E1452" s="5">
        <v>7.9360573E7</v>
      </c>
      <c r="F1452" s="5" t="s">
        <v>39</v>
      </c>
      <c r="G1452" s="5" t="s">
        <v>32</v>
      </c>
      <c r="H1452" s="5" t="s">
        <v>253</v>
      </c>
      <c r="I1452" s="6" t="s">
        <v>17</v>
      </c>
      <c r="J1452" s="7" t="s">
        <v>34</v>
      </c>
      <c r="K1452" s="7"/>
      <c r="L1452" s="8">
        <v>1.771546799629E12</v>
      </c>
      <c r="M1452" s="9"/>
      <c r="N1452" s="10"/>
      <c r="O1452" s="10"/>
      <c r="P1452" s="10"/>
      <c r="Q1452" s="10"/>
      <c r="R1452" s="10"/>
      <c r="S1452" s="10"/>
      <c r="T1452" s="10"/>
      <c r="U1452" s="10"/>
      <c r="V1452" s="10"/>
    </row>
    <row r="1453" ht="22.5" customHeight="1">
      <c r="A1453" s="5">
        <v>2.04003847055E11</v>
      </c>
      <c r="B1453" s="5" t="s">
        <v>1538</v>
      </c>
      <c r="C1453" s="5">
        <v>51939523616</v>
      </c>
      <c r="D1453" s="5" t="s">
        <v>13</v>
      </c>
      <c r="E1453" s="5">
        <v>8.0566583E7</v>
      </c>
      <c r="F1453" s="5"/>
      <c r="G1453" s="5" t="s">
        <v>15</v>
      </c>
      <c r="H1453" s="5" t="s">
        <v>24</v>
      </c>
      <c r="I1453" s="6" t="s">
        <v>17</v>
      </c>
      <c r="J1453" s="7" t="s">
        <v>18</v>
      </c>
      <c r="K1453" s="7" t="s">
        <v>19</v>
      </c>
      <c r="L1453" s="8">
        <v>1.771547103326E12</v>
      </c>
      <c r="M1453" s="9"/>
      <c r="N1453" s="10"/>
      <c r="O1453" s="10"/>
      <c r="P1453" s="10"/>
      <c r="Q1453" s="10"/>
      <c r="R1453" s="10"/>
      <c r="S1453" s="10"/>
      <c r="T1453" s="10"/>
      <c r="U1453" s="10"/>
      <c r="V1453" s="10"/>
    </row>
    <row r="1454" ht="22.5" customHeight="1">
      <c r="A1454" s="5">
        <v>2.03991269952E11</v>
      </c>
      <c r="B1454" s="5" t="s">
        <v>1539</v>
      </c>
      <c r="C1454" s="5">
        <v>51948059808</v>
      </c>
      <c r="D1454" s="5" t="s">
        <v>38</v>
      </c>
      <c r="E1454" s="5">
        <v>8.7547393E7</v>
      </c>
      <c r="F1454" s="5" t="s">
        <v>28</v>
      </c>
      <c r="G1454" s="5" t="s">
        <v>15</v>
      </c>
      <c r="H1454" s="5" t="s">
        <v>24</v>
      </c>
      <c r="I1454" s="6" t="s">
        <v>17</v>
      </c>
      <c r="J1454" s="7" t="s">
        <v>18</v>
      </c>
      <c r="K1454" s="7" t="s">
        <v>19</v>
      </c>
      <c r="L1454" s="8">
        <v>1.771548577357E12</v>
      </c>
      <c r="M1454" s="9"/>
      <c r="N1454" s="10"/>
      <c r="O1454" s="10"/>
      <c r="P1454" s="10"/>
      <c r="Q1454" s="10"/>
      <c r="R1454" s="10"/>
      <c r="S1454" s="10"/>
      <c r="T1454" s="10"/>
      <c r="U1454" s="10"/>
      <c r="V1454" s="10"/>
    </row>
    <row r="1455" ht="22.5" customHeight="1">
      <c r="A1455" s="5">
        <v>2.04005267978E11</v>
      </c>
      <c r="B1455" s="5" t="s">
        <v>1540</v>
      </c>
      <c r="C1455" s="5">
        <v>5599984585744</v>
      </c>
      <c r="D1455" s="5" t="s">
        <v>22</v>
      </c>
      <c r="E1455" s="5">
        <v>7.9360573E7</v>
      </c>
      <c r="F1455" s="5" t="s">
        <v>93</v>
      </c>
      <c r="G1455" s="5" t="s">
        <v>32</v>
      </c>
      <c r="H1455" s="5" t="s">
        <v>24</v>
      </c>
      <c r="I1455" s="6" t="s">
        <v>17</v>
      </c>
      <c r="J1455" s="7" t="s">
        <v>34</v>
      </c>
      <c r="K1455" s="7"/>
      <c r="L1455" s="8">
        <v>1.771548977073E12</v>
      </c>
      <c r="M1455" s="9"/>
      <c r="N1455" s="10"/>
      <c r="O1455" s="10"/>
      <c r="P1455" s="10"/>
      <c r="Q1455" s="10"/>
      <c r="R1455" s="10"/>
      <c r="S1455" s="10"/>
      <c r="T1455" s="10"/>
      <c r="U1455" s="10"/>
      <c r="V1455" s="10"/>
    </row>
    <row r="1456" ht="22.5" customHeight="1">
      <c r="A1456" s="5">
        <v>1.8481221687E11</v>
      </c>
      <c r="B1456" s="5" t="s">
        <v>1541</v>
      </c>
      <c r="C1456" s="5">
        <v>526442270281</v>
      </c>
      <c r="D1456" s="5" t="s">
        <v>13</v>
      </c>
      <c r="E1456" s="5">
        <v>8.7547393E7</v>
      </c>
      <c r="F1456" s="5" t="s">
        <v>39</v>
      </c>
      <c r="G1456" s="5" t="s">
        <v>15</v>
      </c>
      <c r="H1456" s="5" t="s">
        <v>51</v>
      </c>
      <c r="I1456" s="6" t="s">
        <v>63</v>
      </c>
      <c r="J1456" s="7" t="s">
        <v>34</v>
      </c>
      <c r="K1456" s="7"/>
      <c r="L1456" s="8">
        <v>1.771548990387E12</v>
      </c>
      <c r="M1456" s="9"/>
      <c r="N1456" s="10"/>
      <c r="O1456" s="10"/>
      <c r="P1456" s="10"/>
      <c r="Q1456" s="10"/>
      <c r="R1456" s="10"/>
      <c r="S1456" s="10"/>
      <c r="T1456" s="10"/>
      <c r="U1456" s="10"/>
      <c r="V1456" s="10"/>
    </row>
    <row r="1457" ht="22.5" customHeight="1">
      <c r="A1457" s="5">
        <v>2.04005313461E11</v>
      </c>
      <c r="B1457" s="5" t="s">
        <v>1542</v>
      </c>
      <c r="C1457" s="5">
        <v>51929503739</v>
      </c>
      <c r="D1457" s="5" t="s">
        <v>38</v>
      </c>
      <c r="E1457" s="5">
        <v>8.0566583E7</v>
      </c>
      <c r="F1457" s="5" t="s">
        <v>28</v>
      </c>
      <c r="G1457" s="5" t="s">
        <v>15</v>
      </c>
      <c r="H1457" s="5" t="s">
        <v>51</v>
      </c>
      <c r="I1457" s="6" t="s">
        <v>17</v>
      </c>
      <c r="J1457" s="7" t="s">
        <v>18</v>
      </c>
      <c r="K1457" s="7" t="s">
        <v>19</v>
      </c>
      <c r="L1457" s="8">
        <v>1.771549976195E12</v>
      </c>
      <c r="M1457" s="9"/>
      <c r="N1457" s="10"/>
      <c r="O1457" s="10"/>
      <c r="P1457" s="10"/>
      <c r="Q1457" s="10"/>
      <c r="R1457" s="10"/>
      <c r="S1457" s="10"/>
      <c r="T1457" s="10"/>
      <c r="U1457" s="10"/>
      <c r="V1457" s="10"/>
    </row>
    <row r="1458" ht="22.5" customHeight="1">
      <c r="A1458" s="5">
        <v>2.03741842103E11</v>
      </c>
      <c r="B1458" s="5" t="s">
        <v>1422</v>
      </c>
      <c r="C1458" s="5">
        <v>573222085333</v>
      </c>
      <c r="D1458" s="5" t="s">
        <v>22</v>
      </c>
      <c r="E1458" s="5">
        <v>8.0566583E7</v>
      </c>
      <c r="F1458" s="5" t="s">
        <v>93</v>
      </c>
      <c r="G1458" s="5" t="s">
        <v>32</v>
      </c>
      <c r="H1458" s="5" t="s">
        <v>29</v>
      </c>
      <c r="I1458" s="6" t="s">
        <v>49</v>
      </c>
      <c r="J1458" s="7" t="s">
        <v>34</v>
      </c>
      <c r="K1458" s="7"/>
      <c r="L1458" s="8">
        <v>1.77155000848E12</v>
      </c>
      <c r="M1458" s="9"/>
      <c r="N1458" s="10"/>
      <c r="O1458" s="10"/>
      <c r="P1458" s="10"/>
      <c r="Q1458" s="10"/>
      <c r="R1458" s="10"/>
      <c r="S1458" s="10"/>
      <c r="T1458" s="10"/>
      <c r="U1458" s="10"/>
      <c r="V1458" s="10"/>
    </row>
    <row r="1459" ht="22.5" customHeight="1">
      <c r="A1459" s="5">
        <v>2.0399420725E11</v>
      </c>
      <c r="B1459" s="5" t="s">
        <v>1543</v>
      </c>
      <c r="C1459" s="5">
        <v>529994408314</v>
      </c>
      <c r="D1459" s="5" t="s">
        <v>103</v>
      </c>
      <c r="E1459" s="5">
        <v>8.0566583E7</v>
      </c>
      <c r="F1459" s="5" t="s">
        <v>28</v>
      </c>
      <c r="G1459" s="5" t="s">
        <v>79</v>
      </c>
      <c r="H1459" s="5" t="s">
        <v>16</v>
      </c>
      <c r="I1459" s="6" t="s">
        <v>17</v>
      </c>
      <c r="J1459" s="7" t="s">
        <v>25</v>
      </c>
      <c r="K1459" s="7" t="s">
        <v>501</v>
      </c>
      <c r="L1459" s="8">
        <v>1.771550231059E12</v>
      </c>
      <c r="M1459" s="9"/>
      <c r="N1459" s="10"/>
      <c r="O1459" s="10"/>
      <c r="P1459" s="10"/>
      <c r="Q1459" s="10"/>
      <c r="R1459" s="10"/>
      <c r="S1459" s="10"/>
      <c r="T1459" s="10"/>
      <c r="U1459" s="10"/>
      <c r="V1459" s="10"/>
    </row>
    <row r="1460" ht="22.5" customHeight="1">
      <c r="A1460" s="5">
        <v>2.04009238325E11</v>
      </c>
      <c r="B1460" s="5" t="s">
        <v>1544</v>
      </c>
      <c r="C1460" s="5">
        <v>51932202054</v>
      </c>
      <c r="D1460" s="5" t="s">
        <v>13</v>
      </c>
      <c r="E1460" s="5">
        <v>8.0566583E7</v>
      </c>
      <c r="F1460" s="5" t="s">
        <v>39</v>
      </c>
      <c r="G1460" s="5">
        <v>50</v>
      </c>
      <c r="H1460" s="5" t="s">
        <v>51</v>
      </c>
      <c r="I1460" s="6"/>
      <c r="J1460" s="7" t="s">
        <v>18</v>
      </c>
      <c r="K1460" s="7" t="s">
        <v>19</v>
      </c>
      <c r="L1460" s="8">
        <v>1.771550238448E12</v>
      </c>
      <c r="M1460" s="9"/>
      <c r="N1460" s="10"/>
      <c r="O1460" s="10"/>
      <c r="P1460" s="10"/>
      <c r="Q1460" s="10"/>
      <c r="R1460" s="10"/>
      <c r="S1460" s="10"/>
      <c r="T1460" s="10"/>
      <c r="U1460" s="10"/>
      <c r="V1460" s="10"/>
    </row>
    <row r="1461" ht="22.5" customHeight="1">
      <c r="A1461" s="5">
        <v>2.0400677519E11</v>
      </c>
      <c r="B1461" s="5" t="s">
        <v>1545</v>
      </c>
      <c r="C1461" s="5">
        <v>5598985362866</v>
      </c>
      <c r="D1461" s="5" t="s">
        <v>13</v>
      </c>
      <c r="E1461" s="5">
        <v>7.9360573E7</v>
      </c>
      <c r="F1461" s="5" t="s">
        <v>714</v>
      </c>
      <c r="G1461" s="5" t="s">
        <v>15</v>
      </c>
      <c r="H1461" s="5" t="s">
        <v>16</v>
      </c>
      <c r="I1461" s="6"/>
      <c r="J1461" s="7" t="s">
        <v>34</v>
      </c>
      <c r="K1461" s="7"/>
      <c r="L1461" s="8">
        <v>1.77155041916E12</v>
      </c>
      <c r="M1461" s="9"/>
      <c r="N1461" s="10"/>
      <c r="O1461" s="10"/>
      <c r="P1461" s="10"/>
      <c r="Q1461" s="10"/>
      <c r="R1461" s="10"/>
      <c r="S1461" s="10"/>
      <c r="T1461" s="10"/>
      <c r="U1461" s="10"/>
      <c r="V1461" s="10"/>
    </row>
    <row r="1462" ht="22.5" customHeight="1">
      <c r="A1462" s="5">
        <v>2.04008757574E11</v>
      </c>
      <c r="B1462" s="5" t="s">
        <v>1546</v>
      </c>
      <c r="C1462" s="5">
        <v>51942971886</v>
      </c>
      <c r="D1462" s="5" t="s">
        <v>38</v>
      </c>
      <c r="E1462" s="5">
        <v>8.7547393E7</v>
      </c>
      <c r="F1462" s="5"/>
      <c r="G1462" s="5"/>
      <c r="H1462" s="5"/>
      <c r="I1462" s="6"/>
      <c r="J1462" s="7" t="s">
        <v>18</v>
      </c>
      <c r="K1462" s="7" t="s">
        <v>19</v>
      </c>
      <c r="L1462" s="8">
        <v>1.771550493123E12</v>
      </c>
      <c r="M1462" s="9"/>
      <c r="N1462" s="10"/>
      <c r="O1462" s="10"/>
      <c r="P1462" s="10"/>
      <c r="Q1462" s="10"/>
      <c r="R1462" s="10"/>
      <c r="S1462" s="10"/>
      <c r="T1462" s="10"/>
      <c r="U1462" s="10"/>
      <c r="V1462" s="10"/>
    </row>
    <row r="1463" ht="22.5" customHeight="1">
      <c r="A1463" s="5">
        <v>2.03994688083E11</v>
      </c>
      <c r="B1463" s="5" t="s">
        <v>1547</v>
      </c>
      <c r="C1463" s="5">
        <v>5521979383507</v>
      </c>
      <c r="D1463" s="5" t="s">
        <v>13</v>
      </c>
      <c r="E1463" s="5">
        <v>7.9360573E7</v>
      </c>
      <c r="F1463" s="5" t="s">
        <v>28</v>
      </c>
      <c r="G1463" s="5" t="s">
        <v>15</v>
      </c>
      <c r="H1463" s="5" t="s">
        <v>16</v>
      </c>
      <c r="I1463" s="6" t="s">
        <v>17</v>
      </c>
      <c r="J1463" s="7" t="s">
        <v>34</v>
      </c>
      <c r="K1463" s="7"/>
      <c r="L1463" s="8">
        <v>1.771551767331E12</v>
      </c>
      <c r="M1463" s="9"/>
      <c r="N1463" s="10"/>
      <c r="O1463" s="10"/>
      <c r="P1463" s="10"/>
      <c r="Q1463" s="10"/>
      <c r="R1463" s="10"/>
      <c r="S1463" s="10"/>
      <c r="T1463" s="10"/>
      <c r="U1463" s="10"/>
      <c r="V1463" s="10"/>
    </row>
    <row r="1464" ht="22.5" customHeight="1">
      <c r="A1464" s="5">
        <v>2.04010577505E11</v>
      </c>
      <c r="B1464" s="5" t="s">
        <v>1548</v>
      </c>
      <c r="C1464" s="5">
        <v>51939205410</v>
      </c>
      <c r="D1464" s="5" t="s">
        <v>13</v>
      </c>
      <c r="E1464" s="5">
        <v>8.0566583E7</v>
      </c>
      <c r="F1464" s="5" t="s">
        <v>14</v>
      </c>
      <c r="G1464" s="5" t="s">
        <v>15</v>
      </c>
      <c r="H1464" s="5" t="s">
        <v>33</v>
      </c>
      <c r="I1464" s="6" t="s">
        <v>17</v>
      </c>
      <c r="J1464" s="7" t="s">
        <v>18</v>
      </c>
      <c r="K1464" s="7" t="s">
        <v>19</v>
      </c>
      <c r="L1464" s="8">
        <v>1.771552657572E12</v>
      </c>
      <c r="M1464" s="9"/>
      <c r="N1464" s="10"/>
      <c r="O1464" s="10"/>
      <c r="P1464" s="10"/>
      <c r="Q1464" s="10"/>
      <c r="R1464" s="10"/>
      <c r="S1464" s="10"/>
      <c r="T1464" s="10"/>
      <c r="U1464" s="10"/>
      <c r="V1464" s="10"/>
    </row>
    <row r="1465" ht="22.5" customHeight="1">
      <c r="A1465" s="5">
        <v>2.04010957641E11</v>
      </c>
      <c r="B1465" s="5" t="s">
        <v>1549</v>
      </c>
      <c r="C1465" s="5">
        <v>51902252860</v>
      </c>
      <c r="D1465" s="5" t="s">
        <v>38</v>
      </c>
      <c r="E1465" s="5">
        <v>8.0566583E7</v>
      </c>
      <c r="F1465" s="5" t="s">
        <v>93</v>
      </c>
      <c r="G1465" s="5" t="s">
        <v>15</v>
      </c>
      <c r="H1465" s="5" t="s">
        <v>69</v>
      </c>
      <c r="I1465" s="6" t="s">
        <v>17</v>
      </c>
      <c r="J1465" s="7" t="s">
        <v>18</v>
      </c>
      <c r="K1465" s="7" t="s">
        <v>19</v>
      </c>
      <c r="L1465" s="8">
        <v>1.771552990259E12</v>
      </c>
      <c r="M1465" s="9"/>
      <c r="N1465" s="10"/>
      <c r="O1465" s="10"/>
      <c r="P1465" s="10"/>
      <c r="Q1465" s="10"/>
      <c r="R1465" s="10"/>
      <c r="S1465" s="10"/>
      <c r="T1465" s="10"/>
      <c r="U1465" s="10"/>
      <c r="V1465" s="10"/>
    </row>
    <row r="1466" ht="22.5" customHeight="1">
      <c r="A1466" s="5">
        <v>2.0401476816E11</v>
      </c>
      <c r="B1466" s="5" t="s">
        <v>1550</v>
      </c>
      <c r="C1466" s="5">
        <v>523441006923</v>
      </c>
      <c r="D1466" s="5" t="s">
        <v>38</v>
      </c>
      <c r="E1466" s="5">
        <v>8.0566583E7</v>
      </c>
      <c r="F1466" s="5"/>
      <c r="G1466" s="5"/>
      <c r="H1466" s="5"/>
      <c r="I1466" s="6"/>
      <c r="J1466" s="7" t="s">
        <v>18</v>
      </c>
      <c r="K1466" s="7" t="s">
        <v>61</v>
      </c>
      <c r="L1466" s="8">
        <v>1.771553282011E12</v>
      </c>
      <c r="M1466" s="9"/>
      <c r="N1466" s="10"/>
      <c r="O1466" s="10"/>
      <c r="P1466" s="10"/>
      <c r="Q1466" s="10"/>
      <c r="R1466" s="10"/>
      <c r="S1466" s="10"/>
      <c r="T1466" s="10"/>
      <c r="U1466" s="10"/>
      <c r="V1466" s="10"/>
    </row>
    <row r="1467" ht="22.5" customHeight="1">
      <c r="A1467" s="5">
        <v>2.04014784422E11</v>
      </c>
      <c r="B1467" s="5" t="s">
        <v>1551</v>
      </c>
      <c r="C1467" s="5">
        <v>51966010314</v>
      </c>
      <c r="D1467" s="5" t="s">
        <v>38</v>
      </c>
      <c r="E1467" s="5">
        <v>8.7547393E7</v>
      </c>
      <c r="F1467" s="5" t="s">
        <v>259</v>
      </c>
      <c r="G1467" s="5" t="s">
        <v>44</v>
      </c>
      <c r="H1467" s="5" t="s">
        <v>239</v>
      </c>
      <c r="I1467" s="6" t="s">
        <v>17</v>
      </c>
      <c r="J1467" s="7" t="s">
        <v>18</v>
      </c>
      <c r="K1467" s="7" t="s">
        <v>19</v>
      </c>
      <c r="L1467" s="8">
        <v>1.771553654688E12</v>
      </c>
      <c r="M1467" s="9"/>
      <c r="N1467" s="10"/>
      <c r="O1467" s="10"/>
      <c r="P1467" s="10"/>
      <c r="Q1467" s="10"/>
      <c r="R1467" s="10"/>
      <c r="S1467" s="10"/>
      <c r="T1467" s="10"/>
      <c r="U1467" s="10"/>
      <c r="V1467" s="10"/>
    </row>
    <row r="1468" ht="22.5" customHeight="1">
      <c r="A1468" s="5">
        <v>2.04014784422E11</v>
      </c>
      <c r="B1468" s="5" t="s">
        <v>1551</v>
      </c>
      <c r="C1468" s="5">
        <v>51966010314</v>
      </c>
      <c r="D1468" s="5" t="s">
        <v>22</v>
      </c>
      <c r="E1468" s="5">
        <v>8.7547393E7</v>
      </c>
      <c r="F1468" s="5" t="s">
        <v>259</v>
      </c>
      <c r="G1468" s="5" t="s">
        <v>44</v>
      </c>
      <c r="H1468" s="5" t="s">
        <v>239</v>
      </c>
      <c r="I1468" s="6" t="s">
        <v>17</v>
      </c>
      <c r="J1468" s="7" t="s">
        <v>18</v>
      </c>
      <c r="K1468" s="7" t="s">
        <v>19</v>
      </c>
      <c r="L1468" s="8">
        <v>1.771553917961E12</v>
      </c>
      <c r="M1468" s="9"/>
      <c r="N1468" s="10"/>
      <c r="O1468" s="10"/>
      <c r="P1468" s="10"/>
      <c r="Q1468" s="10"/>
      <c r="R1468" s="10"/>
      <c r="S1468" s="10"/>
      <c r="T1468" s="10"/>
      <c r="U1468" s="10"/>
      <c r="V1468" s="10"/>
    </row>
    <row r="1469" ht="22.5" customHeight="1">
      <c r="A1469" s="5">
        <v>2.04010875577E11</v>
      </c>
      <c r="B1469" s="5" t="s">
        <v>1552</v>
      </c>
      <c r="C1469" s="5">
        <v>51966438508</v>
      </c>
      <c r="D1469" s="5" t="s">
        <v>13</v>
      </c>
      <c r="E1469" s="5">
        <v>8.0566583E7</v>
      </c>
      <c r="F1469" s="5" t="s">
        <v>14</v>
      </c>
      <c r="G1469" s="5" t="s">
        <v>32</v>
      </c>
      <c r="H1469" s="5" t="s">
        <v>24</v>
      </c>
      <c r="I1469" s="6" t="s">
        <v>17</v>
      </c>
      <c r="J1469" s="7" t="s">
        <v>18</v>
      </c>
      <c r="K1469" s="7" t="s">
        <v>116</v>
      </c>
      <c r="L1469" s="8">
        <v>1.771554727001E12</v>
      </c>
      <c r="M1469" s="9"/>
      <c r="N1469" s="10"/>
      <c r="O1469" s="10"/>
      <c r="P1469" s="10"/>
      <c r="Q1469" s="10"/>
      <c r="R1469" s="10"/>
      <c r="S1469" s="10"/>
      <c r="T1469" s="10"/>
      <c r="U1469" s="10"/>
      <c r="V1469" s="10"/>
    </row>
    <row r="1470" ht="22.5" customHeight="1">
      <c r="A1470" s="5">
        <v>1.94877011471E11</v>
      </c>
      <c r="B1470" s="5" t="s">
        <v>1553</v>
      </c>
      <c r="C1470" s="5">
        <v>5538992474153</v>
      </c>
      <c r="D1470" s="5" t="s">
        <v>38</v>
      </c>
      <c r="E1470" s="5">
        <v>7.9360573E7</v>
      </c>
      <c r="F1470" s="5" t="s">
        <v>28</v>
      </c>
      <c r="G1470" s="5" t="s">
        <v>32</v>
      </c>
      <c r="H1470" s="5" t="s">
        <v>16</v>
      </c>
      <c r="I1470" s="6" t="s">
        <v>17</v>
      </c>
      <c r="J1470" s="7" t="s">
        <v>18</v>
      </c>
      <c r="K1470" s="7" t="s">
        <v>45</v>
      </c>
      <c r="L1470" s="8">
        <v>1.771554733643E12</v>
      </c>
      <c r="M1470" s="9"/>
      <c r="N1470" s="10"/>
      <c r="O1470" s="10"/>
      <c r="P1470" s="10"/>
      <c r="Q1470" s="10"/>
      <c r="R1470" s="10"/>
      <c r="S1470" s="10"/>
      <c r="T1470" s="10"/>
      <c r="U1470" s="10"/>
      <c r="V1470" s="10"/>
    </row>
    <row r="1471" ht="22.5" customHeight="1">
      <c r="A1471" s="5">
        <v>2.03996018335E11</v>
      </c>
      <c r="B1471" s="5" t="s">
        <v>1554</v>
      </c>
      <c r="C1471" s="5">
        <v>5553997059306</v>
      </c>
      <c r="D1471" s="5" t="s">
        <v>22</v>
      </c>
      <c r="E1471" s="5">
        <v>7.9360573E7</v>
      </c>
      <c r="F1471" s="5" t="s">
        <v>39</v>
      </c>
      <c r="G1471" s="5" t="s">
        <v>44</v>
      </c>
      <c r="H1471" s="5" t="s">
        <v>33</v>
      </c>
      <c r="I1471" s="6" t="s">
        <v>17</v>
      </c>
      <c r="J1471" s="7" t="s">
        <v>124</v>
      </c>
      <c r="K1471" s="7" t="s">
        <v>1256</v>
      </c>
      <c r="L1471" s="8">
        <v>1.771554744042E12</v>
      </c>
      <c r="M1471" s="9"/>
      <c r="N1471" s="10"/>
      <c r="O1471" s="10"/>
      <c r="P1471" s="10"/>
      <c r="Q1471" s="10"/>
      <c r="R1471" s="10"/>
      <c r="S1471" s="10"/>
      <c r="T1471" s="10"/>
      <c r="U1471" s="10"/>
      <c r="V1471" s="10"/>
    </row>
    <row r="1472" ht="22.5" customHeight="1">
      <c r="A1472" s="5">
        <v>2.04015015082E11</v>
      </c>
      <c r="B1472" s="5" t="s">
        <v>1555</v>
      </c>
      <c r="C1472" s="5">
        <v>51922645614</v>
      </c>
      <c r="D1472" s="5" t="s">
        <v>22</v>
      </c>
      <c r="E1472" s="5">
        <v>8.7547393E7</v>
      </c>
      <c r="F1472" s="5" t="s">
        <v>39</v>
      </c>
      <c r="G1472" s="5" t="s">
        <v>32</v>
      </c>
      <c r="H1472" s="5" t="s">
        <v>29</v>
      </c>
      <c r="I1472" s="6" t="s">
        <v>17</v>
      </c>
      <c r="J1472" s="7" t="s">
        <v>18</v>
      </c>
      <c r="K1472" s="7" t="s">
        <v>116</v>
      </c>
      <c r="L1472" s="8">
        <v>1.771554875803E12</v>
      </c>
      <c r="M1472" s="9"/>
      <c r="N1472" s="10"/>
      <c r="O1472" s="10"/>
      <c r="P1472" s="10"/>
      <c r="Q1472" s="10"/>
      <c r="R1472" s="10"/>
      <c r="S1472" s="10"/>
      <c r="T1472" s="10"/>
      <c r="U1472" s="10"/>
      <c r="V1472" s="10"/>
    </row>
    <row r="1473" ht="22.5" customHeight="1">
      <c r="A1473" s="5">
        <v>2.04011131983E11</v>
      </c>
      <c r="B1473" s="5" t="s">
        <v>1556</v>
      </c>
      <c r="C1473" s="5">
        <v>51985829197</v>
      </c>
      <c r="D1473" s="5" t="s">
        <v>38</v>
      </c>
      <c r="E1473" s="5">
        <v>8.7547393E7</v>
      </c>
      <c r="F1473" s="5"/>
      <c r="G1473" s="5"/>
      <c r="H1473" s="5"/>
      <c r="I1473" s="6"/>
      <c r="J1473" s="7" t="s">
        <v>18</v>
      </c>
      <c r="K1473" s="7" t="s">
        <v>19</v>
      </c>
      <c r="L1473" s="8">
        <v>1.771556039724E12</v>
      </c>
      <c r="M1473" s="9"/>
      <c r="N1473" s="10"/>
      <c r="O1473" s="10"/>
      <c r="P1473" s="10"/>
      <c r="Q1473" s="10"/>
      <c r="R1473" s="10"/>
      <c r="S1473" s="10"/>
      <c r="T1473" s="10"/>
      <c r="U1473" s="10"/>
      <c r="V1473" s="10"/>
    </row>
    <row r="1474" ht="22.5" customHeight="1">
      <c r="A1474" s="5">
        <v>2.0401111862E11</v>
      </c>
      <c r="B1474" s="5" t="s">
        <v>1557</v>
      </c>
      <c r="C1474" s="5">
        <v>5547992003080</v>
      </c>
      <c r="D1474" s="5" t="s">
        <v>13</v>
      </c>
      <c r="E1474" s="5">
        <v>7.9360573E7</v>
      </c>
      <c r="F1474" s="5" t="s">
        <v>93</v>
      </c>
      <c r="G1474" s="5" t="s">
        <v>15</v>
      </c>
      <c r="H1474" s="5" t="s">
        <v>66</v>
      </c>
      <c r="I1474" s="6" t="s">
        <v>17</v>
      </c>
      <c r="J1474" s="7" t="s">
        <v>34</v>
      </c>
      <c r="K1474" s="7"/>
      <c r="L1474" s="8">
        <v>1.771556039556E12</v>
      </c>
      <c r="M1474" s="9"/>
      <c r="N1474" s="10"/>
      <c r="O1474" s="10"/>
      <c r="P1474" s="10"/>
      <c r="Q1474" s="10"/>
      <c r="R1474" s="10"/>
      <c r="S1474" s="10"/>
      <c r="T1474" s="10"/>
      <c r="U1474" s="10"/>
      <c r="V1474" s="10"/>
    </row>
    <row r="1475" ht="22.5" customHeight="1">
      <c r="A1475" s="5">
        <v>2.04035280198E11</v>
      </c>
      <c r="B1475" s="5" t="s">
        <v>1558</v>
      </c>
      <c r="C1475" s="5">
        <v>51969747332</v>
      </c>
      <c r="D1475" s="5" t="s">
        <v>38</v>
      </c>
      <c r="E1475" s="5">
        <v>8.7547393E7</v>
      </c>
      <c r="F1475" s="5"/>
      <c r="G1475" s="5"/>
      <c r="H1475" s="5"/>
      <c r="I1475" s="6"/>
      <c r="J1475" s="7" t="s">
        <v>18</v>
      </c>
      <c r="K1475" s="7" t="s">
        <v>19</v>
      </c>
      <c r="L1475" s="8">
        <v>1.77155645536E12</v>
      </c>
      <c r="M1475" s="9"/>
      <c r="N1475" s="10"/>
      <c r="O1475" s="10"/>
      <c r="P1475" s="10"/>
      <c r="Q1475" s="10"/>
      <c r="R1475" s="10"/>
      <c r="S1475" s="10"/>
      <c r="T1475" s="10"/>
      <c r="U1475" s="10"/>
      <c r="V1475" s="10"/>
    </row>
    <row r="1476" ht="22.5" customHeight="1">
      <c r="A1476" s="5">
        <v>2.04016428683E11</v>
      </c>
      <c r="B1476" s="5" t="s">
        <v>1559</v>
      </c>
      <c r="C1476" s="5">
        <v>5519974234920</v>
      </c>
      <c r="D1476" s="5" t="s">
        <v>13</v>
      </c>
      <c r="E1476" s="5">
        <v>7.9360573E7</v>
      </c>
      <c r="F1476" s="5" t="s">
        <v>28</v>
      </c>
      <c r="G1476" s="5" t="s">
        <v>15</v>
      </c>
      <c r="H1476" s="5" t="s">
        <v>16</v>
      </c>
      <c r="I1476" s="6" t="s">
        <v>17</v>
      </c>
      <c r="J1476" s="7" t="s">
        <v>34</v>
      </c>
      <c r="K1476" s="7"/>
      <c r="L1476" s="8">
        <v>1.771556765708E12</v>
      </c>
      <c r="M1476" s="9"/>
      <c r="N1476" s="10"/>
      <c r="O1476" s="10"/>
      <c r="P1476" s="10"/>
      <c r="Q1476" s="10"/>
      <c r="R1476" s="10"/>
      <c r="S1476" s="10"/>
      <c r="T1476" s="10"/>
      <c r="U1476" s="10"/>
      <c r="V1476" s="10"/>
    </row>
    <row r="1477" ht="22.5" customHeight="1">
      <c r="A1477" s="5">
        <v>1.43732540231E11</v>
      </c>
      <c r="B1477" s="5" t="s">
        <v>1560</v>
      </c>
      <c r="C1477" s="5">
        <v>51961353415</v>
      </c>
      <c r="D1477" s="5" t="s">
        <v>13</v>
      </c>
      <c r="E1477" s="5">
        <v>8.7547393E7</v>
      </c>
      <c r="F1477" s="5" t="s">
        <v>28</v>
      </c>
      <c r="G1477" s="5" t="s">
        <v>15</v>
      </c>
      <c r="H1477" s="5" t="s">
        <v>114</v>
      </c>
      <c r="I1477" s="6" t="s">
        <v>17</v>
      </c>
      <c r="J1477" s="7" t="s">
        <v>34</v>
      </c>
      <c r="K1477" s="7"/>
      <c r="L1477" s="8">
        <v>1.771556872094E12</v>
      </c>
      <c r="M1477" s="9"/>
      <c r="N1477" s="10"/>
      <c r="O1477" s="10"/>
      <c r="P1477" s="10"/>
      <c r="Q1477" s="10"/>
      <c r="R1477" s="10"/>
      <c r="S1477" s="10"/>
      <c r="T1477" s="10"/>
      <c r="U1477" s="10"/>
      <c r="V1477" s="10"/>
    </row>
    <row r="1478" ht="22.5" customHeight="1">
      <c r="A1478" s="5">
        <v>2.04035440027E11</v>
      </c>
      <c r="B1478" s="5" t="s">
        <v>1561</v>
      </c>
      <c r="C1478" s="5">
        <v>5583988738009</v>
      </c>
      <c r="D1478" s="5" t="s">
        <v>22</v>
      </c>
      <c r="E1478" s="5">
        <v>7.9360573E7</v>
      </c>
      <c r="F1478" s="5" t="s">
        <v>93</v>
      </c>
      <c r="G1478" s="5" t="s">
        <v>32</v>
      </c>
      <c r="H1478" s="5" t="s">
        <v>29</v>
      </c>
      <c r="I1478" s="6" t="s">
        <v>17</v>
      </c>
      <c r="J1478" s="7" t="s">
        <v>34</v>
      </c>
      <c r="K1478" s="7"/>
      <c r="L1478" s="8">
        <v>1.771557222757E12</v>
      </c>
      <c r="M1478" s="9"/>
      <c r="N1478" s="10"/>
      <c r="O1478" s="10"/>
      <c r="P1478" s="10"/>
      <c r="Q1478" s="10"/>
      <c r="R1478" s="10"/>
      <c r="S1478" s="10"/>
      <c r="T1478" s="10"/>
      <c r="U1478" s="10"/>
      <c r="V1478" s="10"/>
    </row>
    <row r="1479" ht="22.5" customHeight="1">
      <c r="A1479" s="5">
        <v>2.04035441846E11</v>
      </c>
      <c r="B1479" s="5" t="s">
        <v>1562</v>
      </c>
      <c r="C1479" s="5">
        <v>5511940106818</v>
      </c>
      <c r="D1479" s="5" t="s">
        <v>38</v>
      </c>
      <c r="E1479" s="5">
        <v>7.9360573E7</v>
      </c>
      <c r="F1479" s="5" t="s">
        <v>14</v>
      </c>
      <c r="G1479" s="5" t="s">
        <v>15</v>
      </c>
      <c r="H1479" s="5" t="s">
        <v>16</v>
      </c>
      <c r="I1479" s="6" t="s">
        <v>63</v>
      </c>
      <c r="J1479" s="7" t="s">
        <v>34</v>
      </c>
      <c r="K1479" s="7"/>
      <c r="L1479" s="8">
        <v>1.771557291037E12</v>
      </c>
      <c r="M1479" s="9"/>
      <c r="N1479" s="10"/>
      <c r="O1479" s="10"/>
      <c r="P1479" s="10"/>
      <c r="Q1479" s="10"/>
      <c r="R1479" s="10"/>
      <c r="S1479" s="10"/>
      <c r="T1479" s="10"/>
      <c r="U1479" s="10"/>
      <c r="V1479" s="10"/>
    </row>
    <row r="1480" ht="22.5" customHeight="1">
      <c r="A1480" s="5">
        <v>2.04019724376E11</v>
      </c>
      <c r="B1480" s="5" t="s">
        <v>1563</v>
      </c>
      <c r="C1480" s="5">
        <v>51943811941</v>
      </c>
      <c r="D1480" s="5" t="s">
        <v>13</v>
      </c>
      <c r="E1480" s="5">
        <v>8.0566583E7</v>
      </c>
      <c r="F1480" s="5" t="s">
        <v>28</v>
      </c>
      <c r="G1480" s="5" t="s">
        <v>15</v>
      </c>
      <c r="H1480" s="5" t="s">
        <v>66</v>
      </c>
      <c r="I1480" s="6" t="s">
        <v>17</v>
      </c>
      <c r="J1480" s="7" t="s">
        <v>18</v>
      </c>
      <c r="K1480" s="7" t="s">
        <v>19</v>
      </c>
      <c r="L1480" s="8">
        <v>1.771559740284E12</v>
      </c>
      <c r="M1480" s="9"/>
      <c r="N1480" s="10"/>
      <c r="O1480" s="10"/>
      <c r="P1480" s="10"/>
      <c r="Q1480" s="10"/>
      <c r="R1480" s="10"/>
      <c r="S1480" s="10"/>
      <c r="T1480" s="10"/>
      <c r="U1480" s="10"/>
      <c r="V1480" s="10"/>
    </row>
    <row r="1481" ht="22.5" customHeight="1">
      <c r="A1481" s="5">
        <v>2.04022984704E11</v>
      </c>
      <c r="B1481" s="5" t="s">
        <v>1564</v>
      </c>
      <c r="C1481" s="5">
        <v>524643015049</v>
      </c>
      <c r="D1481" s="5" t="s">
        <v>13</v>
      </c>
      <c r="E1481" s="5">
        <v>8.7547393E7</v>
      </c>
      <c r="F1481" s="5" t="s">
        <v>39</v>
      </c>
      <c r="G1481" s="5" t="s">
        <v>15</v>
      </c>
      <c r="H1481" s="5" t="s">
        <v>66</v>
      </c>
      <c r="I1481" s="6" t="s">
        <v>36</v>
      </c>
      <c r="J1481" s="7" t="s">
        <v>34</v>
      </c>
      <c r="K1481" s="7"/>
      <c r="L1481" s="8">
        <v>1.771560894365E12</v>
      </c>
      <c r="M1481" s="9"/>
      <c r="N1481" s="10"/>
      <c r="O1481" s="10"/>
      <c r="P1481" s="10"/>
      <c r="Q1481" s="10"/>
      <c r="R1481" s="10"/>
      <c r="S1481" s="10"/>
      <c r="T1481" s="10"/>
      <c r="U1481" s="10"/>
      <c r="V1481" s="10"/>
    </row>
    <row r="1482" ht="22.5" customHeight="1">
      <c r="A1482" s="5">
        <v>1.72161401399E11</v>
      </c>
      <c r="B1482" s="5" t="s">
        <v>1410</v>
      </c>
      <c r="C1482" s="5">
        <v>51963349937</v>
      </c>
      <c r="D1482" s="5" t="s">
        <v>13</v>
      </c>
      <c r="E1482" s="5">
        <v>8.7547393E7</v>
      </c>
      <c r="F1482" s="5" t="s">
        <v>714</v>
      </c>
      <c r="G1482" s="5" t="s">
        <v>32</v>
      </c>
      <c r="H1482" s="5" t="s">
        <v>16</v>
      </c>
      <c r="I1482" s="6" t="s">
        <v>17</v>
      </c>
      <c r="J1482" s="7" t="s">
        <v>18</v>
      </c>
      <c r="K1482" s="7" t="s">
        <v>116</v>
      </c>
      <c r="L1482" s="8">
        <v>1.771561705245E12</v>
      </c>
      <c r="M1482" s="9"/>
      <c r="N1482" s="10"/>
      <c r="O1482" s="10"/>
      <c r="P1482" s="10"/>
      <c r="Q1482" s="10"/>
      <c r="R1482" s="10"/>
      <c r="S1482" s="10"/>
      <c r="T1482" s="10"/>
      <c r="U1482" s="10"/>
      <c r="V1482" s="10"/>
    </row>
    <row r="1483" ht="22.5" customHeight="1">
      <c r="A1483" s="5">
        <v>1.72759888263E11</v>
      </c>
      <c r="B1483" s="5" t="s">
        <v>1351</v>
      </c>
      <c r="C1483" s="5">
        <v>51970616960</v>
      </c>
      <c r="D1483" s="5" t="s">
        <v>13</v>
      </c>
      <c r="E1483" s="5">
        <v>8.0566583E7</v>
      </c>
      <c r="F1483" s="5" t="s">
        <v>93</v>
      </c>
      <c r="G1483" s="5" t="s">
        <v>15</v>
      </c>
      <c r="H1483" s="5" t="s">
        <v>16</v>
      </c>
      <c r="I1483" s="6" t="s">
        <v>36</v>
      </c>
      <c r="J1483" s="7" t="s">
        <v>18</v>
      </c>
      <c r="K1483" s="7" t="s">
        <v>19</v>
      </c>
      <c r="L1483" s="8">
        <v>1.771561705583E12</v>
      </c>
      <c r="M1483" s="9"/>
      <c r="N1483" s="10"/>
      <c r="O1483" s="10"/>
      <c r="P1483" s="10"/>
      <c r="Q1483" s="10"/>
      <c r="R1483" s="10"/>
      <c r="S1483" s="10"/>
      <c r="T1483" s="10"/>
      <c r="U1483" s="10"/>
      <c r="V1483" s="10"/>
    </row>
    <row r="1484" ht="22.5" customHeight="1">
      <c r="A1484" s="5">
        <v>1.64282352453E11</v>
      </c>
      <c r="B1484" s="5" t="s">
        <v>552</v>
      </c>
      <c r="C1484" s="5">
        <v>51997774083</v>
      </c>
      <c r="D1484" s="5" t="s">
        <v>13</v>
      </c>
      <c r="E1484" s="5">
        <v>7.9360573E7</v>
      </c>
      <c r="F1484" s="5" t="s">
        <v>28</v>
      </c>
      <c r="G1484" s="5" t="s">
        <v>15</v>
      </c>
      <c r="H1484" s="5" t="s">
        <v>24</v>
      </c>
      <c r="I1484" s="6" t="s">
        <v>17</v>
      </c>
      <c r="J1484" s="7" t="s">
        <v>34</v>
      </c>
      <c r="K1484" s="7"/>
      <c r="L1484" s="8">
        <v>1.771561705096E12</v>
      </c>
      <c r="M1484" s="9"/>
      <c r="N1484" s="10"/>
      <c r="O1484" s="10"/>
      <c r="P1484" s="10"/>
      <c r="Q1484" s="10"/>
      <c r="R1484" s="10"/>
      <c r="S1484" s="10"/>
      <c r="T1484" s="10"/>
      <c r="U1484" s="10"/>
      <c r="V1484" s="10"/>
    </row>
    <row r="1485" ht="22.5" customHeight="1">
      <c r="A1485" s="5">
        <v>1.55901182232E11</v>
      </c>
      <c r="B1485" s="5" t="s">
        <v>1492</v>
      </c>
      <c r="C1485" s="5">
        <v>51954782459</v>
      </c>
      <c r="D1485" s="5" t="s">
        <v>13</v>
      </c>
      <c r="E1485" s="5"/>
      <c r="F1485" s="5" t="s">
        <v>14</v>
      </c>
      <c r="G1485" s="5" t="s">
        <v>15</v>
      </c>
      <c r="H1485" s="5" t="s">
        <v>16</v>
      </c>
      <c r="I1485" s="6" t="s">
        <v>17</v>
      </c>
      <c r="J1485" s="7" t="s">
        <v>18</v>
      </c>
      <c r="K1485" s="7" t="s">
        <v>19</v>
      </c>
      <c r="L1485" s="8">
        <v>1.771561705981E12</v>
      </c>
      <c r="M1485" s="9"/>
      <c r="N1485" s="10"/>
      <c r="O1485" s="10"/>
      <c r="P1485" s="10"/>
      <c r="Q1485" s="10"/>
      <c r="R1485" s="10"/>
      <c r="S1485" s="10"/>
      <c r="T1485" s="10"/>
      <c r="U1485" s="10"/>
      <c r="V1485" s="10"/>
    </row>
    <row r="1486" ht="22.5" customHeight="1">
      <c r="A1486" s="5">
        <v>1.72712487459E11</v>
      </c>
      <c r="B1486" s="5" t="s">
        <v>1342</v>
      </c>
      <c r="C1486" s="5">
        <v>51998888624</v>
      </c>
      <c r="D1486" s="5" t="s">
        <v>38</v>
      </c>
      <c r="E1486" s="5"/>
      <c r="F1486" s="5"/>
      <c r="G1486" s="5"/>
      <c r="H1486" s="5"/>
      <c r="I1486" s="6"/>
      <c r="J1486" s="7" t="s">
        <v>34</v>
      </c>
      <c r="K1486" s="7"/>
      <c r="L1486" s="8">
        <v>1.771561705993E12</v>
      </c>
      <c r="M1486" s="9"/>
      <c r="N1486" s="10"/>
      <c r="O1486" s="10"/>
      <c r="P1486" s="10"/>
      <c r="Q1486" s="10"/>
      <c r="R1486" s="10"/>
      <c r="S1486" s="10"/>
      <c r="T1486" s="10"/>
      <c r="U1486" s="10"/>
      <c r="V1486" s="10"/>
    </row>
    <row r="1487" ht="22.5" customHeight="1">
      <c r="A1487" s="5">
        <v>1.55675717036E11</v>
      </c>
      <c r="B1487" s="5" t="s">
        <v>834</v>
      </c>
      <c r="C1487" s="5">
        <v>51995995120</v>
      </c>
      <c r="D1487" s="5" t="s">
        <v>13</v>
      </c>
      <c r="E1487" s="5">
        <v>8.7547393E7</v>
      </c>
      <c r="F1487" s="5" t="s">
        <v>259</v>
      </c>
      <c r="G1487" s="5" t="s">
        <v>15</v>
      </c>
      <c r="H1487" s="5" t="s">
        <v>51</v>
      </c>
      <c r="I1487" s="6" t="s">
        <v>17</v>
      </c>
      <c r="J1487" s="7" t="s">
        <v>18</v>
      </c>
      <c r="K1487" s="7" t="s">
        <v>116</v>
      </c>
      <c r="L1487" s="8">
        <v>1.771561705228E12</v>
      </c>
      <c r="M1487" s="9"/>
      <c r="N1487" s="10"/>
      <c r="O1487" s="10"/>
      <c r="P1487" s="10"/>
      <c r="Q1487" s="10"/>
      <c r="R1487" s="10"/>
      <c r="S1487" s="10"/>
      <c r="T1487" s="10"/>
      <c r="U1487" s="10"/>
      <c r="V1487" s="10"/>
    </row>
    <row r="1488" ht="22.5" customHeight="1">
      <c r="A1488" s="5">
        <v>1.27186052215E11</v>
      </c>
      <c r="B1488" s="5" t="s">
        <v>907</v>
      </c>
      <c r="C1488" s="5">
        <v>51997157417</v>
      </c>
      <c r="D1488" s="5" t="s">
        <v>38</v>
      </c>
      <c r="E1488" s="5"/>
      <c r="F1488" s="5" t="s">
        <v>714</v>
      </c>
      <c r="G1488" s="5" t="s">
        <v>15</v>
      </c>
      <c r="H1488" s="5"/>
      <c r="I1488" s="6"/>
      <c r="J1488" s="7" t="s">
        <v>34</v>
      </c>
      <c r="K1488" s="7"/>
      <c r="L1488" s="8">
        <v>1.771561705702E12</v>
      </c>
      <c r="M1488" s="9"/>
      <c r="N1488" s="10"/>
      <c r="O1488" s="10"/>
      <c r="P1488" s="10"/>
      <c r="Q1488" s="10"/>
      <c r="R1488" s="10"/>
      <c r="S1488" s="10"/>
      <c r="T1488" s="10"/>
      <c r="U1488" s="10"/>
      <c r="V1488" s="10"/>
    </row>
    <row r="1489" ht="22.5" customHeight="1">
      <c r="A1489" s="5">
        <v>1.71055376055E11</v>
      </c>
      <c r="B1489" s="5" t="s">
        <v>315</v>
      </c>
      <c r="C1489" s="5">
        <v>5581999832887</v>
      </c>
      <c r="D1489" s="5" t="s">
        <v>103</v>
      </c>
      <c r="E1489" s="5">
        <v>7.9360573E7</v>
      </c>
      <c r="F1489" s="5" t="s">
        <v>39</v>
      </c>
      <c r="G1489" s="5" t="s">
        <v>79</v>
      </c>
      <c r="H1489" s="5" t="s">
        <v>112</v>
      </c>
      <c r="I1489" s="6" t="s">
        <v>63</v>
      </c>
      <c r="J1489" s="7" t="s">
        <v>58</v>
      </c>
      <c r="K1489" s="11" t="s">
        <v>59</v>
      </c>
      <c r="L1489" s="8">
        <v>1.771561706058E12</v>
      </c>
      <c r="M1489" s="9"/>
      <c r="N1489" s="10"/>
      <c r="O1489" s="10"/>
      <c r="P1489" s="10"/>
      <c r="Q1489" s="10"/>
      <c r="R1489" s="10"/>
      <c r="S1489" s="10"/>
      <c r="T1489" s="10"/>
      <c r="U1489" s="10"/>
      <c r="V1489" s="10"/>
    </row>
    <row r="1490" ht="22.5" customHeight="1">
      <c r="A1490" s="5">
        <v>1.7733407681E11</v>
      </c>
      <c r="B1490" s="5" t="s">
        <v>1155</v>
      </c>
      <c r="C1490" s="5">
        <v>51951930134</v>
      </c>
      <c r="D1490" s="5" t="s">
        <v>38</v>
      </c>
      <c r="E1490" s="5"/>
      <c r="F1490" s="5"/>
      <c r="G1490" s="5"/>
      <c r="H1490" s="5"/>
      <c r="I1490" s="6"/>
      <c r="J1490" s="7" t="s">
        <v>34</v>
      </c>
      <c r="K1490" s="7"/>
      <c r="L1490" s="8">
        <v>1.771561705373E12</v>
      </c>
      <c r="M1490" s="9"/>
      <c r="N1490" s="10"/>
      <c r="O1490" s="10"/>
      <c r="P1490" s="10"/>
      <c r="Q1490" s="10"/>
      <c r="R1490" s="10"/>
      <c r="S1490" s="10"/>
      <c r="T1490" s="10"/>
      <c r="U1490" s="10"/>
      <c r="V1490" s="10"/>
    </row>
    <row r="1491" ht="22.5" customHeight="1">
      <c r="A1491" s="5">
        <v>1.41630051484E11</v>
      </c>
      <c r="B1491" s="5" t="s">
        <v>447</v>
      </c>
      <c r="C1491" s="5">
        <v>51970434091</v>
      </c>
      <c r="D1491" s="5" t="s">
        <v>13</v>
      </c>
      <c r="E1491" s="5">
        <v>8.0566583E7</v>
      </c>
      <c r="F1491" s="5" t="s">
        <v>23</v>
      </c>
      <c r="G1491" s="5" t="s">
        <v>15</v>
      </c>
      <c r="H1491" s="5" t="s">
        <v>16</v>
      </c>
      <c r="I1491" s="6" t="s">
        <v>17</v>
      </c>
      <c r="J1491" s="7" t="s">
        <v>18</v>
      </c>
      <c r="K1491" s="7" t="s">
        <v>116</v>
      </c>
      <c r="L1491" s="8">
        <v>1.771561705864E12</v>
      </c>
      <c r="M1491" s="9"/>
      <c r="N1491" s="10"/>
      <c r="O1491" s="10"/>
      <c r="P1491" s="10"/>
      <c r="Q1491" s="10"/>
      <c r="R1491" s="10"/>
      <c r="S1491" s="10"/>
      <c r="T1491" s="10"/>
      <c r="U1491" s="10"/>
      <c r="V1491" s="10"/>
    </row>
    <row r="1492" ht="22.5" customHeight="1">
      <c r="A1492" s="5">
        <v>1.73695639587E11</v>
      </c>
      <c r="B1492" s="5" t="s">
        <v>1249</v>
      </c>
      <c r="C1492" s="5">
        <v>51969221840</v>
      </c>
      <c r="D1492" s="5" t="s">
        <v>13</v>
      </c>
      <c r="E1492" s="5">
        <v>8.7547393E7</v>
      </c>
      <c r="F1492" s="5" t="s">
        <v>39</v>
      </c>
      <c r="G1492" s="5" t="s">
        <v>15</v>
      </c>
      <c r="H1492" s="5" t="s">
        <v>51</v>
      </c>
      <c r="I1492" s="6" t="s">
        <v>36</v>
      </c>
      <c r="J1492" s="7" t="s">
        <v>18</v>
      </c>
      <c r="K1492" s="7" t="s">
        <v>116</v>
      </c>
      <c r="L1492" s="8">
        <v>1.771561705989E12</v>
      </c>
      <c r="M1492" s="9"/>
      <c r="N1492" s="10"/>
      <c r="O1492" s="10"/>
      <c r="P1492" s="10"/>
      <c r="Q1492" s="10"/>
      <c r="R1492" s="10"/>
      <c r="S1492" s="10"/>
      <c r="T1492" s="10"/>
      <c r="U1492" s="10"/>
      <c r="V1492" s="10"/>
    </row>
    <row r="1493" ht="22.5" customHeight="1">
      <c r="A1493" s="5">
        <v>1.13991089169E11</v>
      </c>
      <c r="B1493" s="5" t="s">
        <v>1316</v>
      </c>
      <c r="C1493" s="5">
        <v>525564214966</v>
      </c>
      <c r="D1493" s="5" t="s">
        <v>13</v>
      </c>
      <c r="E1493" s="5">
        <v>8.0566583E7</v>
      </c>
      <c r="F1493" s="5" t="s">
        <v>259</v>
      </c>
      <c r="G1493" s="5" t="s">
        <v>32</v>
      </c>
      <c r="H1493" s="5" t="s">
        <v>165</v>
      </c>
      <c r="I1493" s="6" t="s">
        <v>17</v>
      </c>
      <c r="J1493" s="7" t="s">
        <v>34</v>
      </c>
      <c r="K1493" s="7"/>
      <c r="L1493" s="8">
        <v>1.771561705347E12</v>
      </c>
      <c r="M1493" s="9"/>
      <c r="N1493" s="10"/>
      <c r="O1493" s="10"/>
      <c r="P1493" s="10"/>
      <c r="Q1493" s="10"/>
      <c r="R1493" s="10"/>
      <c r="S1493" s="10"/>
      <c r="T1493" s="10"/>
      <c r="U1493" s="10"/>
      <c r="V1493" s="10"/>
    </row>
    <row r="1494" ht="22.5" customHeight="1">
      <c r="A1494" s="5">
        <v>1.69314497845E11</v>
      </c>
      <c r="B1494" s="5" t="s">
        <v>585</v>
      </c>
      <c r="C1494" s="5">
        <v>51983994185</v>
      </c>
      <c r="D1494" s="5" t="s">
        <v>38</v>
      </c>
      <c r="E1494" s="5"/>
      <c r="F1494" s="5"/>
      <c r="G1494" s="5"/>
      <c r="H1494" s="5"/>
      <c r="I1494" s="6"/>
      <c r="J1494" s="7" t="s">
        <v>18</v>
      </c>
      <c r="K1494" s="7" t="s">
        <v>19</v>
      </c>
      <c r="L1494" s="8">
        <v>1.771561705886E12</v>
      </c>
      <c r="M1494" s="9"/>
      <c r="N1494" s="10"/>
      <c r="O1494" s="10"/>
      <c r="P1494" s="10"/>
      <c r="Q1494" s="10"/>
      <c r="R1494" s="10"/>
      <c r="S1494" s="10"/>
      <c r="T1494" s="10"/>
      <c r="U1494" s="10"/>
      <c r="V1494" s="10"/>
    </row>
    <row r="1495" ht="22.5" customHeight="1">
      <c r="A1495" s="5">
        <v>1.63159477318E11</v>
      </c>
      <c r="B1495" s="5" t="s">
        <v>232</v>
      </c>
      <c r="C1495" s="5">
        <v>51944241625</v>
      </c>
      <c r="D1495" s="5" t="s">
        <v>13</v>
      </c>
      <c r="E1495" s="5">
        <v>8.7547393E7</v>
      </c>
      <c r="F1495" s="5" t="s">
        <v>65</v>
      </c>
      <c r="G1495" s="5" t="s">
        <v>15</v>
      </c>
      <c r="H1495" s="5" t="s">
        <v>16</v>
      </c>
      <c r="I1495" s="6" t="s">
        <v>17</v>
      </c>
      <c r="J1495" s="7" t="s">
        <v>25</v>
      </c>
      <c r="K1495" s="7"/>
      <c r="L1495" s="8">
        <v>1.771561706022E12</v>
      </c>
      <c r="M1495" s="9"/>
      <c r="N1495" s="10"/>
      <c r="O1495" s="10"/>
      <c r="P1495" s="10"/>
      <c r="Q1495" s="10"/>
      <c r="R1495" s="10"/>
      <c r="S1495" s="10"/>
      <c r="T1495" s="10"/>
      <c r="U1495" s="10"/>
      <c r="V1495" s="10"/>
    </row>
    <row r="1496" ht="22.5" customHeight="1">
      <c r="A1496" s="5">
        <v>1.72366420842E11</v>
      </c>
      <c r="B1496" s="5" t="s">
        <v>1238</v>
      </c>
      <c r="C1496" s="5">
        <v>51902237040</v>
      </c>
      <c r="D1496" s="5" t="s">
        <v>22</v>
      </c>
      <c r="E1496" s="5">
        <v>8.0566583E7</v>
      </c>
      <c r="F1496" s="5" t="s">
        <v>14</v>
      </c>
      <c r="G1496" s="5" t="s">
        <v>79</v>
      </c>
      <c r="H1496" s="5" t="s">
        <v>55</v>
      </c>
      <c r="I1496" s="6"/>
      <c r="J1496" s="7" t="s">
        <v>34</v>
      </c>
      <c r="K1496" s="7"/>
      <c r="L1496" s="8">
        <v>1.771561706592E12</v>
      </c>
      <c r="M1496" s="9"/>
      <c r="N1496" s="10"/>
      <c r="O1496" s="10"/>
      <c r="P1496" s="10"/>
      <c r="Q1496" s="10"/>
      <c r="R1496" s="10"/>
      <c r="S1496" s="10"/>
      <c r="T1496" s="10"/>
      <c r="U1496" s="10"/>
      <c r="V1496" s="10"/>
    </row>
    <row r="1497" ht="22.5" customHeight="1">
      <c r="A1497" s="5">
        <v>1.61507626817E11</v>
      </c>
      <c r="B1497" s="5" t="s">
        <v>526</v>
      </c>
      <c r="C1497" s="5">
        <v>51964538043</v>
      </c>
      <c r="D1497" s="5" t="s">
        <v>13</v>
      </c>
      <c r="E1497" s="5">
        <v>8.0566583E7</v>
      </c>
      <c r="F1497" s="5" t="s">
        <v>28</v>
      </c>
      <c r="G1497" s="5" t="s">
        <v>15</v>
      </c>
      <c r="H1497" s="5" t="s">
        <v>16</v>
      </c>
      <c r="I1497" s="6" t="s">
        <v>36</v>
      </c>
      <c r="J1497" s="7" t="s">
        <v>34</v>
      </c>
      <c r="K1497" s="7"/>
      <c r="L1497" s="8">
        <v>1.771561706694E12</v>
      </c>
      <c r="M1497" s="9"/>
      <c r="N1497" s="10"/>
      <c r="O1497" s="10"/>
      <c r="P1497" s="10"/>
      <c r="Q1497" s="10"/>
      <c r="R1497" s="10"/>
      <c r="S1497" s="10"/>
      <c r="T1497" s="10"/>
      <c r="U1497" s="10"/>
      <c r="V1497" s="10"/>
    </row>
    <row r="1498" ht="22.5" customHeight="1">
      <c r="A1498" s="5">
        <v>1.63336904556E11</v>
      </c>
      <c r="B1498" s="5" t="s">
        <v>1085</v>
      </c>
      <c r="C1498" s="5">
        <v>51999934903</v>
      </c>
      <c r="D1498" s="5" t="s">
        <v>13</v>
      </c>
      <c r="E1498" s="5">
        <v>8.0566583E7</v>
      </c>
      <c r="F1498" s="5" t="s">
        <v>39</v>
      </c>
      <c r="G1498" s="5" t="s">
        <v>15</v>
      </c>
      <c r="H1498" s="5" t="s">
        <v>66</v>
      </c>
      <c r="I1498" s="6" t="s">
        <v>17</v>
      </c>
      <c r="J1498" s="7" t="s">
        <v>34</v>
      </c>
      <c r="K1498" s="7"/>
      <c r="L1498" s="8">
        <v>1.771561707034E12</v>
      </c>
      <c r="M1498" s="9"/>
      <c r="N1498" s="10"/>
      <c r="O1498" s="10"/>
      <c r="P1498" s="10"/>
      <c r="Q1498" s="10"/>
      <c r="R1498" s="10"/>
      <c r="S1498" s="10"/>
      <c r="T1498" s="10"/>
      <c r="U1498" s="10"/>
      <c r="V1498" s="10"/>
    </row>
    <row r="1499" ht="22.5" customHeight="1">
      <c r="A1499" s="5">
        <v>1.67448495619E11</v>
      </c>
      <c r="B1499" s="5" t="s">
        <v>589</v>
      </c>
      <c r="C1499" s="5">
        <v>51902893039</v>
      </c>
      <c r="D1499" s="5" t="s">
        <v>13</v>
      </c>
      <c r="E1499" s="5">
        <v>8.0566583E7</v>
      </c>
      <c r="F1499" s="5" t="s">
        <v>28</v>
      </c>
      <c r="G1499" s="5" t="s">
        <v>15</v>
      </c>
      <c r="H1499" s="5" t="s">
        <v>16</v>
      </c>
      <c r="I1499" s="6" t="s">
        <v>17</v>
      </c>
      <c r="J1499" s="7" t="s">
        <v>18</v>
      </c>
      <c r="K1499" s="7" t="s">
        <v>116</v>
      </c>
      <c r="L1499" s="8">
        <v>1.771561706178E12</v>
      </c>
      <c r="M1499" s="9"/>
      <c r="N1499" s="10"/>
      <c r="O1499" s="10"/>
      <c r="P1499" s="10"/>
      <c r="Q1499" s="10"/>
      <c r="R1499" s="10"/>
      <c r="S1499" s="10"/>
      <c r="T1499" s="10"/>
      <c r="U1499" s="10"/>
      <c r="V1499" s="10"/>
    </row>
    <row r="1500" ht="22.5" customHeight="1">
      <c r="A1500" s="5">
        <v>1.43662164292E11</v>
      </c>
      <c r="B1500" s="5" t="s">
        <v>781</v>
      </c>
      <c r="C1500" s="5">
        <v>51907358762</v>
      </c>
      <c r="D1500" s="5" t="s">
        <v>13</v>
      </c>
      <c r="E1500" s="5">
        <v>8.7547393E7</v>
      </c>
      <c r="F1500" s="5" t="s">
        <v>714</v>
      </c>
      <c r="G1500" s="5" t="s">
        <v>15</v>
      </c>
      <c r="H1500" s="5" t="s">
        <v>16</v>
      </c>
      <c r="I1500" s="6" t="s">
        <v>36</v>
      </c>
      <c r="J1500" s="7" t="s">
        <v>34</v>
      </c>
      <c r="K1500" s="7"/>
      <c r="L1500" s="8">
        <v>1.771561705335E12</v>
      </c>
      <c r="M1500" s="9"/>
      <c r="N1500" s="10"/>
      <c r="O1500" s="10"/>
      <c r="P1500" s="10"/>
      <c r="Q1500" s="10"/>
      <c r="R1500" s="10"/>
      <c r="S1500" s="10"/>
      <c r="T1500" s="10"/>
      <c r="U1500" s="10"/>
      <c r="V1500" s="10"/>
    </row>
    <row r="1501" ht="22.5" customHeight="1">
      <c r="A1501" s="5">
        <v>1.63945600905E11</v>
      </c>
      <c r="B1501" s="5" t="s">
        <v>410</v>
      </c>
      <c r="C1501" s="5">
        <v>51931286144</v>
      </c>
      <c r="D1501" s="5" t="s">
        <v>13</v>
      </c>
      <c r="E1501" s="5">
        <v>8.7547393E7</v>
      </c>
      <c r="F1501" s="5" t="s">
        <v>28</v>
      </c>
      <c r="G1501" s="5" t="s">
        <v>15</v>
      </c>
      <c r="H1501" s="5" t="s">
        <v>51</v>
      </c>
      <c r="I1501" s="6" t="s">
        <v>17</v>
      </c>
      <c r="J1501" s="7" t="s">
        <v>25</v>
      </c>
      <c r="K1501" s="7"/>
      <c r="L1501" s="8">
        <v>1.77156170589E12</v>
      </c>
      <c r="M1501" s="9"/>
      <c r="N1501" s="10"/>
      <c r="O1501" s="10"/>
      <c r="P1501" s="10"/>
      <c r="Q1501" s="10"/>
      <c r="R1501" s="10"/>
      <c r="S1501" s="10"/>
      <c r="T1501" s="10"/>
      <c r="U1501" s="10"/>
      <c r="V1501" s="10"/>
    </row>
    <row r="1502" ht="22.5" customHeight="1">
      <c r="A1502" s="5">
        <v>2.03104404305E11</v>
      </c>
      <c r="B1502" s="5" t="s">
        <v>1258</v>
      </c>
      <c r="C1502" s="5">
        <v>51950220832</v>
      </c>
      <c r="D1502" s="5" t="s">
        <v>103</v>
      </c>
      <c r="E1502" s="5">
        <v>8.0566583E7</v>
      </c>
      <c r="F1502" s="5" t="s">
        <v>259</v>
      </c>
      <c r="G1502" s="5" t="s">
        <v>79</v>
      </c>
      <c r="H1502" s="5" t="s">
        <v>55</v>
      </c>
      <c r="I1502" s="6" t="s">
        <v>17</v>
      </c>
      <c r="J1502" s="7" t="s">
        <v>34</v>
      </c>
      <c r="K1502" s="7"/>
      <c r="L1502" s="8">
        <v>1.771561706366E12</v>
      </c>
      <c r="M1502" s="9"/>
      <c r="N1502" s="10"/>
      <c r="O1502" s="10"/>
      <c r="P1502" s="10"/>
      <c r="Q1502" s="10"/>
      <c r="R1502" s="10"/>
      <c r="S1502" s="10"/>
      <c r="T1502" s="10"/>
      <c r="U1502" s="10"/>
      <c r="V1502" s="10"/>
    </row>
    <row r="1503" ht="22.5" customHeight="1">
      <c r="A1503" s="5">
        <v>1.72637114186E11</v>
      </c>
      <c r="B1503" s="5" t="s">
        <v>215</v>
      </c>
      <c r="C1503" s="5">
        <v>51956883469</v>
      </c>
      <c r="D1503" s="5" t="s">
        <v>22</v>
      </c>
      <c r="E1503" s="5">
        <v>8.0566583E7</v>
      </c>
      <c r="F1503" s="5" t="s">
        <v>28</v>
      </c>
      <c r="G1503" s="5" t="s">
        <v>44</v>
      </c>
      <c r="H1503" s="5" t="s">
        <v>16</v>
      </c>
      <c r="I1503" s="6" t="s">
        <v>17</v>
      </c>
      <c r="J1503" s="7" t="s">
        <v>18</v>
      </c>
      <c r="K1503" s="7" t="s">
        <v>116</v>
      </c>
      <c r="L1503" s="8">
        <v>1.77156170651E12</v>
      </c>
      <c r="M1503" s="9"/>
      <c r="N1503" s="10"/>
      <c r="O1503" s="10"/>
      <c r="P1503" s="10"/>
      <c r="Q1503" s="10"/>
      <c r="R1503" s="10"/>
      <c r="S1503" s="10"/>
      <c r="T1503" s="10"/>
      <c r="U1503" s="10"/>
      <c r="V1503" s="10"/>
    </row>
    <row r="1504" ht="22.5" customHeight="1">
      <c r="A1504" s="5">
        <v>1.54702531687E11</v>
      </c>
      <c r="B1504" s="5" t="s">
        <v>1328</v>
      </c>
      <c r="C1504" s="5">
        <v>51991303376</v>
      </c>
      <c r="D1504" s="5" t="s">
        <v>13</v>
      </c>
      <c r="E1504" s="5">
        <v>8.7547393E7</v>
      </c>
      <c r="F1504" s="5" t="s">
        <v>510</v>
      </c>
      <c r="G1504" s="5" t="s">
        <v>32</v>
      </c>
      <c r="H1504" s="5" t="s">
        <v>53</v>
      </c>
      <c r="I1504" s="6" t="s">
        <v>17</v>
      </c>
      <c r="J1504" s="7" t="s">
        <v>18</v>
      </c>
      <c r="K1504" s="7" t="s">
        <v>19</v>
      </c>
      <c r="L1504" s="8">
        <v>1.771561706698E12</v>
      </c>
      <c r="M1504" s="9"/>
      <c r="N1504" s="10"/>
      <c r="O1504" s="10"/>
      <c r="P1504" s="10"/>
      <c r="Q1504" s="10"/>
      <c r="R1504" s="10"/>
      <c r="S1504" s="10"/>
      <c r="T1504" s="10"/>
      <c r="U1504" s="10"/>
      <c r="V1504" s="10"/>
    </row>
    <row r="1505" ht="22.5" customHeight="1">
      <c r="A1505" s="5">
        <v>1.64091627394E11</v>
      </c>
      <c r="B1505" s="5" t="s">
        <v>1362</v>
      </c>
      <c r="C1505" s="5">
        <v>51959004386</v>
      </c>
      <c r="D1505" s="5" t="s">
        <v>13</v>
      </c>
      <c r="E1505" s="5">
        <v>8.0566583E7</v>
      </c>
      <c r="F1505" s="5" t="s">
        <v>28</v>
      </c>
      <c r="G1505" s="5" t="s">
        <v>15</v>
      </c>
      <c r="H1505" s="5" t="s">
        <v>51</v>
      </c>
      <c r="I1505" s="6"/>
      <c r="J1505" s="7" t="s">
        <v>18</v>
      </c>
      <c r="K1505" s="7" t="s">
        <v>116</v>
      </c>
      <c r="L1505" s="8">
        <v>1.771561705797E12</v>
      </c>
      <c r="M1505" s="9"/>
      <c r="N1505" s="10"/>
      <c r="O1505" s="10"/>
      <c r="P1505" s="10"/>
      <c r="Q1505" s="10"/>
      <c r="R1505" s="10"/>
      <c r="S1505" s="10"/>
      <c r="T1505" s="10"/>
      <c r="U1505" s="10"/>
      <c r="V1505" s="10"/>
    </row>
    <row r="1506" ht="22.5" customHeight="1">
      <c r="A1506" s="5">
        <v>1.44714412211E11</v>
      </c>
      <c r="B1506" s="5" t="s">
        <v>603</v>
      </c>
      <c r="C1506" s="5">
        <v>51977219427</v>
      </c>
      <c r="D1506" s="5" t="s">
        <v>13</v>
      </c>
      <c r="E1506" s="5">
        <v>8.7547393E7</v>
      </c>
      <c r="F1506" s="5" t="s">
        <v>82</v>
      </c>
      <c r="G1506" s="5" t="s">
        <v>15</v>
      </c>
      <c r="H1506" s="5" t="s">
        <v>24</v>
      </c>
      <c r="I1506" s="6" t="s">
        <v>17</v>
      </c>
      <c r="J1506" s="7" t="s">
        <v>18</v>
      </c>
      <c r="K1506" s="7" t="s">
        <v>19</v>
      </c>
      <c r="L1506" s="8">
        <v>1.771561706326E12</v>
      </c>
      <c r="M1506" s="9"/>
      <c r="N1506" s="10"/>
      <c r="O1506" s="10"/>
      <c r="P1506" s="10"/>
      <c r="Q1506" s="10"/>
      <c r="R1506" s="10"/>
      <c r="S1506" s="10"/>
      <c r="T1506" s="10"/>
      <c r="U1506" s="10"/>
      <c r="V1506" s="10"/>
    </row>
    <row r="1507" ht="22.5" customHeight="1">
      <c r="A1507" s="5">
        <v>1.63819917312E11</v>
      </c>
      <c r="B1507" s="5" t="s">
        <v>441</v>
      </c>
      <c r="C1507" s="5">
        <v>51992440315</v>
      </c>
      <c r="D1507" s="5" t="s">
        <v>13</v>
      </c>
      <c r="E1507" s="5">
        <v>8.0566583E7</v>
      </c>
      <c r="F1507" s="5" t="s">
        <v>65</v>
      </c>
      <c r="G1507" s="5" t="s">
        <v>32</v>
      </c>
      <c r="H1507" s="5" t="s">
        <v>114</v>
      </c>
      <c r="I1507" s="6" t="s">
        <v>17</v>
      </c>
      <c r="J1507" s="7" t="s">
        <v>18</v>
      </c>
      <c r="K1507" s="7" t="s">
        <v>116</v>
      </c>
      <c r="L1507" s="8">
        <v>1.771561706421E12</v>
      </c>
      <c r="M1507" s="9"/>
      <c r="N1507" s="10"/>
      <c r="O1507" s="10"/>
      <c r="P1507" s="10"/>
      <c r="Q1507" s="10"/>
      <c r="R1507" s="10"/>
      <c r="S1507" s="10"/>
      <c r="T1507" s="10"/>
      <c r="U1507" s="10"/>
      <c r="V1507" s="10"/>
    </row>
    <row r="1508" ht="22.5" customHeight="1">
      <c r="A1508" s="5">
        <v>1.77496815203E11</v>
      </c>
      <c r="B1508" s="5" t="s">
        <v>864</v>
      </c>
      <c r="C1508" s="5">
        <v>527221657643</v>
      </c>
      <c r="D1508" s="5" t="s">
        <v>13</v>
      </c>
      <c r="E1508" s="5">
        <v>8.7547393E7</v>
      </c>
      <c r="F1508" s="5" t="s">
        <v>42</v>
      </c>
      <c r="G1508" s="5" t="s">
        <v>15</v>
      </c>
      <c r="H1508" s="5" t="s">
        <v>51</v>
      </c>
      <c r="I1508" s="6" t="s">
        <v>63</v>
      </c>
      <c r="J1508" s="7" t="s">
        <v>18</v>
      </c>
      <c r="K1508" s="7" t="s">
        <v>76</v>
      </c>
      <c r="L1508" s="8">
        <v>1.771561706171E12</v>
      </c>
      <c r="M1508" s="9"/>
      <c r="N1508" s="10"/>
      <c r="O1508" s="10"/>
      <c r="P1508" s="10"/>
      <c r="Q1508" s="10"/>
      <c r="R1508" s="10"/>
      <c r="S1508" s="10"/>
      <c r="T1508" s="10"/>
      <c r="U1508" s="10"/>
      <c r="V1508" s="10"/>
    </row>
    <row r="1509" ht="22.5" customHeight="1">
      <c r="A1509" s="5">
        <v>1.54615861271E11</v>
      </c>
      <c r="B1509" s="5" t="s">
        <v>428</v>
      </c>
      <c r="C1509" s="5">
        <v>51979632034</v>
      </c>
      <c r="D1509" s="5" t="s">
        <v>13</v>
      </c>
      <c r="E1509" s="5">
        <v>8.0566583E7</v>
      </c>
      <c r="F1509" s="5" t="s">
        <v>65</v>
      </c>
      <c r="G1509" s="5" t="s">
        <v>15</v>
      </c>
      <c r="H1509" s="5" t="s">
        <v>16</v>
      </c>
      <c r="I1509" s="6" t="s">
        <v>17</v>
      </c>
      <c r="J1509" s="7" t="s">
        <v>18</v>
      </c>
      <c r="K1509" s="7" t="s">
        <v>116</v>
      </c>
      <c r="L1509" s="8">
        <v>1.771561706658E12</v>
      </c>
      <c r="M1509" s="9"/>
      <c r="N1509" s="10"/>
      <c r="O1509" s="10"/>
      <c r="P1509" s="10"/>
      <c r="Q1509" s="10"/>
      <c r="R1509" s="10"/>
      <c r="S1509" s="10"/>
      <c r="T1509" s="10"/>
      <c r="U1509" s="10"/>
      <c r="V1509" s="10"/>
    </row>
    <row r="1510" ht="22.5" customHeight="1">
      <c r="A1510" s="5">
        <v>5.0583861177E10</v>
      </c>
      <c r="B1510" s="5" t="s">
        <v>349</v>
      </c>
      <c r="C1510" s="5">
        <v>51979607880</v>
      </c>
      <c r="D1510" s="5" t="s">
        <v>13</v>
      </c>
      <c r="E1510" s="5">
        <v>8.0566583E7</v>
      </c>
      <c r="F1510" s="5" t="s">
        <v>28</v>
      </c>
      <c r="G1510" s="5" t="s">
        <v>15</v>
      </c>
      <c r="H1510" s="5" t="s">
        <v>350</v>
      </c>
      <c r="I1510" s="6" t="s">
        <v>17</v>
      </c>
      <c r="J1510" s="7" t="s">
        <v>18</v>
      </c>
      <c r="K1510" s="7" t="s">
        <v>19</v>
      </c>
      <c r="L1510" s="8">
        <v>1.77156170545E12</v>
      </c>
      <c r="M1510" s="9"/>
      <c r="N1510" s="10"/>
      <c r="O1510" s="10"/>
      <c r="P1510" s="10"/>
      <c r="Q1510" s="10"/>
      <c r="R1510" s="10"/>
      <c r="S1510" s="10"/>
      <c r="T1510" s="10"/>
      <c r="U1510" s="10"/>
      <c r="V1510" s="10"/>
    </row>
    <row r="1511" ht="22.5" customHeight="1">
      <c r="A1511" s="5">
        <v>1.56109245618E11</v>
      </c>
      <c r="B1511" s="5" t="s">
        <v>480</v>
      </c>
      <c r="C1511" s="5">
        <v>51989334490</v>
      </c>
      <c r="D1511" s="5" t="s">
        <v>22</v>
      </c>
      <c r="E1511" s="5">
        <v>8.0566583E7</v>
      </c>
      <c r="F1511" s="5" t="s">
        <v>93</v>
      </c>
      <c r="G1511" s="5" t="s">
        <v>44</v>
      </c>
      <c r="H1511" s="5" t="s">
        <v>161</v>
      </c>
      <c r="I1511" s="6" t="s">
        <v>17</v>
      </c>
      <c r="J1511" s="7" t="s">
        <v>18</v>
      </c>
      <c r="K1511" s="7" t="s">
        <v>116</v>
      </c>
      <c r="L1511" s="8">
        <v>1.77156170597E12</v>
      </c>
      <c r="M1511" s="9"/>
      <c r="N1511" s="10"/>
      <c r="O1511" s="10"/>
      <c r="P1511" s="10"/>
      <c r="Q1511" s="10"/>
      <c r="R1511" s="10"/>
      <c r="S1511" s="10"/>
      <c r="T1511" s="10"/>
      <c r="U1511" s="10"/>
      <c r="V1511" s="10"/>
    </row>
    <row r="1512" ht="22.5" customHeight="1">
      <c r="A1512" s="5">
        <v>1.97810462087E11</v>
      </c>
      <c r="B1512" s="5" t="s">
        <v>993</v>
      </c>
      <c r="C1512" s="5">
        <v>51946846114</v>
      </c>
      <c r="D1512" s="5" t="s">
        <v>22</v>
      </c>
      <c r="E1512" s="5">
        <v>8.7547393E7</v>
      </c>
      <c r="F1512" s="5" t="s">
        <v>14</v>
      </c>
      <c r="G1512" s="5">
        <v>50</v>
      </c>
      <c r="H1512" s="5" t="s">
        <v>24</v>
      </c>
      <c r="I1512" s="6" t="s">
        <v>36</v>
      </c>
      <c r="J1512" s="7" t="s">
        <v>34</v>
      </c>
      <c r="K1512" s="7"/>
      <c r="L1512" s="8">
        <v>1.771561706333E12</v>
      </c>
      <c r="M1512" s="9"/>
      <c r="N1512" s="10"/>
      <c r="O1512" s="10"/>
      <c r="P1512" s="10"/>
      <c r="Q1512" s="10"/>
      <c r="R1512" s="10"/>
      <c r="S1512" s="10"/>
      <c r="T1512" s="10"/>
      <c r="U1512" s="10"/>
      <c r="V1512" s="10"/>
    </row>
    <row r="1513" ht="22.5" customHeight="1">
      <c r="A1513" s="5">
        <v>1.64027430034E11</v>
      </c>
      <c r="B1513" s="5" t="s">
        <v>947</v>
      </c>
      <c r="C1513" s="5">
        <v>51906490654</v>
      </c>
      <c r="D1513" s="5" t="s">
        <v>13</v>
      </c>
      <c r="E1513" s="5"/>
      <c r="F1513" s="5" t="s">
        <v>23</v>
      </c>
      <c r="G1513" s="5" t="s">
        <v>32</v>
      </c>
      <c r="H1513" s="5" t="s">
        <v>253</v>
      </c>
      <c r="I1513" s="6" t="s">
        <v>17</v>
      </c>
      <c r="J1513" s="7" t="s">
        <v>34</v>
      </c>
      <c r="K1513" s="7"/>
      <c r="L1513" s="8">
        <v>1.771561706274E12</v>
      </c>
      <c r="M1513" s="9"/>
      <c r="N1513" s="10"/>
      <c r="O1513" s="10"/>
      <c r="P1513" s="10"/>
      <c r="Q1513" s="10"/>
      <c r="R1513" s="10"/>
      <c r="S1513" s="10"/>
      <c r="T1513" s="10"/>
      <c r="U1513" s="10"/>
      <c r="V1513" s="10"/>
    </row>
    <row r="1514" ht="22.5" customHeight="1">
      <c r="A1514" s="5">
        <v>1.70690670221E11</v>
      </c>
      <c r="B1514" s="5" t="s">
        <v>272</v>
      </c>
      <c r="C1514" s="5">
        <v>51997317464</v>
      </c>
      <c r="D1514" s="5" t="s">
        <v>13</v>
      </c>
      <c r="E1514" s="5">
        <v>8.0566583E7</v>
      </c>
      <c r="F1514" s="5" t="s">
        <v>23</v>
      </c>
      <c r="G1514" s="5" t="s">
        <v>79</v>
      </c>
      <c r="H1514" s="5" t="s">
        <v>24</v>
      </c>
      <c r="I1514" s="6" t="s">
        <v>17</v>
      </c>
      <c r="J1514" s="7" t="s">
        <v>34</v>
      </c>
      <c r="K1514" s="7"/>
      <c r="L1514" s="8">
        <v>1.771561706967E12</v>
      </c>
      <c r="M1514" s="9"/>
      <c r="N1514" s="10"/>
      <c r="O1514" s="10"/>
      <c r="P1514" s="10"/>
      <c r="Q1514" s="10"/>
      <c r="R1514" s="10"/>
      <c r="S1514" s="10"/>
      <c r="T1514" s="10"/>
      <c r="U1514" s="10"/>
      <c r="V1514" s="10"/>
    </row>
    <row r="1515" ht="22.5" customHeight="1">
      <c r="A1515" s="5">
        <v>1.7149485418E11</v>
      </c>
      <c r="B1515" s="5" t="s">
        <v>203</v>
      </c>
      <c r="C1515" s="5">
        <v>51975131051</v>
      </c>
      <c r="D1515" s="5" t="s">
        <v>13</v>
      </c>
      <c r="E1515" s="5">
        <v>8.0566583E7</v>
      </c>
      <c r="F1515" s="5" t="s">
        <v>23</v>
      </c>
      <c r="G1515" s="5" t="s">
        <v>44</v>
      </c>
      <c r="H1515" s="5" t="s">
        <v>16</v>
      </c>
      <c r="I1515" s="6" t="s">
        <v>17</v>
      </c>
      <c r="J1515" s="7" t="s">
        <v>58</v>
      </c>
      <c r="K1515" s="11" t="s">
        <v>59</v>
      </c>
      <c r="L1515" s="8">
        <v>1.771561705835E12</v>
      </c>
      <c r="M1515" s="9"/>
      <c r="N1515" s="10"/>
      <c r="O1515" s="10"/>
      <c r="P1515" s="10"/>
      <c r="Q1515" s="10"/>
      <c r="R1515" s="10"/>
      <c r="S1515" s="10"/>
      <c r="T1515" s="10"/>
      <c r="U1515" s="10"/>
      <c r="V1515" s="10"/>
    </row>
    <row r="1516" ht="22.5" customHeight="1">
      <c r="A1516" s="5">
        <v>1.47744711961E11</v>
      </c>
      <c r="B1516" s="5" t="s">
        <v>1212</v>
      </c>
      <c r="C1516" s="5">
        <v>525517565710</v>
      </c>
      <c r="D1516" s="5" t="s">
        <v>13</v>
      </c>
      <c r="E1516" s="5">
        <v>8.0566583E7</v>
      </c>
      <c r="F1516" s="5" t="s">
        <v>510</v>
      </c>
      <c r="G1516" s="5"/>
      <c r="H1516" s="5" t="s">
        <v>51</v>
      </c>
      <c r="I1516" s="6" t="s">
        <v>36</v>
      </c>
      <c r="J1516" s="7" t="s">
        <v>18</v>
      </c>
      <c r="K1516" s="7" t="s">
        <v>76</v>
      </c>
      <c r="L1516" s="8">
        <v>1.771561705596E12</v>
      </c>
      <c r="M1516" s="9"/>
      <c r="N1516" s="10"/>
      <c r="O1516" s="10"/>
      <c r="P1516" s="10"/>
      <c r="Q1516" s="10"/>
      <c r="R1516" s="10"/>
      <c r="S1516" s="10"/>
      <c r="T1516" s="10"/>
      <c r="U1516" s="10"/>
      <c r="V1516" s="10"/>
    </row>
    <row r="1517" ht="22.5" customHeight="1">
      <c r="A1517" s="5">
        <v>1.55062609312E11</v>
      </c>
      <c r="B1517" s="5" t="s">
        <v>1365</v>
      </c>
      <c r="C1517" s="5">
        <v>51923866170</v>
      </c>
      <c r="D1517" s="5" t="s">
        <v>13</v>
      </c>
      <c r="E1517" s="5">
        <v>8.7547393E7</v>
      </c>
      <c r="F1517" s="5" t="s">
        <v>39</v>
      </c>
      <c r="G1517" s="5" t="s">
        <v>32</v>
      </c>
      <c r="H1517" s="5" t="s">
        <v>66</v>
      </c>
      <c r="I1517" s="6" t="s">
        <v>17</v>
      </c>
      <c r="J1517" s="7" t="s">
        <v>18</v>
      </c>
      <c r="K1517" s="7" t="s">
        <v>116</v>
      </c>
      <c r="L1517" s="8">
        <v>1.771561707371E12</v>
      </c>
      <c r="M1517" s="9"/>
      <c r="N1517" s="10"/>
      <c r="O1517" s="10"/>
      <c r="P1517" s="10"/>
      <c r="Q1517" s="10"/>
      <c r="R1517" s="10"/>
      <c r="S1517" s="10"/>
      <c r="T1517" s="10"/>
      <c r="U1517" s="10"/>
      <c r="V1517" s="10"/>
    </row>
    <row r="1518" ht="22.5" customHeight="1">
      <c r="A1518" s="5">
        <v>1.75291148852E11</v>
      </c>
      <c r="B1518" s="5" t="s">
        <v>633</v>
      </c>
      <c r="C1518" s="5">
        <v>51989975455</v>
      </c>
      <c r="D1518" s="5" t="s">
        <v>103</v>
      </c>
      <c r="E1518" s="5">
        <v>8.0566583E7</v>
      </c>
      <c r="F1518" s="5" t="s">
        <v>39</v>
      </c>
      <c r="G1518" s="5" t="s">
        <v>79</v>
      </c>
      <c r="H1518" s="5" t="s">
        <v>24</v>
      </c>
      <c r="I1518" s="6"/>
      <c r="J1518" s="7" t="s">
        <v>34</v>
      </c>
      <c r="K1518" s="7"/>
      <c r="L1518" s="8">
        <v>1.771561705744E12</v>
      </c>
      <c r="M1518" s="9"/>
      <c r="N1518" s="10"/>
      <c r="O1518" s="10"/>
      <c r="P1518" s="10"/>
      <c r="Q1518" s="10"/>
      <c r="R1518" s="10"/>
      <c r="S1518" s="10"/>
      <c r="T1518" s="10"/>
      <c r="U1518" s="10"/>
      <c r="V1518" s="10"/>
    </row>
    <row r="1519" ht="22.5" customHeight="1">
      <c r="A1519" s="5">
        <v>1.65149844003E11</v>
      </c>
      <c r="B1519" s="5" t="s">
        <v>677</v>
      </c>
      <c r="C1519" s="5">
        <v>51999007200</v>
      </c>
      <c r="D1519" s="5" t="s">
        <v>22</v>
      </c>
      <c r="E1519" s="5">
        <v>8.7547393E7</v>
      </c>
      <c r="F1519" s="5" t="s">
        <v>28</v>
      </c>
      <c r="G1519" s="5" t="s">
        <v>79</v>
      </c>
      <c r="H1519" s="5" t="s">
        <v>51</v>
      </c>
      <c r="I1519" s="6" t="s">
        <v>17</v>
      </c>
      <c r="J1519" s="7" t="s">
        <v>34</v>
      </c>
      <c r="K1519" s="7"/>
      <c r="L1519" s="8">
        <v>1.771561705776E12</v>
      </c>
      <c r="M1519" s="9"/>
      <c r="N1519" s="10"/>
      <c r="O1519" s="10"/>
      <c r="P1519" s="10"/>
      <c r="Q1519" s="10"/>
      <c r="R1519" s="10"/>
      <c r="S1519" s="10"/>
      <c r="T1519" s="10"/>
      <c r="U1519" s="10"/>
      <c r="V1519" s="10"/>
    </row>
    <row r="1520" ht="22.5" customHeight="1">
      <c r="A1520" s="5">
        <v>1.96795554202E11</v>
      </c>
      <c r="B1520" s="5" t="s">
        <v>778</v>
      </c>
      <c r="C1520" s="5">
        <v>573103571775</v>
      </c>
      <c r="D1520" s="5" t="s">
        <v>38</v>
      </c>
      <c r="E1520" s="5"/>
      <c r="F1520" s="5"/>
      <c r="G1520" s="5"/>
      <c r="H1520" s="5"/>
      <c r="I1520" s="6"/>
      <c r="J1520" s="7" t="s">
        <v>34</v>
      </c>
      <c r="K1520" s="7"/>
      <c r="L1520" s="8">
        <v>1.77156170544E12</v>
      </c>
      <c r="M1520" s="9"/>
      <c r="N1520" s="10"/>
      <c r="O1520" s="10"/>
      <c r="P1520" s="10"/>
      <c r="Q1520" s="10"/>
      <c r="R1520" s="10"/>
      <c r="S1520" s="10"/>
      <c r="T1520" s="10"/>
      <c r="U1520" s="10"/>
      <c r="V1520" s="10"/>
    </row>
    <row r="1521" ht="22.5" customHeight="1">
      <c r="A1521" s="5">
        <v>1.4359235518E11</v>
      </c>
      <c r="B1521" s="5" t="s">
        <v>1113</v>
      </c>
      <c r="C1521" s="5">
        <v>51941840823</v>
      </c>
      <c r="D1521" s="5" t="s">
        <v>13</v>
      </c>
      <c r="E1521" s="5">
        <v>8.7547393E7</v>
      </c>
      <c r="F1521" s="5" t="s">
        <v>28</v>
      </c>
      <c r="G1521" s="5" t="s">
        <v>32</v>
      </c>
      <c r="H1521" s="5" t="s">
        <v>16</v>
      </c>
      <c r="I1521" s="6" t="s">
        <v>17</v>
      </c>
      <c r="J1521" s="7" t="s">
        <v>34</v>
      </c>
      <c r="K1521" s="7"/>
      <c r="L1521" s="8">
        <v>1.771561705949E12</v>
      </c>
      <c r="M1521" s="9"/>
      <c r="N1521" s="10"/>
      <c r="O1521" s="10"/>
      <c r="P1521" s="10"/>
      <c r="Q1521" s="10"/>
      <c r="R1521" s="10"/>
      <c r="S1521" s="10"/>
      <c r="T1521" s="10"/>
      <c r="U1521" s="10"/>
      <c r="V1521" s="10"/>
    </row>
    <row r="1522" ht="22.5" customHeight="1">
      <c r="A1522" s="5">
        <v>1.99315742837E11</v>
      </c>
      <c r="B1522" s="5" t="s">
        <v>280</v>
      </c>
      <c r="C1522" s="5">
        <v>51940713934</v>
      </c>
      <c r="D1522" s="5" t="s">
        <v>13</v>
      </c>
      <c r="E1522" s="5">
        <v>8.7547393E7</v>
      </c>
      <c r="F1522" s="5" t="s">
        <v>14</v>
      </c>
      <c r="G1522" s="5" t="s">
        <v>32</v>
      </c>
      <c r="H1522" s="5" t="s">
        <v>16</v>
      </c>
      <c r="I1522" s="6" t="s">
        <v>17</v>
      </c>
      <c r="J1522" s="7" t="s">
        <v>34</v>
      </c>
      <c r="K1522" s="7"/>
      <c r="L1522" s="8">
        <v>1.77156170687E12</v>
      </c>
      <c r="M1522" s="9"/>
      <c r="N1522" s="10"/>
      <c r="O1522" s="10"/>
      <c r="P1522" s="10"/>
      <c r="Q1522" s="10"/>
      <c r="R1522" s="10"/>
      <c r="S1522" s="10"/>
      <c r="T1522" s="10"/>
      <c r="U1522" s="10"/>
      <c r="V1522" s="10"/>
    </row>
    <row r="1523" ht="22.5" customHeight="1">
      <c r="A1523" s="5">
        <v>1.93510848917E11</v>
      </c>
      <c r="B1523" s="5" t="s">
        <v>496</v>
      </c>
      <c r="C1523" s="5">
        <v>51923045218</v>
      </c>
      <c r="D1523" s="5" t="s">
        <v>22</v>
      </c>
      <c r="E1523" s="5">
        <v>8.0566583E7</v>
      </c>
      <c r="F1523" s="5" t="s">
        <v>28</v>
      </c>
      <c r="G1523" s="5" t="s">
        <v>44</v>
      </c>
      <c r="H1523" s="5" t="s">
        <v>497</v>
      </c>
      <c r="I1523" s="6" t="s">
        <v>17</v>
      </c>
      <c r="J1523" s="7" t="s">
        <v>124</v>
      </c>
      <c r="K1523" s="7" t="s">
        <v>461</v>
      </c>
      <c r="L1523" s="8">
        <v>1.771561706936E12</v>
      </c>
      <c r="M1523" s="9"/>
      <c r="N1523" s="10"/>
      <c r="O1523" s="10"/>
      <c r="P1523" s="10"/>
      <c r="Q1523" s="10"/>
      <c r="R1523" s="10"/>
      <c r="S1523" s="10"/>
      <c r="T1523" s="10"/>
      <c r="U1523" s="10"/>
      <c r="V1523" s="10"/>
    </row>
    <row r="1524" ht="22.5" customHeight="1">
      <c r="A1524" s="5">
        <v>1.73783637401E11</v>
      </c>
      <c r="B1524" s="5" t="s">
        <v>887</v>
      </c>
      <c r="C1524" s="5">
        <v>51971201804</v>
      </c>
      <c r="D1524" s="5" t="s">
        <v>22</v>
      </c>
      <c r="E1524" s="5">
        <v>8.7547393E7</v>
      </c>
      <c r="F1524" s="5" t="s">
        <v>93</v>
      </c>
      <c r="G1524" s="5" t="s">
        <v>32</v>
      </c>
      <c r="H1524" s="5" t="s">
        <v>16</v>
      </c>
      <c r="I1524" s="6" t="s">
        <v>17</v>
      </c>
      <c r="J1524" s="7" t="s">
        <v>18</v>
      </c>
      <c r="K1524" s="7" t="s">
        <v>19</v>
      </c>
      <c r="L1524" s="8">
        <v>1.771561705948E12</v>
      </c>
      <c r="M1524" s="9"/>
      <c r="N1524" s="10"/>
      <c r="O1524" s="10"/>
      <c r="P1524" s="10"/>
      <c r="Q1524" s="10"/>
      <c r="R1524" s="10"/>
      <c r="S1524" s="10"/>
      <c r="T1524" s="10"/>
      <c r="U1524" s="10"/>
      <c r="V1524" s="10"/>
    </row>
    <row r="1525" ht="22.5" customHeight="1">
      <c r="A1525" s="5">
        <v>1.68387417256E11</v>
      </c>
      <c r="B1525" s="5" t="s">
        <v>741</v>
      </c>
      <c r="C1525" s="5">
        <v>51966630358</v>
      </c>
      <c r="D1525" s="5" t="s">
        <v>13</v>
      </c>
      <c r="E1525" s="5">
        <v>8.0566583E7</v>
      </c>
      <c r="F1525" s="5" t="s">
        <v>28</v>
      </c>
      <c r="G1525" s="5" t="s">
        <v>15</v>
      </c>
      <c r="H1525" s="5" t="s">
        <v>40</v>
      </c>
      <c r="I1525" s="6" t="s">
        <v>17</v>
      </c>
      <c r="J1525" s="7" t="s">
        <v>18</v>
      </c>
      <c r="K1525" s="7" t="s">
        <v>61</v>
      </c>
      <c r="L1525" s="8">
        <v>1.771561705834E12</v>
      </c>
      <c r="M1525" s="9"/>
      <c r="N1525" s="10"/>
      <c r="O1525" s="10"/>
      <c r="P1525" s="10"/>
      <c r="Q1525" s="10"/>
      <c r="R1525" s="10"/>
      <c r="S1525" s="10"/>
      <c r="T1525" s="10"/>
      <c r="U1525" s="10"/>
      <c r="V1525" s="10"/>
    </row>
    <row r="1526" ht="22.5" customHeight="1">
      <c r="A1526" s="5">
        <v>1.99979908254E11</v>
      </c>
      <c r="B1526" s="5" t="s">
        <v>624</v>
      </c>
      <c r="C1526" s="5">
        <v>51952820007</v>
      </c>
      <c r="D1526" s="5" t="s">
        <v>13</v>
      </c>
      <c r="E1526" s="5">
        <v>8.7547393E7</v>
      </c>
      <c r="F1526" s="5" t="s">
        <v>23</v>
      </c>
      <c r="G1526" s="5" t="s">
        <v>79</v>
      </c>
      <c r="H1526" s="5" t="s">
        <v>114</v>
      </c>
      <c r="I1526" s="6" t="s">
        <v>148</v>
      </c>
      <c r="J1526" s="7" t="s">
        <v>34</v>
      </c>
      <c r="K1526" s="7"/>
      <c r="L1526" s="8">
        <v>1.771561707773E12</v>
      </c>
      <c r="M1526" s="9"/>
      <c r="N1526" s="10"/>
      <c r="O1526" s="10"/>
      <c r="P1526" s="10"/>
      <c r="Q1526" s="10"/>
      <c r="R1526" s="10"/>
      <c r="S1526" s="10"/>
      <c r="T1526" s="10"/>
      <c r="U1526" s="10"/>
      <c r="V1526" s="10"/>
    </row>
    <row r="1527" ht="22.5" customHeight="1">
      <c r="A1527" s="5">
        <v>1.54617839175E11</v>
      </c>
      <c r="B1527" s="5" t="s">
        <v>318</v>
      </c>
      <c r="C1527" s="5">
        <v>51997122044</v>
      </c>
      <c r="D1527" s="5" t="s">
        <v>13</v>
      </c>
      <c r="E1527" s="5"/>
      <c r="F1527" s="5" t="s">
        <v>42</v>
      </c>
      <c r="G1527" s="5" t="s">
        <v>15</v>
      </c>
      <c r="H1527" s="5" t="s">
        <v>51</v>
      </c>
      <c r="I1527" s="6" t="s">
        <v>17</v>
      </c>
      <c r="J1527" s="7" t="s">
        <v>34</v>
      </c>
      <c r="K1527" s="7"/>
      <c r="L1527" s="8">
        <v>1.771561706133E12</v>
      </c>
      <c r="M1527" s="9"/>
      <c r="N1527" s="10"/>
      <c r="O1527" s="10"/>
      <c r="P1527" s="10"/>
      <c r="Q1527" s="10"/>
      <c r="R1527" s="10"/>
      <c r="S1527" s="10"/>
      <c r="T1527" s="10"/>
      <c r="U1527" s="10"/>
      <c r="V1527" s="10"/>
    </row>
    <row r="1528" ht="22.5" customHeight="1">
      <c r="A1528" s="5">
        <v>1.55077460621E11</v>
      </c>
      <c r="B1528" s="5" t="s">
        <v>752</v>
      </c>
      <c r="C1528" s="5">
        <v>51981360649</v>
      </c>
      <c r="D1528" s="5" t="s">
        <v>13</v>
      </c>
      <c r="E1528" s="5">
        <v>8.0566583E7</v>
      </c>
      <c r="F1528" s="5" t="s">
        <v>93</v>
      </c>
      <c r="G1528" s="5" t="s">
        <v>15</v>
      </c>
      <c r="H1528" s="5" t="s">
        <v>51</v>
      </c>
      <c r="I1528" s="6" t="s">
        <v>17</v>
      </c>
      <c r="J1528" s="7" t="s">
        <v>34</v>
      </c>
      <c r="K1528" s="7"/>
      <c r="L1528" s="8">
        <v>1.7715617055E12</v>
      </c>
      <c r="M1528" s="9"/>
      <c r="N1528" s="10"/>
      <c r="O1528" s="10"/>
      <c r="P1528" s="10"/>
      <c r="Q1528" s="10"/>
      <c r="R1528" s="10"/>
      <c r="S1528" s="10"/>
      <c r="T1528" s="10"/>
      <c r="U1528" s="10"/>
      <c r="V1528" s="10"/>
    </row>
    <row r="1529" ht="22.5" customHeight="1">
      <c r="A1529" s="5">
        <v>1.76852283137E11</v>
      </c>
      <c r="B1529" s="5" t="s">
        <v>370</v>
      </c>
      <c r="C1529" s="5">
        <v>51943026361</v>
      </c>
      <c r="D1529" s="5" t="s">
        <v>13</v>
      </c>
      <c r="E1529" s="5">
        <v>8.0566583E7</v>
      </c>
      <c r="F1529" s="5" t="s">
        <v>23</v>
      </c>
      <c r="G1529" s="5" t="s">
        <v>79</v>
      </c>
      <c r="H1529" s="5" t="s">
        <v>371</v>
      </c>
      <c r="I1529" s="6" t="s">
        <v>17</v>
      </c>
      <c r="J1529" s="7" t="s">
        <v>25</v>
      </c>
      <c r="K1529" s="7"/>
      <c r="L1529" s="8">
        <v>1.771561706604E12</v>
      </c>
      <c r="M1529" s="9"/>
      <c r="N1529" s="10"/>
      <c r="O1529" s="10"/>
      <c r="P1529" s="10"/>
      <c r="Q1529" s="10"/>
      <c r="R1529" s="10"/>
      <c r="S1529" s="10"/>
      <c r="T1529" s="10"/>
      <c r="U1529" s="10"/>
      <c r="V1529" s="10"/>
    </row>
    <row r="1530" ht="22.5" customHeight="1">
      <c r="A1530" s="5">
        <v>1.58296963962E11</v>
      </c>
      <c r="B1530" s="5" t="s">
        <v>969</v>
      </c>
      <c r="C1530" s="5">
        <v>5533999456098</v>
      </c>
      <c r="D1530" s="5" t="s">
        <v>13</v>
      </c>
      <c r="E1530" s="5">
        <v>7.9360573E7</v>
      </c>
      <c r="F1530" s="5" t="s">
        <v>28</v>
      </c>
      <c r="G1530" s="5" t="s">
        <v>15</v>
      </c>
      <c r="H1530" s="5" t="s">
        <v>114</v>
      </c>
      <c r="I1530" s="6" t="s">
        <v>49</v>
      </c>
      <c r="J1530" s="7" t="s">
        <v>34</v>
      </c>
      <c r="K1530" s="7"/>
      <c r="L1530" s="8">
        <v>1.771561705864E12</v>
      </c>
      <c r="M1530" s="9"/>
      <c r="N1530" s="10"/>
      <c r="O1530" s="10"/>
      <c r="P1530" s="10"/>
      <c r="Q1530" s="10"/>
      <c r="R1530" s="10"/>
      <c r="S1530" s="10"/>
      <c r="T1530" s="10"/>
      <c r="U1530" s="10"/>
      <c r="V1530" s="10"/>
    </row>
    <row r="1531" ht="22.5" customHeight="1">
      <c r="A1531" s="5">
        <v>1.43108077103E11</v>
      </c>
      <c r="B1531" s="5" t="s">
        <v>1220</v>
      </c>
      <c r="C1531" s="5">
        <v>522294128869</v>
      </c>
      <c r="D1531" s="5" t="s">
        <v>13</v>
      </c>
      <c r="E1531" s="5">
        <v>8.7547393E7</v>
      </c>
      <c r="F1531" s="5" t="s">
        <v>510</v>
      </c>
      <c r="G1531" s="5" t="s">
        <v>15</v>
      </c>
      <c r="H1531" s="5" t="s">
        <v>51</v>
      </c>
      <c r="I1531" s="6" t="s">
        <v>17</v>
      </c>
      <c r="J1531" s="7" t="s">
        <v>18</v>
      </c>
      <c r="K1531" s="7" t="s">
        <v>1221</v>
      </c>
      <c r="L1531" s="8">
        <v>1.771561705635E12</v>
      </c>
      <c r="M1531" s="9"/>
      <c r="N1531" s="10"/>
      <c r="O1531" s="10"/>
      <c r="P1531" s="10"/>
      <c r="Q1531" s="10"/>
      <c r="R1531" s="10"/>
      <c r="S1531" s="10"/>
      <c r="T1531" s="10"/>
      <c r="U1531" s="10"/>
      <c r="V1531" s="10"/>
    </row>
    <row r="1532" ht="22.5" customHeight="1">
      <c r="A1532" s="5">
        <v>7.0946082629E10</v>
      </c>
      <c r="B1532" s="5" t="s">
        <v>1394</v>
      </c>
      <c r="C1532" s="5">
        <v>51941718745</v>
      </c>
      <c r="D1532" s="5" t="s">
        <v>13</v>
      </c>
      <c r="E1532" s="5"/>
      <c r="F1532" s="5" t="s">
        <v>259</v>
      </c>
      <c r="G1532" s="5" t="s">
        <v>32</v>
      </c>
      <c r="H1532" s="5" t="s">
        <v>24</v>
      </c>
      <c r="I1532" s="6" t="s">
        <v>17</v>
      </c>
      <c r="J1532" s="7" t="s">
        <v>34</v>
      </c>
      <c r="K1532" s="7"/>
      <c r="L1532" s="8">
        <v>1.771561705487E12</v>
      </c>
      <c r="M1532" s="9"/>
      <c r="N1532" s="10"/>
      <c r="O1532" s="10"/>
      <c r="P1532" s="10"/>
      <c r="Q1532" s="10"/>
      <c r="R1532" s="10"/>
      <c r="S1532" s="10"/>
      <c r="T1532" s="10"/>
      <c r="U1532" s="10"/>
      <c r="V1532" s="10"/>
    </row>
    <row r="1533" ht="22.5" customHeight="1">
      <c r="A1533" s="5">
        <v>1.71334455044E11</v>
      </c>
      <c r="B1533" s="5" t="s">
        <v>999</v>
      </c>
      <c r="C1533" s="5">
        <v>51990090194</v>
      </c>
      <c r="D1533" s="5" t="s">
        <v>13</v>
      </c>
      <c r="E1533" s="5">
        <v>8.7547393E7</v>
      </c>
      <c r="F1533" s="5" t="s">
        <v>259</v>
      </c>
      <c r="G1533" s="5" t="s">
        <v>15</v>
      </c>
      <c r="H1533" s="5" t="s">
        <v>180</v>
      </c>
      <c r="I1533" s="6" t="s">
        <v>17</v>
      </c>
      <c r="J1533" s="7" t="s">
        <v>34</v>
      </c>
      <c r="K1533" s="7"/>
      <c r="L1533" s="8">
        <v>1.771561706903E12</v>
      </c>
      <c r="M1533" s="9"/>
      <c r="N1533" s="10"/>
      <c r="O1533" s="10"/>
      <c r="P1533" s="10"/>
      <c r="Q1533" s="10"/>
      <c r="R1533" s="10"/>
      <c r="S1533" s="10"/>
      <c r="T1533" s="10"/>
      <c r="U1533" s="10"/>
      <c r="V1533" s="10"/>
    </row>
    <row r="1534" ht="22.5" customHeight="1">
      <c r="A1534" s="5">
        <v>1.6518448859E11</v>
      </c>
      <c r="B1534" s="5" t="s">
        <v>987</v>
      </c>
      <c r="C1534" s="5">
        <v>51978616342</v>
      </c>
      <c r="D1534" s="5" t="s">
        <v>13</v>
      </c>
      <c r="E1534" s="5">
        <v>8.7547393E7</v>
      </c>
      <c r="F1534" s="5" t="s">
        <v>259</v>
      </c>
      <c r="G1534" s="5" t="s">
        <v>15</v>
      </c>
      <c r="H1534" s="5" t="s">
        <v>33</v>
      </c>
      <c r="I1534" s="6" t="s">
        <v>17</v>
      </c>
      <c r="J1534" s="7" t="s">
        <v>18</v>
      </c>
      <c r="K1534" s="7" t="s">
        <v>116</v>
      </c>
      <c r="L1534" s="8">
        <v>1.77156170638E12</v>
      </c>
      <c r="M1534" s="9"/>
      <c r="N1534" s="10"/>
      <c r="O1534" s="10"/>
      <c r="P1534" s="10"/>
      <c r="Q1534" s="10"/>
      <c r="R1534" s="10"/>
      <c r="S1534" s="10"/>
      <c r="T1534" s="10"/>
      <c r="U1534" s="10"/>
      <c r="V1534" s="10"/>
    </row>
    <row r="1535" ht="22.5" customHeight="1">
      <c r="A1535" s="5">
        <v>7.9334383761E10</v>
      </c>
      <c r="B1535" s="5" t="s">
        <v>1503</v>
      </c>
      <c r="C1535" s="5">
        <v>51924036476</v>
      </c>
      <c r="D1535" s="5" t="s">
        <v>22</v>
      </c>
      <c r="E1535" s="5">
        <v>8.7547393E7</v>
      </c>
      <c r="F1535" s="5" t="s">
        <v>259</v>
      </c>
      <c r="G1535" s="5" t="s">
        <v>44</v>
      </c>
      <c r="H1535" s="5" t="s">
        <v>128</v>
      </c>
      <c r="I1535" s="6" t="s">
        <v>17</v>
      </c>
      <c r="J1535" s="7" t="s">
        <v>34</v>
      </c>
      <c r="K1535" s="7"/>
      <c r="L1535" s="8">
        <v>1.771561706037E12</v>
      </c>
      <c r="M1535" s="9"/>
      <c r="N1535" s="10"/>
      <c r="O1535" s="10"/>
      <c r="P1535" s="10"/>
      <c r="Q1535" s="10"/>
      <c r="R1535" s="10"/>
      <c r="S1535" s="10"/>
      <c r="T1535" s="10"/>
      <c r="U1535" s="10"/>
      <c r="V1535" s="10"/>
    </row>
    <row r="1536" ht="22.5" customHeight="1">
      <c r="A1536" s="5">
        <v>1.70709240874E11</v>
      </c>
      <c r="B1536" s="5" t="s">
        <v>205</v>
      </c>
      <c r="C1536" s="5">
        <v>51923187916</v>
      </c>
      <c r="D1536" s="5" t="s">
        <v>13</v>
      </c>
      <c r="E1536" s="5">
        <v>8.7547393E7</v>
      </c>
      <c r="F1536" s="5" t="s">
        <v>39</v>
      </c>
      <c r="G1536" s="5" t="s">
        <v>15</v>
      </c>
      <c r="H1536" s="5" t="s">
        <v>16</v>
      </c>
      <c r="I1536" s="6" t="s">
        <v>17</v>
      </c>
      <c r="J1536" s="7" t="s">
        <v>18</v>
      </c>
      <c r="K1536" s="7" t="s">
        <v>19</v>
      </c>
      <c r="L1536" s="8">
        <v>1.771561706173E12</v>
      </c>
      <c r="M1536" s="9"/>
      <c r="N1536" s="10"/>
      <c r="O1536" s="10"/>
      <c r="P1536" s="10"/>
      <c r="Q1536" s="10"/>
      <c r="R1536" s="10"/>
      <c r="S1536" s="10"/>
      <c r="T1536" s="10"/>
      <c r="U1536" s="10"/>
      <c r="V1536" s="10"/>
    </row>
    <row r="1537" ht="22.5" customHeight="1">
      <c r="A1537" s="5">
        <v>1.56201536037E11</v>
      </c>
      <c r="B1537" s="5" t="s">
        <v>518</v>
      </c>
      <c r="C1537" s="5">
        <v>51921871327</v>
      </c>
      <c r="D1537" s="5" t="s">
        <v>13</v>
      </c>
      <c r="E1537" s="5">
        <v>8.0566583E7</v>
      </c>
      <c r="F1537" s="5" t="s">
        <v>65</v>
      </c>
      <c r="G1537" s="5" t="s">
        <v>15</v>
      </c>
      <c r="H1537" s="5" t="s">
        <v>16</v>
      </c>
      <c r="I1537" s="6" t="s">
        <v>17</v>
      </c>
      <c r="J1537" s="7" t="s">
        <v>25</v>
      </c>
      <c r="K1537" s="7"/>
      <c r="L1537" s="8">
        <v>1.771561706095E12</v>
      </c>
      <c r="M1537" s="9"/>
      <c r="N1537" s="10"/>
      <c r="O1537" s="10"/>
      <c r="P1537" s="10"/>
      <c r="Q1537" s="10"/>
      <c r="R1537" s="10"/>
      <c r="S1537" s="10"/>
      <c r="T1537" s="10"/>
      <c r="U1537" s="10"/>
      <c r="V1537" s="10"/>
    </row>
    <row r="1538" ht="22.5" customHeight="1">
      <c r="A1538" s="5">
        <v>1.64600634535E11</v>
      </c>
      <c r="B1538" s="5" t="s">
        <v>1224</v>
      </c>
      <c r="C1538" s="5">
        <v>51988567003</v>
      </c>
      <c r="D1538" s="5" t="s">
        <v>22</v>
      </c>
      <c r="E1538" s="5">
        <v>8.0566583E7</v>
      </c>
      <c r="F1538" s="5" t="s">
        <v>65</v>
      </c>
      <c r="G1538" s="5" t="s">
        <v>44</v>
      </c>
      <c r="H1538" s="5" t="s">
        <v>188</v>
      </c>
      <c r="I1538" s="6" t="s">
        <v>17</v>
      </c>
      <c r="J1538" s="7" t="s">
        <v>34</v>
      </c>
      <c r="K1538" s="7"/>
      <c r="L1538" s="8">
        <v>1.771561706029E12</v>
      </c>
      <c r="M1538" s="9"/>
      <c r="N1538" s="10"/>
      <c r="O1538" s="10"/>
      <c r="P1538" s="10"/>
      <c r="Q1538" s="10"/>
      <c r="R1538" s="10"/>
      <c r="S1538" s="10"/>
      <c r="T1538" s="10"/>
      <c r="U1538" s="10"/>
      <c r="V1538" s="10"/>
    </row>
    <row r="1539" ht="22.5" customHeight="1">
      <c r="A1539" s="5">
        <v>1.73506584962E11</v>
      </c>
      <c r="B1539" s="5" t="s">
        <v>554</v>
      </c>
      <c r="C1539" s="5">
        <v>51939320691</v>
      </c>
      <c r="D1539" s="5" t="s">
        <v>13</v>
      </c>
      <c r="E1539" s="5">
        <v>8.0566583E7</v>
      </c>
      <c r="F1539" s="5" t="s">
        <v>28</v>
      </c>
      <c r="G1539" s="5" t="s">
        <v>32</v>
      </c>
      <c r="H1539" s="5" t="s">
        <v>24</v>
      </c>
      <c r="I1539" s="6" t="s">
        <v>17</v>
      </c>
      <c r="J1539" s="7" t="s">
        <v>18</v>
      </c>
      <c r="K1539" s="7" t="s">
        <v>116</v>
      </c>
      <c r="L1539" s="8">
        <v>1.771561705709E12</v>
      </c>
      <c r="M1539" s="9"/>
      <c r="N1539" s="10"/>
      <c r="O1539" s="10"/>
      <c r="P1539" s="10"/>
      <c r="Q1539" s="10"/>
      <c r="R1539" s="10"/>
      <c r="S1539" s="10"/>
      <c r="T1539" s="10"/>
      <c r="U1539" s="10"/>
      <c r="V1539" s="10"/>
    </row>
    <row r="1540" ht="22.5" customHeight="1">
      <c r="A1540" s="5">
        <v>1.64105728106E11</v>
      </c>
      <c r="B1540" s="5" t="s">
        <v>375</v>
      </c>
      <c r="C1540" s="5">
        <v>51991690035</v>
      </c>
      <c r="D1540" s="5" t="s">
        <v>13</v>
      </c>
      <c r="E1540" s="5">
        <v>8.7547393E7</v>
      </c>
      <c r="F1540" s="5" t="s">
        <v>39</v>
      </c>
      <c r="G1540" s="5" t="s">
        <v>15</v>
      </c>
      <c r="H1540" s="5" t="s">
        <v>114</v>
      </c>
      <c r="I1540" s="6" t="s">
        <v>17</v>
      </c>
      <c r="J1540" s="7" t="s">
        <v>34</v>
      </c>
      <c r="K1540" s="7"/>
      <c r="L1540" s="8">
        <v>1.771561705682E12</v>
      </c>
      <c r="M1540" s="9"/>
      <c r="N1540" s="10"/>
      <c r="O1540" s="10"/>
      <c r="P1540" s="10"/>
      <c r="Q1540" s="10"/>
      <c r="R1540" s="10"/>
      <c r="S1540" s="10"/>
      <c r="T1540" s="10"/>
      <c r="U1540" s="10"/>
      <c r="V1540" s="10"/>
    </row>
    <row r="1541" ht="22.5" customHeight="1">
      <c r="A1541" s="5">
        <v>1.85129358156E11</v>
      </c>
      <c r="B1541" s="5" t="s">
        <v>772</v>
      </c>
      <c r="C1541" s="5">
        <v>51951781968</v>
      </c>
      <c r="D1541" s="5" t="s">
        <v>13</v>
      </c>
      <c r="E1541" s="5"/>
      <c r="F1541" s="5" t="s">
        <v>714</v>
      </c>
      <c r="G1541" s="5" t="s">
        <v>44</v>
      </c>
      <c r="H1541" s="5" t="s">
        <v>69</v>
      </c>
      <c r="I1541" s="6" t="s">
        <v>49</v>
      </c>
      <c r="J1541" s="7" t="s">
        <v>177</v>
      </c>
      <c r="K1541" s="7" t="s">
        <v>36</v>
      </c>
      <c r="L1541" s="8">
        <v>1.771561706879E12</v>
      </c>
      <c r="M1541" s="9"/>
      <c r="N1541" s="10"/>
      <c r="O1541" s="10"/>
      <c r="P1541" s="10"/>
      <c r="Q1541" s="10"/>
      <c r="R1541" s="10"/>
      <c r="S1541" s="10"/>
      <c r="T1541" s="10"/>
      <c r="U1541" s="10"/>
      <c r="V1541" s="10"/>
    </row>
    <row r="1542" ht="22.5" customHeight="1">
      <c r="A1542" s="5">
        <v>1.71778077598E11</v>
      </c>
      <c r="B1542" s="5" t="s">
        <v>1131</v>
      </c>
      <c r="C1542" s="5">
        <v>51952268160</v>
      </c>
      <c r="D1542" s="5" t="s">
        <v>13</v>
      </c>
      <c r="E1542" s="5">
        <v>8.7547393E7</v>
      </c>
      <c r="F1542" s="5" t="s">
        <v>39</v>
      </c>
      <c r="G1542" s="5" t="s">
        <v>15</v>
      </c>
      <c r="H1542" s="5" t="s">
        <v>114</v>
      </c>
      <c r="I1542" s="6" t="s">
        <v>17</v>
      </c>
      <c r="J1542" s="7" t="s">
        <v>34</v>
      </c>
      <c r="K1542" s="7"/>
      <c r="L1542" s="8">
        <v>1.771561707297E12</v>
      </c>
      <c r="M1542" s="9"/>
      <c r="N1542" s="10"/>
      <c r="O1542" s="10"/>
      <c r="P1542" s="10"/>
      <c r="Q1542" s="10"/>
      <c r="R1542" s="10"/>
      <c r="S1542" s="10"/>
      <c r="T1542" s="10"/>
      <c r="U1542" s="10"/>
      <c r="V1542" s="10"/>
    </row>
    <row r="1543" ht="22.5" customHeight="1">
      <c r="A1543" s="5">
        <v>7.9926197356E10</v>
      </c>
      <c r="B1543" s="5" t="s">
        <v>828</v>
      </c>
      <c r="C1543" s="5">
        <v>51941100896</v>
      </c>
      <c r="D1543" s="5" t="s">
        <v>103</v>
      </c>
      <c r="E1543" s="5"/>
      <c r="F1543" s="5" t="s">
        <v>93</v>
      </c>
      <c r="G1543" s="5" t="s">
        <v>829</v>
      </c>
      <c r="H1543" s="5" t="s">
        <v>33</v>
      </c>
      <c r="I1543" s="6" t="s">
        <v>17</v>
      </c>
      <c r="J1543" s="7" t="s">
        <v>34</v>
      </c>
      <c r="K1543" s="7"/>
      <c r="L1543" s="8">
        <v>1.771561706495E12</v>
      </c>
      <c r="M1543" s="9"/>
      <c r="N1543" s="10"/>
      <c r="O1543" s="10"/>
      <c r="P1543" s="10"/>
      <c r="Q1543" s="10"/>
      <c r="R1543" s="10"/>
      <c r="S1543" s="10"/>
      <c r="T1543" s="10"/>
      <c r="U1543" s="10"/>
      <c r="V1543" s="10"/>
    </row>
    <row r="1544" ht="22.5" customHeight="1">
      <c r="A1544" s="5">
        <v>1.728052352E11</v>
      </c>
      <c r="B1544" s="5" t="s">
        <v>946</v>
      </c>
      <c r="C1544" s="5">
        <v>51997867734</v>
      </c>
      <c r="D1544" s="5" t="s">
        <v>13</v>
      </c>
      <c r="E1544" s="5">
        <v>8.7547393E7</v>
      </c>
      <c r="F1544" s="5" t="s">
        <v>510</v>
      </c>
      <c r="G1544" s="5" t="s">
        <v>15</v>
      </c>
      <c r="H1544" s="5" t="s">
        <v>51</v>
      </c>
      <c r="I1544" s="6" t="s">
        <v>17</v>
      </c>
      <c r="J1544" s="7" t="s">
        <v>18</v>
      </c>
      <c r="K1544" s="7" t="s">
        <v>116</v>
      </c>
      <c r="L1544" s="8">
        <v>1.771561706495E12</v>
      </c>
      <c r="M1544" s="9"/>
      <c r="N1544" s="10"/>
      <c r="O1544" s="10"/>
      <c r="P1544" s="10"/>
      <c r="Q1544" s="10"/>
      <c r="R1544" s="10"/>
      <c r="S1544" s="10"/>
      <c r="T1544" s="10"/>
      <c r="U1544" s="10"/>
      <c r="V1544" s="10"/>
    </row>
    <row r="1545" ht="22.5" customHeight="1">
      <c r="A1545" s="5">
        <v>1.67437842257E11</v>
      </c>
      <c r="B1545" s="5" t="s">
        <v>483</v>
      </c>
      <c r="C1545" s="5">
        <v>51999222575</v>
      </c>
      <c r="D1545" s="5" t="s">
        <v>13</v>
      </c>
      <c r="E1545" s="5">
        <v>8.7547393E7</v>
      </c>
      <c r="F1545" s="5" t="s">
        <v>39</v>
      </c>
      <c r="G1545" s="5" t="s">
        <v>32</v>
      </c>
      <c r="H1545" s="5" t="s">
        <v>16</v>
      </c>
      <c r="I1545" s="6" t="s">
        <v>17</v>
      </c>
      <c r="J1545" s="7" t="s">
        <v>18</v>
      </c>
      <c r="K1545" s="7" t="s">
        <v>19</v>
      </c>
      <c r="L1545" s="8">
        <v>1.771561707429E12</v>
      </c>
      <c r="M1545" s="9"/>
      <c r="N1545" s="10"/>
      <c r="O1545" s="10"/>
      <c r="P1545" s="10"/>
      <c r="Q1545" s="10"/>
      <c r="R1545" s="10"/>
      <c r="S1545" s="10"/>
      <c r="T1545" s="10"/>
      <c r="U1545" s="10"/>
      <c r="V1545" s="10"/>
    </row>
    <row r="1546" ht="22.5" customHeight="1">
      <c r="A1546" s="5">
        <v>1.56391580478E11</v>
      </c>
      <c r="B1546" s="5" t="s">
        <v>1121</v>
      </c>
      <c r="C1546" s="5">
        <v>51947151360</v>
      </c>
      <c r="D1546" s="5" t="s">
        <v>13</v>
      </c>
      <c r="E1546" s="5">
        <v>8.7547393E7</v>
      </c>
      <c r="F1546" s="5" t="s">
        <v>14</v>
      </c>
      <c r="G1546" s="5" t="s">
        <v>15</v>
      </c>
      <c r="H1546" s="5" t="s">
        <v>29</v>
      </c>
      <c r="I1546" s="6" t="s">
        <v>17</v>
      </c>
      <c r="J1546" s="7" t="s">
        <v>18</v>
      </c>
      <c r="K1546" s="7" t="s">
        <v>1122</v>
      </c>
      <c r="L1546" s="8">
        <v>1.771561705889E12</v>
      </c>
      <c r="M1546" s="9"/>
      <c r="N1546" s="10"/>
      <c r="O1546" s="10"/>
      <c r="P1546" s="10"/>
      <c r="Q1546" s="10"/>
      <c r="R1546" s="10"/>
      <c r="S1546" s="10"/>
      <c r="T1546" s="10"/>
      <c r="U1546" s="10"/>
      <c r="V1546" s="10"/>
    </row>
    <row r="1547" ht="22.5" customHeight="1">
      <c r="A1547" s="5">
        <v>1.4433648784E11</v>
      </c>
      <c r="B1547" s="5" t="s">
        <v>1384</v>
      </c>
      <c r="C1547" s="5">
        <v>51988478800</v>
      </c>
      <c r="D1547" s="5" t="s">
        <v>22</v>
      </c>
      <c r="E1547" s="5">
        <v>8.0566583E7</v>
      </c>
      <c r="F1547" s="5" t="s">
        <v>42</v>
      </c>
      <c r="G1547" s="5" t="s">
        <v>32</v>
      </c>
      <c r="H1547" s="5" t="s">
        <v>33</v>
      </c>
      <c r="I1547" s="6" t="s">
        <v>89</v>
      </c>
      <c r="J1547" s="7" t="s">
        <v>25</v>
      </c>
      <c r="K1547" s="7"/>
      <c r="L1547" s="8">
        <v>1.7715617066E12</v>
      </c>
      <c r="M1547" s="9"/>
      <c r="N1547" s="10"/>
      <c r="O1547" s="10"/>
      <c r="P1547" s="10"/>
      <c r="Q1547" s="10"/>
      <c r="R1547" s="10"/>
      <c r="S1547" s="10"/>
      <c r="T1547" s="10"/>
      <c r="U1547" s="10"/>
      <c r="V1547" s="10"/>
    </row>
    <row r="1548" ht="22.5" customHeight="1">
      <c r="A1548" s="5">
        <v>1.60919350424E11</v>
      </c>
      <c r="B1548" s="5" t="s">
        <v>309</v>
      </c>
      <c r="C1548" s="5">
        <v>51991845454</v>
      </c>
      <c r="D1548" s="5" t="s">
        <v>13</v>
      </c>
      <c r="E1548" s="5">
        <v>8.7547393E7</v>
      </c>
      <c r="F1548" s="5" t="s">
        <v>23</v>
      </c>
      <c r="G1548" s="5" t="s">
        <v>15</v>
      </c>
      <c r="H1548" s="5" t="s">
        <v>66</v>
      </c>
      <c r="I1548" s="6" t="s">
        <v>17</v>
      </c>
      <c r="J1548" s="7" t="s">
        <v>18</v>
      </c>
      <c r="K1548" s="7" t="s">
        <v>19</v>
      </c>
      <c r="L1548" s="8">
        <v>1.771561706084E12</v>
      </c>
      <c r="M1548" s="9"/>
      <c r="N1548" s="10"/>
      <c r="O1548" s="10"/>
      <c r="P1548" s="10"/>
      <c r="Q1548" s="10"/>
      <c r="R1548" s="10"/>
      <c r="S1548" s="10"/>
      <c r="T1548" s="10"/>
      <c r="U1548" s="10"/>
      <c r="V1548" s="10"/>
    </row>
    <row r="1549" ht="22.5" customHeight="1">
      <c r="A1549" s="5">
        <v>1.71322283042E11</v>
      </c>
      <c r="B1549" s="5" t="s">
        <v>377</v>
      </c>
      <c r="C1549" s="5">
        <v>51961872165</v>
      </c>
      <c r="D1549" s="5" t="s">
        <v>13</v>
      </c>
      <c r="E1549" s="5">
        <v>8.7547393E7</v>
      </c>
      <c r="F1549" s="5" t="s">
        <v>714</v>
      </c>
      <c r="G1549" s="5" t="s">
        <v>44</v>
      </c>
      <c r="H1549" s="5" t="s">
        <v>16</v>
      </c>
      <c r="I1549" s="6" t="s">
        <v>17</v>
      </c>
      <c r="J1549" s="7" t="s">
        <v>34</v>
      </c>
      <c r="K1549" s="7"/>
      <c r="L1549" s="8">
        <v>1.771561706619E12</v>
      </c>
      <c r="M1549" s="9"/>
      <c r="N1549" s="10"/>
      <c r="O1549" s="10"/>
      <c r="P1549" s="10"/>
      <c r="Q1549" s="10"/>
      <c r="R1549" s="10"/>
      <c r="S1549" s="10"/>
      <c r="T1549" s="10"/>
      <c r="U1549" s="10"/>
      <c r="V1549" s="10"/>
    </row>
    <row r="1550" ht="22.5" customHeight="1">
      <c r="A1550" s="5">
        <v>1.55818034745E11</v>
      </c>
      <c r="B1550" s="5" t="s">
        <v>269</v>
      </c>
      <c r="C1550" s="5">
        <v>51973524007</v>
      </c>
      <c r="D1550" s="5" t="s">
        <v>103</v>
      </c>
      <c r="E1550" s="5">
        <v>8.7547393E7</v>
      </c>
      <c r="F1550" s="5" t="s">
        <v>93</v>
      </c>
      <c r="G1550" s="5" t="s">
        <v>44</v>
      </c>
      <c r="H1550" s="5" t="s">
        <v>16</v>
      </c>
      <c r="I1550" s="6" t="s">
        <v>17</v>
      </c>
      <c r="J1550" s="7" t="s">
        <v>34</v>
      </c>
      <c r="K1550" s="7"/>
      <c r="L1550" s="8">
        <v>1.771561706047E12</v>
      </c>
      <c r="M1550" s="9"/>
      <c r="N1550" s="10"/>
      <c r="O1550" s="10"/>
      <c r="P1550" s="10"/>
      <c r="Q1550" s="10"/>
      <c r="R1550" s="10"/>
      <c r="S1550" s="10"/>
      <c r="T1550" s="10"/>
      <c r="U1550" s="10"/>
      <c r="V1550" s="10"/>
    </row>
    <row r="1551" ht="22.5" customHeight="1">
      <c r="A1551" s="5">
        <v>1.45190143053E11</v>
      </c>
      <c r="B1551" s="5" t="s">
        <v>473</v>
      </c>
      <c r="C1551" s="5">
        <v>51996482065</v>
      </c>
      <c r="D1551" s="5" t="s">
        <v>38</v>
      </c>
      <c r="E1551" s="5"/>
      <c r="F1551" s="5"/>
      <c r="G1551" s="5"/>
      <c r="H1551" s="5"/>
      <c r="I1551" s="6"/>
      <c r="J1551" s="7" t="s">
        <v>25</v>
      </c>
      <c r="K1551" s="7"/>
      <c r="L1551" s="8">
        <v>1.771561705803E12</v>
      </c>
      <c r="M1551" s="9"/>
      <c r="N1551" s="10"/>
      <c r="O1551" s="10"/>
      <c r="P1551" s="10"/>
      <c r="Q1551" s="10"/>
      <c r="R1551" s="10"/>
      <c r="S1551" s="10"/>
      <c r="T1551" s="10"/>
      <c r="U1551" s="10"/>
      <c r="V1551" s="10"/>
    </row>
    <row r="1552" ht="22.5" customHeight="1">
      <c r="A1552" s="5">
        <v>1.38946009957E11</v>
      </c>
      <c r="B1552" s="5" t="s">
        <v>668</v>
      </c>
      <c r="C1552" s="5">
        <v>51950125477</v>
      </c>
      <c r="D1552" s="5" t="s">
        <v>22</v>
      </c>
      <c r="E1552" s="5">
        <v>8.7547393E7</v>
      </c>
      <c r="F1552" s="5" t="s">
        <v>65</v>
      </c>
      <c r="G1552" s="5" t="s">
        <v>44</v>
      </c>
      <c r="H1552" s="5" t="s">
        <v>33</v>
      </c>
      <c r="I1552" s="6" t="s">
        <v>17</v>
      </c>
      <c r="J1552" s="7" t="s">
        <v>34</v>
      </c>
      <c r="K1552" s="7"/>
      <c r="L1552" s="8">
        <v>1.771561706223E12</v>
      </c>
      <c r="M1552" s="9"/>
      <c r="N1552" s="10"/>
      <c r="O1552" s="10"/>
      <c r="P1552" s="10"/>
      <c r="Q1552" s="10"/>
      <c r="R1552" s="10"/>
      <c r="S1552" s="10"/>
      <c r="T1552" s="10"/>
      <c r="U1552" s="10"/>
      <c r="V1552" s="10"/>
    </row>
    <row r="1553" ht="22.5" customHeight="1">
      <c r="A1553" s="5">
        <v>1.63996437283E11</v>
      </c>
      <c r="B1553" s="5" t="s">
        <v>743</v>
      </c>
      <c r="C1553" s="5">
        <v>51998709110</v>
      </c>
      <c r="D1553" s="5" t="s">
        <v>13</v>
      </c>
      <c r="E1553" s="5"/>
      <c r="F1553" s="5" t="s">
        <v>259</v>
      </c>
      <c r="G1553" s="5" t="s">
        <v>32</v>
      </c>
      <c r="H1553" s="5" t="s">
        <v>24</v>
      </c>
      <c r="I1553" s="6" t="s">
        <v>17</v>
      </c>
      <c r="J1553" s="7" t="s">
        <v>58</v>
      </c>
      <c r="K1553" s="11" t="s">
        <v>59</v>
      </c>
      <c r="L1553" s="8">
        <v>1.771561706459E12</v>
      </c>
      <c r="M1553" s="9"/>
      <c r="N1553" s="10"/>
      <c r="O1553" s="10"/>
      <c r="P1553" s="10"/>
      <c r="Q1553" s="10"/>
      <c r="R1553" s="10"/>
      <c r="S1553" s="10"/>
      <c r="T1553" s="10"/>
      <c r="U1553" s="10"/>
      <c r="V1553" s="10"/>
    </row>
    <row r="1554" ht="22.5" customHeight="1">
      <c r="A1554" s="5">
        <v>1.87467257205E11</v>
      </c>
      <c r="B1554" s="5" t="s">
        <v>795</v>
      </c>
      <c r="C1554" s="5">
        <v>51974371553</v>
      </c>
      <c r="D1554" s="5" t="s">
        <v>22</v>
      </c>
      <c r="E1554" s="5">
        <v>8.0566583E7</v>
      </c>
      <c r="F1554" s="5" t="s">
        <v>28</v>
      </c>
      <c r="G1554" s="5" t="s">
        <v>104</v>
      </c>
      <c r="H1554" s="5"/>
      <c r="I1554" s="6"/>
      <c r="J1554" s="7" t="s">
        <v>34</v>
      </c>
      <c r="K1554" s="7"/>
      <c r="L1554" s="8">
        <v>1.771561707049E12</v>
      </c>
      <c r="M1554" s="9"/>
      <c r="N1554" s="10"/>
      <c r="O1554" s="10"/>
      <c r="P1554" s="10"/>
      <c r="Q1554" s="10"/>
      <c r="R1554" s="10"/>
      <c r="S1554" s="10"/>
      <c r="T1554" s="10"/>
      <c r="U1554" s="10"/>
      <c r="V1554" s="10"/>
    </row>
    <row r="1555" ht="22.5" customHeight="1">
      <c r="A1555" s="5">
        <v>1.1430221139E11</v>
      </c>
      <c r="B1555" s="5" t="s">
        <v>258</v>
      </c>
      <c r="C1555" s="5">
        <v>51989777232</v>
      </c>
      <c r="D1555" s="5" t="s">
        <v>13</v>
      </c>
      <c r="E1555" s="5">
        <v>8.0566583E7</v>
      </c>
      <c r="F1555" s="5" t="s">
        <v>259</v>
      </c>
      <c r="G1555" s="5" t="s">
        <v>260</v>
      </c>
      <c r="H1555" s="5"/>
      <c r="I1555" s="6"/>
      <c r="J1555" s="7" t="s">
        <v>34</v>
      </c>
      <c r="K1555" s="7"/>
      <c r="L1555" s="8">
        <v>1.771561707345E12</v>
      </c>
      <c r="M1555" s="9"/>
      <c r="N1555" s="10"/>
      <c r="O1555" s="10"/>
      <c r="P1555" s="10"/>
      <c r="Q1555" s="10"/>
      <c r="R1555" s="10"/>
      <c r="S1555" s="10"/>
      <c r="T1555" s="10"/>
      <c r="U1555" s="10"/>
      <c r="V1555" s="10"/>
    </row>
    <row r="1556" ht="22.5" customHeight="1">
      <c r="A1556" s="5">
        <v>1.76742203467E11</v>
      </c>
      <c r="B1556" s="5" t="s">
        <v>456</v>
      </c>
      <c r="C1556" s="5">
        <v>51904207771</v>
      </c>
      <c r="D1556" s="5" t="s">
        <v>13</v>
      </c>
      <c r="E1556" s="5">
        <v>8.7547393E7</v>
      </c>
      <c r="F1556" s="5" t="s">
        <v>28</v>
      </c>
      <c r="G1556" s="5" t="s">
        <v>32</v>
      </c>
      <c r="H1556" s="5" t="s">
        <v>66</v>
      </c>
      <c r="I1556" s="6" t="s">
        <v>17</v>
      </c>
      <c r="J1556" s="7" t="s">
        <v>18</v>
      </c>
      <c r="K1556" s="7" t="s">
        <v>19</v>
      </c>
      <c r="L1556" s="8">
        <v>1.77156170776E12</v>
      </c>
      <c r="M1556" s="9"/>
      <c r="N1556" s="10"/>
      <c r="O1556" s="10"/>
      <c r="P1556" s="10"/>
      <c r="Q1556" s="10"/>
      <c r="R1556" s="10"/>
      <c r="S1556" s="10"/>
      <c r="T1556" s="10"/>
      <c r="U1556" s="10"/>
      <c r="V1556" s="10"/>
    </row>
    <row r="1557" ht="22.5" customHeight="1">
      <c r="A1557" s="5">
        <v>1.5496652609E11</v>
      </c>
      <c r="B1557" s="5" t="s">
        <v>1165</v>
      </c>
      <c r="C1557" s="5">
        <v>51967386843</v>
      </c>
      <c r="D1557" s="5" t="s">
        <v>13</v>
      </c>
      <c r="E1557" s="5">
        <v>8.7547393E7</v>
      </c>
      <c r="F1557" s="5" t="s">
        <v>65</v>
      </c>
      <c r="G1557" s="5" t="s">
        <v>32</v>
      </c>
      <c r="H1557" s="5" t="s">
        <v>114</v>
      </c>
      <c r="I1557" s="6" t="s">
        <v>17</v>
      </c>
      <c r="J1557" s="7" t="s">
        <v>18</v>
      </c>
      <c r="K1557" s="7" t="s">
        <v>116</v>
      </c>
      <c r="L1557" s="8">
        <v>1.771561707772E12</v>
      </c>
      <c r="M1557" s="9"/>
      <c r="N1557" s="10"/>
      <c r="O1557" s="10"/>
      <c r="P1557" s="10"/>
      <c r="Q1557" s="10"/>
      <c r="R1557" s="10"/>
      <c r="S1557" s="10"/>
      <c r="T1557" s="10"/>
      <c r="U1557" s="10"/>
      <c r="V1557" s="10"/>
    </row>
    <row r="1558" ht="22.5" customHeight="1">
      <c r="A1558" s="5">
        <v>1.73976475163E11</v>
      </c>
      <c r="B1558" s="5" t="s">
        <v>984</v>
      </c>
      <c r="C1558" s="5">
        <v>51949178402</v>
      </c>
      <c r="D1558" s="5" t="s">
        <v>13</v>
      </c>
      <c r="E1558" s="5">
        <v>8.7547393E7</v>
      </c>
      <c r="F1558" s="5" t="s">
        <v>65</v>
      </c>
      <c r="G1558" s="5" t="s">
        <v>32</v>
      </c>
      <c r="H1558" s="5" t="s">
        <v>16</v>
      </c>
      <c r="I1558" s="6" t="s">
        <v>17</v>
      </c>
      <c r="J1558" s="7" t="s">
        <v>18</v>
      </c>
      <c r="K1558" s="7" t="s">
        <v>116</v>
      </c>
      <c r="L1558" s="8">
        <v>1.771561707165E12</v>
      </c>
      <c r="M1558" s="9"/>
      <c r="N1558" s="10"/>
      <c r="O1558" s="10"/>
      <c r="P1558" s="10"/>
      <c r="Q1558" s="10"/>
      <c r="R1558" s="10"/>
      <c r="S1558" s="10"/>
      <c r="T1558" s="10"/>
      <c r="U1558" s="10"/>
      <c r="V1558" s="10"/>
    </row>
    <row r="1559" ht="22.5" customHeight="1">
      <c r="A1559" s="5">
        <v>1.7569255261E11</v>
      </c>
      <c r="B1559" s="5" t="s">
        <v>434</v>
      </c>
      <c r="C1559" s="5">
        <v>5516997712075</v>
      </c>
      <c r="D1559" s="5" t="s">
        <v>13</v>
      </c>
      <c r="E1559" s="5">
        <v>7.9360573E7</v>
      </c>
      <c r="F1559" s="5" t="s">
        <v>28</v>
      </c>
      <c r="G1559" s="5" t="s">
        <v>260</v>
      </c>
      <c r="H1559" s="5" t="s">
        <v>114</v>
      </c>
      <c r="I1559" s="6" t="s">
        <v>49</v>
      </c>
      <c r="J1559" s="7" t="s">
        <v>34</v>
      </c>
      <c r="K1559" s="7"/>
      <c r="L1559" s="8">
        <v>1.771561708261E12</v>
      </c>
      <c r="M1559" s="9"/>
      <c r="N1559" s="10"/>
      <c r="O1559" s="10"/>
      <c r="P1559" s="10"/>
      <c r="Q1559" s="10"/>
      <c r="R1559" s="10"/>
      <c r="S1559" s="10"/>
      <c r="T1559" s="10"/>
      <c r="U1559" s="10"/>
      <c r="V1559" s="10"/>
    </row>
    <row r="1560" ht="22.5" customHeight="1">
      <c r="A1560" s="5">
        <v>1.96244360823E11</v>
      </c>
      <c r="B1560" s="5" t="s">
        <v>393</v>
      </c>
      <c r="C1560" s="5">
        <v>51972610350</v>
      </c>
      <c r="D1560" s="5" t="s">
        <v>22</v>
      </c>
      <c r="E1560" s="5"/>
      <c r="F1560" s="5" t="s">
        <v>65</v>
      </c>
      <c r="G1560" s="5" t="s">
        <v>104</v>
      </c>
      <c r="H1560" s="5"/>
      <c r="I1560" s="6"/>
      <c r="J1560" s="7" t="s">
        <v>34</v>
      </c>
      <c r="K1560" s="7"/>
      <c r="L1560" s="8">
        <v>1.771561709241E12</v>
      </c>
      <c r="M1560" s="9"/>
      <c r="N1560" s="10"/>
      <c r="O1560" s="10"/>
      <c r="P1560" s="10"/>
      <c r="Q1560" s="10"/>
      <c r="R1560" s="10"/>
      <c r="S1560" s="10"/>
      <c r="T1560" s="10"/>
      <c r="U1560" s="10"/>
      <c r="V1560" s="10"/>
    </row>
    <row r="1561" ht="22.5" customHeight="1">
      <c r="A1561" s="5">
        <v>2.04021679741E11</v>
      </c>
      <c r="B1561" s="5" t="s">
        <v>1565</v>
      </c>
      <c r="C1561" s="5">
        <v>525564941256</v>
      </c>
      <c r="D1561" s="5" t="s">
        <v>13</v>
      </c>
      <c r="E1561" s="5">
        <v>8.0566583E7</v>
      </c>
      <c r="F1561" s="5" t="s">
        <v>39</v>
      </c>
      <c r="G1561" s="5" t="s">
        <v>15</v>
      </c>
      <c r="H1561" s="5" t="s">
        <v>51</v>
      </c>
      <c r="I1561" s="6" t="s">
        <v>17</v>
      </c>
      <c r="J1561" s="7" t="s">
        <v>34</v>
      </c>
      <c r="K1561" s="7"/>
      <c r="L1561" s="8">
        <v>1.77156198025E12</v>
      </c>
      <c r="M1561" s="9"/>
      <c r="N1561" s="10"/>
      <c r="O1561" s="10"/>
      <c r="P1561" s="10"/>
      <c r="Q1561" s="10"/>
      <c r="R1561" s="10"/>
      <c r="S1561" s="10"/>
      <c r="T1561" s="10"/>
      <c r="U1561" s="10"/>
      <c r="V1561" s="10"/>
    </row>
    <row r="1562" ht="22.5" customHeight="1">
      <c r="A1562" s="5">
        <v>1.60514259056E11</v>
      </c>
      <c r="B1562" s="5" t="s">
        <v>1566</v>
      </c>
      <c r="C1562" s="5">
        <v>51967073176</v>
      </c>
      <c r="D1562" s="5" t="s">
        <v>13</v>
      </c>
      <c r="E1562" s="5">
        <v>8.0566583E7</v>
      </c>
      <c r="F1562" s="5" t="s">
        <v>39</v>
      </c>
      <c r="G1562" s="5" t="s">
        <v>260</v>
      </c>
      <c r="H1562" s="5" t="s">
        <v>80</v>
      </c>
      <c r="I1562" s="6" t="s">
        <v>49</v>
      </c>
      <c r="J1562" s="7" t="s">
        <v>34</v>
      </c>
      <c r="K1562" s="7"/>
      <c r="L1562" s="8">
        <v>1.77156206048E12</v>
      </c>
      <c r="M1562" s="9"/>
      <c r="N1562" s="10"/>
      <c r="O1562" s="10"/>
      <c r="P1562" s="10"/>
      <c r="Q1562" s="10"/>
      <c r="R1562" s="10"/>
      <c r="S1562" s="10"/>
      <c r="T1562" s="10"/>
      <c r="U1562" s="10"/>
      <c r="V1562" s="10"/>
    </row>
    <row r="1563" ht="22.5" customHeight="1">
      <c r="A1563" s="5">
        <v>2.00986966935E11</v>
      </c>
      <c r="B1563" s="5" t="s">
        <v>1567</v>
      </c>
      <c r="C1563" s="5">
        <v>522228208322</v>
      </c>
      <c r="D1563" s="5" t="s">
        <v>13</v>
      </c>
      <c r="E1563" s="5">
        <v>8.0566583E7</v>
      </c>
      <c r="F1563" s="5" t="s">
        <v>1568</v>
      </c>
      <c r="G1563" s="5" t="s">
        <v>15</v>
      </c>
      <c r="H1563" s="5" t="s">
        <v>16</v>
      </c>
      <c r="I1563" s="6" t="s">
        <v>17</v>
      </c>
      <c r="J1563" s="7" t="s">
        <v>18</v>
      </c>
      <c r="K1563" s="7" t="s">
        <v>61</v>
      </c>
      <c r="L1563" s="8">
        <v>1.77156212563E12</v>
      </c>
      <c r="M1563" s="9"/>
      <c r="N1563" s="10"/>
      <c r="O1563" s="10"/>
      <c r="P1563" s="10"/>
      <c r="Q1563" s="10"/>
      <c r="R1563" s="10"/>
      <c r="S1563" s="10"/>
      <c r="T1563" s="10"/>
      <c r="U1563" s="10"/>
      <c r="V1563" s="10"/>
    </row>
    <row r="1564" ht="22.5" customHeight="1">
      <c r="A1564" s="5">
        <v>7.0946082629E10</v>
      </c>
      <c r="B1564" s="5" t="s">
        <v>1394</v>
      </c>
      <c r="C1564" s="5">
        <v>51941718745</v>
      </c>
      <c r="D1564" s="5" t="s">
        <v>13</v>
      </c>
      <c r="E1564" s="5"/>
      <c r="F1564" s="5" t="s">
        <v>259</v>
      </c>
      <c r="G1564" s="5" t="s">
        <v>32</v>
      </c>
      <c r="H1564" s="5" t="s">
        <v>24</v>
      </c>
      <c r="I1564" s="6" t="s">
        <v>17</v>
      </c>
      <c r="J1564" s="7" t="s">
        <v>34</v>
      </c>
      <c r="K1564" s="7"/>
      <c r="L1564" s="8">
        <v>1.77156212577E12</v>
      </c>
      <c r="M1564" s="9"/>
      <c r="N1564" s="10"/>
      <c r="O1564" s="10"/>
      <c r="P1564" s="10"/>
      <c r="Q1564" s="10"/>
      <c r="R1564" s="10"/>
      <c r="S1564" s="10"/>
      <c r="T1564" s="10"/>
      <c r="U1564" s="10"/>
      <c r="V1564" s="10"/>
    </row>
    <row r="1565" ht="22.5" customHeight="1">
      <c r="A1565" s="5">
        <v>2.0100228241E11</v>
      </c>
      <c r="B1565" s="5" t="s">
        <v>1569</v>
      </c>
      <c r="C1565" s="5">
        <v>51965954553</v>
      </c>
      <c r="D1565" s="5" t="s">
        <v>13</v>
      </c>
      <c r="E1565" s="5">
        <v>8.7547393E7</v>
      </c>
      <c r="F1565" s="5" t="s">
        <v>691</v>
      </c>
      <c r="G1565" s="5" t="s">
        <v>15</v>
      </c>
      <c r="H1565" s="5" t="s">
        <v>69</v>
      </c>
      <c r="I1565" s="6" t="s">
        <v>17</v>
      </c>
      <c r="J1565" s="7" t="s">
        <v>18</v>
      </c>
      <c r="K1565" s="7" t="s">
        <v>61</v>
      </c>
      <c r="L1565" s="8">
        <v>1.771562125898E12</v>
      </c>
      <c r="M1565" s="9"/>
      <c r="N1565" s="10"/>
      <c r="O1565" s="10"/>
      <c r="P1565" s="10"/>
      <c r="Q1565" s="10"/>
      <c r="R1565" s="10"/>
      <c r="S1565" s="10"/>
      <c r="T1565" s="10"/>
      <c r="U1565" s="10"/>
      <c r="V1565" s="10"/>
    </row>
    <row r="1566" ht="22.5" customHeight="1">
      <c r="A1566" s="5">
        <v>1.63819917312E11</v>
      </c>
      <c r="B1566" s="5" t="s">
        <v>441</v>
      </c>
      <c r="C1566" s="5">
        <v>51992440315</v>
      </c>
      <c r="D1566" s="5" t="s">
        <v>13</v>
      </c>
      <c r="E1566" s="5">
        <v>8.0566583E7</v>
      </c>
      <c r="F1566" s="5" t="s">
        <v>65</v>
      </c>
      <c r="G1566" s="5" t="s">
        <v>32</v>
      </c>
      <c r="H1566" s="5" t="s">
        <v>114</v>
      </c>
      <c r="I1566" s="6" t="s">
        <v>17</v>
      </c>
      <c r="J1566" s="7" t="s">
        <v>18</v>
      </c>
      <c r="K1566" s="7" t="s">
        <v>116</v>
      </c>
      <c r="L1566" s="8">
        <v>1.77156212606E12</v>
      </c>
      <c r="M1566" s="9"/>
      <c r="N1566" s="10"/>
      <c r="O1566" s="10"/>
      <c r="P1566" s="10"/>
      <c r="Q1566" s="10"/>
      <c r="R1566" s="10"/>
      <c r="S1566" s="10"/>
      <c r="T1566" s="10"/>
      <c r="U1566" s="10"/>
      <c r="V1566" s="10"/>
    </row>
    <row r="1567" ht="22.5" customHeight="1">
      <c r="A1567" s="5">
        <v>2.00853490813E11</v>
      </c>
      <c r="B1567" s="5" t="s">
        <v>1570</v>
      </c>
      <c r="C1567" s="5">
        <v>51948472767</v>
      </c>
      <c r="D1567" s="5" t="s">
        <v>13</v>
      </c>
      <c r="E1567" s="5">
        <v>8.0566583E7</v>
      </c>
      <c r="F1567" s="5" t="s">
        <v>673</v>
      </c>
      <c r="G1567" s="5" t="s">
        <v>15</v>
      </c>
      <c r="H1567" s="5" t="s">
        <v>24</v>
      </c>
      <c r="I1567" s="6" t="s">
        <v>63</v>
      </c>
      <c r="J1567" s="7" t="s">
        <v>18</v>
      </c>
      <c r="K1567" s="7" t="s">
        <v>19</v>
      </c>
      <c r="L1567" s="8">
        <v>1.771562126473E12</v>
      </c>
      <c r="M1567" s="9"/>
      <c r="N1567" s="10"/>
      <c r="O1567" s="10"/>
      <c r="P1567" s="10"/>
      <c r="Q1567" s="10"/>
      <c r="R1567" s="10"/>
      <c r="S1567" s="10"/>
      <c r="T1567" s="10"/>
      <c r="U1567" s="10"/>
      <c r="V1567" s="10"/>
    </row>
    <row r="1568" ht="22.5" customHeight="1">
      <c r="A1568" s="5">
        <v>1.56109245618E11</v>
      </c>
      <c r="B1568" s="5" t="s">
        <v>480</v>
      </c>
      <c r="C1568" s="5">
        <v>51989334490</v>
      </c>
      <c r="D1568" s="5" t="s">
        <v>22</v>
      </c>
      <c r="E1568" s="5">
        <v>8.0566583E7</v>
      </c>
      <c r="F1568" s="5" t="s">
        <v>93</v>
      </c>
      <c r="G1568" s="5" t="s">
        <v>44</v>
      </c>
      <c r="H1568" s="5" t="s">
        <v>161</v>
      </c>
      <c r="I1568" s="6" t="s">
        <v>17</v>
      </c>
      <c r="J1568" s="7" t="s">
        <v>18</v>
      </c>
      <c r="K1568" s="7" t="s">
        <v>116</v>
      </c>
      <c r="L1568" s="8">
        <v>1.771562125971E12</v>
      </c>
      <c r="M1568" s="9"/>
      <c r="N1568" s="10"/>
      <c r="O1568" s="10"/>
      <c r="P1568" s="10"/>
      <c r="Q1568" s="10"/>
      <c r="R1568" s="10"/>
      <c r="S1568" s="10"/>
      <c r="T1568" s="10"/>
      <c r="U1568" s="10"/>
      <c r="V1568" s="10"/>
    </row>
    <row r="1569" ht="22.5" customHeight="1">
      <c r="A1569" s="5">
        <v>2.00921077881E11</v>
      </c>
      <c r="B1569" s="5" t="s">
        <v>1571</v>
      </c>
      <c r="C1569" s="5">
        <v>525546218833</v>
      </c>
      <c r="D1569" s="5" t="s">
        <v>13</v>
      </c>
      <c r="E1569" s="5">
        <v>8.7547393E7</v>
      </c>
      <c r="F1569" s="5" t="s">
        <v>1572</v>
      </c>
      <c r="G1569" s="5" t="s">
        <v>15</v>
      </c>
      <c r="H1569" s="5" t="s">
        <v>66</v>
      </c>
      <c r="I1569" s="6" t="s">
        <v>17</v>
      </c>
      <c r="J1569" s="7" t="s">
        <v>18</v>
      </c>
      <c r="K1569" s="7" t="s">
        <v>61</v>
      </c>
      <c r="L1569" s="8">
        <v>1.771562125916E12</v>
      </c>
      <c r="M1569" s="9"/>
      <c r="N1569" s="10"/>
      <c r="O1569" s="10"/>
      <c r="P1569" s="10"/>
      <c r="Q1569" s="10"/>
      <c r="R1569" s="10"/>
      <c r="S1569" s="10"/>
      <c r="T1569" s="10"/>
      <c r="U1569" s="10"/>
      <c r="V1569" s="10"/>
    </row>
    <row r="1570" ht="22.5" customHeight="1">
      <c r="A1570" s="5">
        <v>2.00891151774E11</v>
      </c>
      <c r="B1570" s="5" t="s">
        <v>1573</v>
      </c>
      <c r="C1570" s="5">
        <v>51922560683</v>
      </c>
      <c r="D1570" s="5" t="s">
        <v>22</v>
      </c>
      <c r="E1570" s="5">
        <v>8.0566583E7</v>
      </c>
      <c r="F1570" s="5" t="s">
        <v>691</v>
      </c>
      <c r="G1570" s="5" t="s">
        <v>44</v>
      </c>
      <c r="H1570" s="5" t="s">
        <v>16</v>
      </c>
      <c r="I1570" s="6" t="s">
        <v>17</v>
      </c>
      <c r="J1570" s="7" t="s">
        <v>58</v>
      </c>
      <c r="K1570" s="11" t="s">
        <v>59</v>
      </c>
      <c r="L1570" s="8">
        <v>1.771562125698E12</v>
      </c>
      <c r="M1570" s="9"/>
      <c r="N1570" s="10"/>
      <c r="O1570" s="10"/>
      <c r="P1570" s="10"/>
      <c r="Q1570" s="10"/>
      <c r="R1570" s="10"/>
      <c r="S1570" s="10"/>
      <c r="T1570" s="10"/>
      <c r="U1570" s="10"/>
      <c r="V1570" s="10"/>
    </row>
    <row r="1571" ht="22.5" customHeight="1">
      <c r="A1571" s="5">
        <v>1.61507626817E11</v>
      </c>
      <c r="B1571" s="5" t="s">
        <v>526</v>
      </c>
      <c r="C1571" s="5">
        <v>51964538043</v>
      </c>
      <c r="D1571" s="5" t="s">
        <v>13</v>
      </c>
      <c r="E1571" s="5">
        <v>8.0566583E7</v>
      </c>
      <c r="F1571" s="5" t="s">
        <v>28</v>
      </c>
      <c r="G1571" s="5" t="s">
        <v>15</v>
      </c>
      <c r="H1571" s="5" t="s">
        <v>16</v>
      </c>
      <c r="I1571" s="6" t="s">
        <v>36</v>
      </c>
      <c r="J1571" s="7" t="s">
        <v>34</v>
      </c>
      <c r="K1571" s="7"/>
      <c r="L1571" s="8">
        <v>1.771562125754E12</v>
      </c>
      <c r="M1571" s="9"/>
      <c r="N1571" s="10"/>
      <c r="O1571" s="10"/>
      <c r="P1571" s="10"/>
      <c r="Q1571" s="10"/>
      <c r="R1571" s="10"/>
      <c r="S1571" s="10"/>
      <c r="T1571" s="10"/>
      <c r="U1571" s="10"/>
      <c r="V1571" s="10"/>
    </row>
    <row r="1572" ht="22.5" customHeight="1">
      <c r="A1572" s="5">
        <v>1.70709240874E11</v>
      </c>
      <c r="B1572" s="5" t="s">
        <v>205</v>
      </c>
      <c r="C1572" s="5">
        <v>51923187916</v>
      </c>
      <c r="D1572" s="5" t="s">
        <v>13</v>
      </c>
      <c r="E1572" s="5">
        <v>8.7547393E7</v>
      </c>
      <c r="F1572" s="5" t="s">
        <v>39</v>
      </c>
      <c r="G1572" s="5" t="s">
        <v>15</v>
      </c>
      <c r="H1572" s="5" t="s">
        <v>16</v>
      </c>
      <c r="I1572" s="6" t="s">
        <v>17</v>
      </c>
      <c r="J1572" s="7" t="s">
        <v>18</v>
      </c>
      <c r="K1572" s="7" t="s">
        <v>19</v>
      </c>
      <c r="L1572" s="8">
        <v>1.771562126718E12</v>
      </c>
      <c r="M1572" s="9"/>
      <c r="N1572" s="10"/>
      <c r="O1572" s="10"/>
      <c r="P1572" s="10"/>
      <c r="Q1572" s="10"/>
      <c r="R1572" s="10"/>
      <c r="S1572" s="10"/>
      <c r="T1572" s="10"/>
      <c r="U1572" s="10"/>
      <c r="V1572" s="10"/>
    </row>
    <row r="1573" ht="22.5" customHeight="1">
      <c r="A1573" s="5">
        <v>1.76852283137E11</v>
      </c>
      <c r="B1573" s="5" t="s">
        <v>370</v>
      </c>
      <c r="C1573" s="5">
        <v>51943026361</v>
      </c>
      <c r="D1573" s="5" t="s">
        <v>13</v>
      </c>
      <c r="E1573" s="5">
        <v>8.0566583E7</v>
      </c>
      <c r="F1573" s="5" t="s">
        <v>23</v>
      </c>
      <c r="G1573" s="5" t="s">
        <v>79</v>
      </c>
      <c r="H1573" s="5" t="s">
        <v>371</v>
      </c>
      <c r="I1573" s="6" t="s">
        <v>17</v>
      </c>
      <c r="J1573" s="7" t="s">
        <v>25</v>
      </c>
      <c r="K1573" s="7"/>
      <c r="L1573" s="8">
        <v>1.77156212674E12</v>
      </c>
      <c r="M1573" s="9"/>
      <c r="N1573" s="10"/>
      <c r="O1573" s="10"/>
      <c r="P1573" s="10"/>
      <c r="Q1573" s="10"/>
      <c r="R1573" s="10"/>
      <c r="S1573" s="10"/>
      <c r="T1573" s="10"/>
      <c r="U1573" s="10"/>
      <c r="V1573" s="10"/>
    </row>
    <row r="1574" ht="22.5" customHeight="1">
      <c r="A1574" s="5">
        <v>1.97810462087E11</v>
      </c>
      <c r="B1574" s="5" t="s">
        <v>993</v>
      </c>
      <c r="C1574" s="5">
        <v>51946846114</v>
      </c>
      <c r="D1574" s="5" t="s">
        <v>22</v>
      </c>
      <c r="E1574" s="5">
        <v>8.7547393E7</v>
      </c>
      <c r="F1574" s="5" t="s">
        <v>14</v>
      </c>
      <c r="G1574" s="5">
        <v>50</v>
      </c>
      <c r="H1574" s="5" t="s">
        <v>24</v>
      </c>
      <c r="I1574" s="6" t="s">
        <v>36</v>
      </c>
      <c r="J1574" s="7" t="s">
        <v>34</v>
      </c>
      <c r="K1574" s="7"/>
      <c r="L1574" s="8">
        <v>1.771562127139E12</v>
      </c>
      <c r="M1574" s="9"/>
      <c r="N1574" s="10"/>
      <c r="O1574" s="10"/>
      <c r="P1574" s="10"/>
      <c r="Q1574" s="10"/>
      <c r="R1574" s="10"/>
      <c r="S1574" s="10"/>
      <c r="T1574" s="10"/>
      <c r="U1574" s="10"/>
      <c r="V1574" s="10"/>
    </row>
    <row r="1575" ht="22.5" customHeight="1">
      <c r="A1575" s="5">
        <v>2.01092162357E11</v>
      </c>
      <c r="B1575" s="5" t="s">
        <v>1574</v>
      </c>
      <c r="C1575" s="5">
        <v>524493757741</v>
      </c>
      <c r="D1575" s="5" t="s">
        <v>13</v>
      </c>
      <c r="E1575" s="5">
        <v>8.0566583E7</v>
      </c>
      <c r="F1575" s="5" t="s">
        <v>687</v>
      </c>
      <c r="G1575" s="5" t="s">
        <v>15</v>
      </c>
      <c r="H1575" s="5" t="s">
        <v>16</v>
      </c>
      <c r="I1575" s="6" t="s">
        <v>17</v>
      </c>
      <c r="J1575" s="7" t="s">
        <v>18</v>
      </c>
      <c r="K1575" s="7" t="s">
        <v>61</v>
      </c>
      <c r="L1575" s="8">
        <v>1.771562126634E12</v>
      </c>
      <c r="M1575" s="9"/>
      <c r="N1575" s="10"/>
      <c r="O1575" s="10"/>
      <c r="P1575" s="10"/>
      <c r="Q1575" s="10"/>
      <c r="R1575" s="10"/>
      <c r="S1575" s="10"/>
      <c r="T1575" s="10"/>
      <c r="U1575" s="10"/>
      <c r="V1575" s="10"/>
    </row>
    <row r="1576" ht="22.5" customHeight="1">
      <c r="A1576" s="5">
        <v>1.55901182232E11</v>
      </c>
      <c r="B1576" s="5" t="s">
        <v>1492</v>
      </c>
      <c r="C1576" s="5">
        <v>51954782459</v>
      </c>
      <c r="D1576" s="5" t="s">
        <v>13</v>
      </c>
      <c r="E1576" s="5"/>
      <c r="F1576" s="5" t="s">
        <v>14</v>
      </c>
      <c r="G1576" s="5" t="s">
        <v>15</v>
      </c>
      <c r="H1576" s="5" t="s">
        <v>16</v>
      </c>
      <c r="I1576" s="6" t="s">
        <v>17</v>
      </c>
      <c r="J1576" s="7" t="s">
        <v>18</v>
      </c>
      <c r="K1576" s="7" t="s">
        <v>19</v>
      </c>
      <c r="L1576" s="8">
        <v>1.771562126562E12</v>
      </c>
      <c r="M1576" s="9"/>
      <c r="N1576" s="10"/>
      <c r="O1576" s="10"/>
      <c r="P1576" s="10"/>
      <c r="Q1576" s="10"/>
      <c r="R1576" s="10"/>
      <c r="S1576" s="10"/>
      <c r="T1576" s="10"/>
      <c r="U1576" s="10"/>
      <c r="V1576" s="10"/>
    </row>
    <row r="1577" ht="22.5" customHeight="1">
      <c r="A1577" s="5">
        <v>1.94536555526E11</v>
      </c>
      <c r="B1577" s="5" t="s">
        <v>1575</v>
      </c>
      <c r="C1577" s="5">
        <v>522871088456</v>
      </c>
      <c r="D1577" s="5" t="s">
        <v>13</v>
      </c>
      <c r="E1577" s="5">
        <v>8.7547393E7</v>
      </c>
      <c r="F1577" s="5" t="s">
        <v>1576</v>
      </c>
      <c r="G1577" s="5" t="s">
        <v>32</v>
      </c>
      <c r="H1577" s="5" t="s">
        <v>396</v>
      </c>
      <c r="I1577" s="6" t="s">
        <v>17</v>
      </c>
      <c r="J1577" s="7" t="s">
        <v>18</v>
      </c>
      <c r="K1577" s="7" t="s">
        <v>61</v>
      </c>
      <c r="L1577" s="8">
        <v>1.771562126379E12</v>
      </c>
      <c r="M1577" s="9"/>
      <c r="N1577" s="10"/>
      <c r="O1577" s="10"/>
      <c r="P1577" s="10"/>
      <c r="Q1577" s="10"/>
      <c r="R1577" s="10"/>
      <c r="S1577" s="10"/>
      <c r="T1577" s="10"/>
      <c r="U1577" s="10"/>
      <c r="V1577" s="10"/>
    </row>
    <row r="1578" ht="22.5" customHeight="1">
      <c r="A1578" s="5">
        <v>1.95825441693E11</v>
      </c>
      <c r="B1578" s="5" t="s">
        <v>1577</v>
      </c>
      <c r="C1578" s="5">
        <v>526673501842</v>
      </c>
      <c r="D1578" s="5" t="s">
        <v>22</v>
      </c>
      <c r="E1578" s="5">
        <v>8.7547393E7</v>
      </c>
      <c r="F1578" s="5" t="s">
        <v>687</v>
      </c>
      <c r="G1578" s="5" t="s">
        <v>79</v>
      </c>
      <c r="H1578" s="5" t="s">
        <v>114</v>
      </c>
      <c r="I1578" s="6" t="s">
        <v>17</v>
      </c>
      <c r="J1578" s="7" t="s">
        <v>25</v>
      </c>
      <c r="K1578" s="7"/>
      <c r="L1578" s="8">
        <v>1.771562126597E12</v>
      </c>
      <c r="M1578" s="9"/>
      <c r="N1578" s="10"/>
      <c r="O1578" s="10"/>
      <c r="P1578" s="10"/>
      <c r="Q1578" s="10"/>
      <c r="R1578" s="10"/>
      <c r="S1578" s="10"/>
      <c r="T1578" s="10"/>
      <c r="U1578" s="10"/>
      <c r="V1578" s="10"/>
    </row>
    <row r="1579" ht="22.5" customHeight="1">
      <c r="A1579" s="5">
        <v>2.00752227361E11</v>
      </c>
      <c r="B1579" s="5" t="s">
        <v>1578</v>
      </c>
      <c r="C1579" s="5">
        <v>51965814087</v>
      </c>
      <c r="D1579" s="5" t="s">
        <v>13</v>
      </c>
      <c r="E1579" s="5">
        <v>8.0566583E7</v>
      </c>
      <c r="F1579" s="5" t="s">
        <v>673</v>
      </c>
      <c r="G1579" s="5" t="s">
        <v>15</v>
      </c>
      <c r="H1579" s="5" t="s">
        <v>1579</v>
      </c>
      <c r="I1579" s="6" t="s">
        <v>36</v>
      </c>
      <c r="J1579" s="7" t="s">
        <v>34</v>
      </c>
      <c r="K1579" s="7"/>
      <c r="L1579" s="8">
        <v>1.77156212629E12</v>
      </c>
      <c r="M1579" s="9"/>
      <c r="N1579" s="10"/>
      <c r="O1579" s="10"/>
      <c r="P1579" s="10"/>
      <c r="Q1579" s="10"/>
      <c r="R1579" s="10"/>
      <c r="S1579" s="10"/>
      <c r="T1579" s="10"/>
      <c r="U1579" s="10"/>
      <c r="V1579" s="10"/>
    </row>
    <row r="1580" ht="22.5" customHeight="1">
      <c r="A1580" s="5">
        <v>1.76742203467E11</v>
      </c>
      <c r="B1580" s="5" t="s">
        <v>456</v>
      </c>
      <c r="C1580" s="5">
        <v>51904207771</v>
      </c>
      <c r="D1580" s="5" t="s">
        <v>13</v>
      </c>
      <c r="E1580" s="5">
        <v>8.7547393E7</v>
      </c>
      <c r="F1580" s="5" t="s">
        <v>28</v>
      </c>
      <c r="G1580" s="5" t="s">
        <v>32</v>
      </c>
      <c r="H1580" s="5" t="s">
        <v>66</v>
      </c>
      <c r="I1580" s="6" t="s">
        <v>17</v>
      </c>
      <c r="J1580" s="7" t="s">
        <v>18</v>
      </c>
      <c r="K1580" s="7" t="s">
        <v>19</v>
      </c>
      <c r="L1580" s="8">
        <v>1.771562126538E12</v>
      </c>
      <c r="M1580" s="9"/>
      <c r="N1580" s="10"/>
      <c r="O1580" s="10"/>
      <c r="P1580" s="10"/>
      <c r="Q1580" s="10"/>
      <c r="R1580" s="10"/>
      <c r="S1580" s="10"/>
      <c r="T1580" s="10"/>
      <c r="U1580" s="10"/>
      <c r="V1580" s="10"/>
    </row>
    <row r="1581" ht="22.5" customHeight="1">
      <c r="A1581" s="5">
        <v>1.64600634535E11</v>
      </c>
      <c r="B1581" s="5" t="s">
        <v>1224</v>
      </c>
      <c r="C1581" s="5">
        <v>51988567003</v>
      </c>
      <c r="D1581" s="5" t="s">
        <v>22</v>
      </c>
      <c r="E1581" s="5">
        <v>8.0566583E7</v>
      </c>
      <c r="F1581" s="5" t="s">
        <v>65</v>
      </c>
      <c r="G1581" s="5" t="s">
        <v>44</v>
      </c>
      <c r="H1581" s="5" t="s">
        <v>188</v>
      </c>
      <c r="I1581" s="6" t="s">
        <v>17</v>
      </c>
      <c r="J1581" s="7" t="s">
        <v>34</v>
      </c>
      <c r="K1581" s="7"/>
      <c r="L1581" s="8">
        <v>1.771562126383E12</v>
      </c>
      <c r="M1581" s="9"/>
      <c r="N1581" s="10"/>
      <c r="O1581" s="10"/>
      <c r="P1581" s="10"/>
      <c r="Q1581" s="10"/>
      <c r="R1581" s="10"/>
      <c r="S1581" s="10"/>
      <c r="T1581" s="10"/>
      <c r="U1581" s="10"/>
      <c r="V1581" s="10"/>
    </row>
    <row r="1582" ht="22.5" customHeight="1">
      <c r="A1582" s="5">
        <v>1.67448495619E11</v>
      </c>
      <c r="B1582" s="5" t="s">
        <v>589</v>
      </c>
      <c r="C1582" s="5">
        <v>51902893039</v>
      </c>
      <c r="D1582" s="5" t="s">
        <v>13</v>
      </c>
      <c r="E1582" s="5">
        <v>8.0566583E7</v>
      </c>
      <c r="F1582" s="5" t="s">
        <v>28</v>
      </c>
      <c r="G1582" s="5" t="s">
        <v>15</v>
      </c>
      <c r="H1582" s="5" t="s">
        <v>16</v>
      </c>
      <c r="I1582" s="6" t="s">
        <v>17</v>
      </c>
      <c r="J1582" s="7" t="s">
        <v>18</v>
      </c>
      <c r="K1582" s="7" t="s">
        <v>116</v>
      </c>
      <c r="L1582" s="8">
        <v>1.771562126164E12</v>
      </c>
      <c r="M1582" s="9"/>
      <c r="N1582" s="10"/>
      <c r="O1582" s="10"/>
      <c r="P1582" s="10"/>
      <c r="Q1582" s="10"/>
      <c r="R1582" s="10"/>
      <c r="S1582" s="10"/>
      <c r="T1582" s="10"/>
      <c r="U1582" s="10"/>
      <c r="V1582" s="10"/>
    </row>
    <row r="1583" ht="22.5" customHeight="1">
      <c r="A1583" s="5">
        <v>2.009904881E11</v>
      </c>
      <c r="B1583" s="5" t="s">
        <v>1580</v>
      </c>
      <c r="C1583" s="5">
        <v>51913955981</v>
      </c>
      <c r="D1583" s="5" t="s">
        <v>13</v>
      </c>
      <c r="E1583" s="5">
        <v>8.0566583E7</v>
      </c>
      <c r="F1583" s="5" t="s">
        <v>673</v>
      </c>
      <c r="G1583" s="5" t="s">
        <v>15</v>
      </c>
      <c r="H1583" s="5" t="s">
        <v>51</v>
      </c>
      <c r="I1583" s="6" t="s">
        <v>17</v>
      </c>
      <c r="J1583" s="7" t="s">
        <v>18</v>
      </c>
      <c r="K1583" s="7" t="s">
        <v>61</v>
      </c>
      <c r="L1583" s="8">
        <v>1.771562126579E12</v>
      </c>
      <c r="M1583" s="9"/>
      <c r="N1583" s="10"/>
      <c r="O1583" s="10"/>
      <c r="P1583" s="10"/>
      <c r="Q1583" s="10"/>
      <c r="R1583" s="10"/>
      <c r="S1583" s="10"/>
      <c r="T1583" s="10"/>
      <c r="U1583" s="10"/>
      <c r="V1583" s="10"/>
    </row>
    <row r="1584" ht="22.5" customHeight="1">
      <c r="A1584" s="5">
        <v>1.63159477318E11</v>
      </c>
      <c r="B1584" s="5" t="s">
        <v>232</v>
      </c>
      <c r="C1584" s="5">
        <v>51944241625</v>
      </c>
      <c r="D1584" s="5" t="s">
        <v>13</v>
      </c>
      <c r="E1584" s="5">
        <v>8.7547393E7</v>
      </c>
      <c r="F1584" s="5" t="s">
        <v>65</v>
      </c>
      <c r="G1584" s="5" t="s">
        <v>15</v>
      </c>
      <c r="H1584" s="5" t="s">
        <v>16</v>
      </c>
      <c r="I1584" s="6" t="s">
        <v>17</v>
      </c>
      <c r="J1584" s="7" t="s">
        <v>25</v>
      </c>
      <c r="K1584" s="7"/>
      <c r="L1584" s="8">
        <v>1.771562125879E12</v>
      </c>
      <c r="M1584" s="9"/>
      <c r="N1584" s="10"/>
      <c r="O1584" s="10"/>
      <c r="P1584" s="10"/>
      <c r="Q1584" s="10"/>
      <c r="R1584" s="10"/>
      <c r="S1584" s="10"/>
      <c r="T1584" s="10"/>
      <c r="U1584" s="10"/>
      <c r="V1584" s="10"/>
    </row>
    <row r="1585" ht="22.5" customHeight="1">
      <c r="A1585" s="5">
        <v>1.89194964561E11</v>
      </c>
      <c r="B1585" s="5" t="s">
        <v>1581</v>
      </c>
      <c r="C1585" s="5">
        <v>51971955238</v>
      </c>
      <c r="D1585" s="5" t="s">
        <v>22</v>
      </c>
      <c r="E1585" s="5">
        <v>8.0566583E7</v>
      </c>
      <c r="F1585" s="5" t="s">
        <v>1582</v>
      </c>
      <c r="G1585" s="5" t="s">
        <v>44</v>
      </c>
      <c r="H1585" s="5" t="s">
        <v>16</v>
      </c>
      <c r="I1585" s="6" t="s">
        <v>17</v>
      </c>
      <c r="J1585" s="7" t="s">
        <v>18</v>
      </c>
      <c r="K1585" s="7" t="s">
        <v>61</v>
      </c>
      <c r="L1585" s="8">
        <v>1.771562126545E12</v>
      </c>
      <c r="M1585" s="9"/>
      <c r="N1585" s="10"/>
      <c r="O1585" s="10"/>
      <c r="P1585" s="10"/>
      <c r="Q1585" s="10"/>
      <c r="R1585" s="10"/>
      <c r="S1585" s="10"/>
      <c r="T1585" s="10"/>
      <c r="U1585" s="10"/>
      <c r="V1585" s="10"/>
    </row>
    <row r="1586" ht="22.5" customHeight="1">
      <c r="A1586" s="5">
        <v>1.5496652609E11</v>
      </c>
      <c r="B1586" s="5" t="s">
        <v>1165</v>
      </c>
      <c r="C1586" s="5">
        <v>51967386843</v>
      </c>
      <c r="D1586" s="5" t="s">
        <v>13</v>
      </c>
      <c r="E1586" s="5">
        <v>8.7547393E7</v>
      </c>
      <c r="F1586" s="5" t="s">
        <v>65</v>
      </c>
      <c r="G1586" s="5" t="s">
        <v>32</v>
      </c>
      <c r="H1586" s="5" t="s">
        <v>114</v>
      </c>
      <c r="I1586" s="6" t="s">
        <v>17</v>
      </c>
      <c r="J1586" s="7" t="s">
        <v>18</v>
      </c>
      <c r="K1586" s="7" t="s">
        <v>116</v>
      </c>
      <c r="L1586" s="8">
        <v>1.771562126818E12</v>
      </c>
      <c r="M1586" s="9"/>
      <c r="N1586" s="10"/>
      <c r="O1586" s="10"/>
      <c r="P1586" s="10"/>
      <c r="Q1586" s="10"/>
      <c r="R1586" s="10"/>
      <c r="S1586" s="10"/>
      <c r="T1586" s="10"/>
      <c r="U1586" s="10"/>
      <c r="V1586" s="10"/>
    </row>
    <row r="1587" ht="22.5" customHeight="1">
      <c r="A1587" s="5">
        <v>1.73506584962E11</v>
      </c>
      <c r="B1587" s="5" t="s">
        <v>554</v>
      </c>
      <c r="C1587" s="5">
        <v>51939320691</v>
      </c>
      <c r="D1587" s="5" t="s">
        <v>13</v>
      </c>
      <c r="E1587" s="5">
        <v>8.0566583E7</v>
      </c>
      <c r="F1587" s="5" t="s">
        <v>28</v>
      </c>
      <c r="G1587" s="5" t="s">
        <v>32</v>
      </c>
      <c r="H1587" s="5" t="s">
        <v>24</v>
      </c>
      <c r="I1587" s="6" t="s">
        <v>17</v>
      </c>
      <c r="J1587" s="7" t="s">
        <v>18</v>
      </c>
      <c r="K1587" s="7" t="s">
        <v>116</v>
      </c>
      <c r="L1587" s="8">
        <v>1.771562126025E12</v>
      </c>
      <c r="M1587" s="9"/>
      <c r="N1587" s="10"/>
      <c r="O1587" s="10"/>
      <c r="P1587" s="10"/>
      <c r="Q1587" s="10"/>
      <c r="R1587" s="10"/>
      <c r="S1587" s="10"/>
      <c r="T1587" s="10"/>
      <c r="U1587" s="10"/>
      <c r="V1587" s="10"/>
    </row>
    <row r="1588" ht="22.5" customHeight="1">
      <c r="A1588" s="5">
        <v>2.00882390164E11</v>
      </c>
      <c r="B1588" s="5" t="s">
        <v>1583</v>
      </c>
      <c r="C1588" s="5">
        <v>51984175500</v>
      </c>
      <c r="D1588" s="5" t="s">
        <v>22</v>
      </c>
      <c r="E1588" s="5">
        <v>8.7547393E7</v>
      </c>
      <c r="F1588" s="5" t="s">
        <v>1572</v>
      </c>
      <c r="G1588" s="5" t="s">
        <v>104</v>
      </c>
      <c r="H1588" s="5" t="s">
        <v>24</v>
      </c>
      <c r="I1588" s="6" t="s">
        <v>17</v>
      </c>
      <c r="J1588" s="7" t="s">
        <v>34</v>
      </c>
      <c r="K1588" s="7"/>
      <c r="L1588" s="8">
        <v>1.771562126255E12</v>
      </c>
      <c r="M1588" s="9"/>
      <c r="N1588" s="10"/>
      <c r="O1588" s="10"/>
      <c r="P1588" s="10"/>
      <c r="Q1588" s="10"/>
      <c r="R1588" s="10"/>
      <c r="S1588" s="10"/>
      <c r="T1588" s="10"/>
      <c r="U1588" s="10"/>
      <c r="V1588" s="10"/>
    </row>
    <row r="1589" ht="22.5" customHeight="1">
      <c r="A1589" s="5">
        <v>2.00923273805E11</v>
      </c>
      <c r="B1589" s="5" t="s">
        <v>1584</v>
      </c>
      <c r="C1589" s="5">
        <v>524613066591</v>
      </c>
      <c r="D1589" s="5" t="s">
        <v>13</v>
      </c>
      <c r="E1589" s="5">
        <v>8.0566583E7</v>
      </c>
      <c r="F1589" s="5" t="s">
        <v>687</v>
      </c>
      <c r="G1589" s="5" t="s">
        <v>15</v>
      </c>
      <c r="H1589" s="5" t="s">
        <v>16</v>
      </c>
      <c r="I1589" s="6" t="s">
        <v>17</v>
      </c>
      <c r="J1589" s="7" t="s">
        <v>18</v>
      </c>
      <c r="K1589" s="7" t="s">
        <v>61</v>
      </c>
      <c r="L1589" s="8">
        <v>1.771562126125E12</v>
      </c>
      <c r="M1589" s="9"/>
      <c r="N1589" s="10"/>
      <c r="O1589" s="10"/>
      <c r="P1589" s="10"/>
      <c r="Q1589" s="10"/>
      <c r="R1589" s="10"/>
      <c r="S1589" s="10"/>
      <c r="T1589" s="10"/>
      <c r="U1589" s="10"/>
      <c r="V1589" s="10"/>
    </row>
    <row r="1590" ht="22.5" customHeight="1">
      <c r="A1590" s="5">
        <v>2.00849291079E11</v>
      </c>
      <c r="B1590" s="5" t="s">
        <v>1585</v>
      </c>
      <c r="C1590" s="5">
        <v>528139879896</v>
      </c>
      <c r="D1590" s="5" t="s">
        <v>13</v>
      </c>
      <c r="E1590" s="5">
        <v>8.7547393E7</v>
      </c>
      <c r="F1590" s="5" t="s">
        <v>673</v>
      </c>
      <c r="G1590" s="5" t="s">
        <v>15</v>
      </c>
      <c r="H1590" s="5" t="s">
        <v>114</v>
      </c>
      <c r="I1590" s="6" t="s">
        <v>17</v>
      </c>
      <c r="J1590" s="7" t="s">
        <v>18</v>
      </c>
      <c r="K1590" s="7" t="s">
        <v>61</v>
      </c>
      <c r="L1590" s="8">
        <v>1.771562126741E12</v>
      </c>
      <c r="M1590" s="9"/>
      <c r="N1590" s="10"/>
      <c r="O1590" s="10"/>
      <c r="P1590" s="10"/>
      <c r="Q1590" s="10"/>
      <c r="R1590" s="10"/>
      <c r="S1590" s="10"/>
      <c r="T1590" s="10"/>
      <c r="U1590" s="10"/>
      <c r="V1590" s="10"/>
    </row>
    <row r="1591" ht="22.5" customHeight="1">
      <c r="A1591" s="5">
        <v>1.92116932721E11</v>
      </c>
      <c r="B1591" s="5" t="s">
        <v>1586</v>
      </c>
      <c r="C1591" s="5">
        <v>51940296185</v>
      </c>
      <c r="D1591" s="5" t="s">
        <v>13</v>
      </c>
      <c r="E1591" s="5"/>
      <c r="F1591" s="5" t="s">
        <v>1587</v>
      </c>
      <c r="G1591" s="5" t="s">
        <v>15</v>
      </c>
      <c r="H1591" s="5" t="s">
        <v>16</v>
      </c>
      <c r="I1591" s="6" t="s">
        <v>148</v>
      </c>
      <c r="J1591" s="7" t="s">
        <v>18</v>
      </c>
      <c r="K1591" s="7" t="s">
        <v>19</v>
      </c>
      <c r="L1591" s="8">
        <v>1.771562127309E12</v>
      </c>
      <c r="M1591" s="9"/>
      <c r="N1591" s="10"/>
      <c r="O1591" s="10"/>
      <c r="P1591" s="10"/>
      <c r="Q1591" s="10"/>
      <c r="R1591" s="10"/>
      <c r="S1591" s="10"/>
      <c r="T1591" s="10"/>
      <c r="U1591" s="10"/>
      <c r="V1591" s="10"/>
    </row>
    <row r="1592" ht="22.5" customHeight="1">
      <c r="A1592" s="5">
        <v>1.64282352453E11</v>
      </c>
      <c r="B1592" s="5" t="s">
        <v>552</v>
      </c>
      <c r="C1592" s="5">
        <v>51997774083</v>
      </c>
      <c r="D1592" s="5" t="s">
        <v>13</v>
      </c>
      <c r="E1592" s="5">
        <v>7.9360573E7</v>
      </c>
      <c r="F1592" s="5" t="s">
        <v>28</v>
      </c>
      <c r="G1592" s="5" t="s">
        <v>15</v>
      </c>
      <c r="H1592" s="5" t="s">
        <v>24</v>
      </c>
      <c r="I1592" s="6" t="s">
        <v>17</v>
      </c>
      <c r="J1592" s="7" t="s">
        <v>34</v>
      </c>
      <c r="K1592" s="7"/>
      <c r="L1592" s="8">
        <v>1.771562125907E12</v>
      </c>
      <c r="M1592" s="9"/>
      <c r="N1592" s="10"/>
      <c r="O1592" s="10"/>
      <c r="P1592" s="10"/>
      <c r="Q1592" s="10"/>
      <c r="R1592" s="10"/>
      <c r="S1592" s="10"/>
      <c r="T1592" s="10"/>
      <c r="U1592" s="10"/>
      <c r="V1592" s="10"/>
    </row>
    <row r="1593" ht="22.5" customHeight="1">
      <c r="A1593" s="5">
        <v>1.99979908254E11</v>
      </c>
      <c r="B1593" s="5" t="s">
        <v>624</v>
      </c>
      <c r="C1593" s="5">
        <v>51952820007</v>
      </c>
      <c r="D1593" s="5" t="s">
        <v>13</v>
      </c>
      <c r="E1593" s="5">
        <v>8.7547393E7</v>
      </c>
      <c r="F1593" s="5" t="s">
        <v>23</v>
      </c>
      <c r="G1593" s="5" t="s">
        <v>79</v>
      </c>
      <c r="H1593" s="5" t="s">
        <v>114</v>
      </c>
      <c r="I1593" s="6" t="s">
        <v>148</v>
      </c>
      <c r="J1593" s="7" t="s">
        <v>34</v>
      </c>
      <c r="K1593" s="7"/>
      <c r="L1593" s="8">
        <v>1.771562125857E12</v>
      </c>
      <c r="M1593" s="9"/>
      <c r="N1593" s="10"/>
      <c r="O1593" s="10"/>
      <c r="P1593" s="10"/>
      <c r="Q1593" s="10"/>
      <c r="R1593" s="10"/>
      <c r="S1593" s="10"/>
      <c r="T1593" s="10"/>
      <c r="U1593" s="10"/>
      <c r="V1593" s="10"/>
    </row>
    <row r="1594" ht="22.5" customHeight="1">
      <c r="A1594" s="5">
        <v>5.0583861177E10</v>
      </c>
      <c r="B1594" s="5" t="s">
        <v>349</v>
      </c>
      <c r="C1594" s="5">
        <v>51979607880</v>
      </c>
      <c r="D1594" s="5" t="s">
        <v>13</v>
      </c>
      <c r="E1594" s="5">
        <v>8.0566583E7</v>
      </c>
      <c r="F1594" s="5" t="s">
        <v>28</v>
      </c>
      <c r="G1594" s="5" t="s">
        <v>15</v>
      </c>
      <c r="H1594" s="5" t="s">
        <v>350</v>
      </c>
      <c r="I1594" s="6" t="s">
        <v>17</v>
      </c>
      <c r="J1594" s="7" t="s">
        <v>18</v>
      </c>
      <c r="K1594" s="7" t="s">
        <v>19</v>
      </c>
      <c r="L1594" s="8">
        <v>1.771562126214E12</v>
      </c>
      <c r="M1594" s="9"/>
      <c r="N1594" s="10"/>
      <c r="O1594" s="10"/>
      <c r="P1594" s="10"/>
      <c r="Q1594" s="10"/>
      <c r="R1594" s="10"/>
      <c r="S1594" s="10"/>
      <c r="T1594" s="10"/>
      <c r="U1594" s="10"/>
      <c r="V1594" s="10"/>
    </row>
    <row r="1595" ht="22.5" customHeight="1">
      <c r="A1595" s="5">
        <v>1.77496815203E11</v>
      </c>
      <c r="B1595" s="5" t="s">
        <v>864</v>
      </c>
      <c r="C1595" s="5">
        <v>527221657643</v>
      </c>
      <c r="D1595" s="5" t="s">
        <v>13</v>
      </c>
      <c r="E1595" s="5">
        <v>8.7547393E7</v>
      </c>
      <c r="F1595" s="5" t="s">
        <v>42</v>
      </c>
      <c r="G1595" s="5" t="s">
        <v>15</v>
      </c>
      <c r="H1595" s="5" t="s">
        <v>51</v>
      </c>
      <c r="I1595" s="6" t="s">
        <v>63</v>
      </c>
      <c r="J1595" s="7" t="s">
        <v>18</v>
      </c>
      <c r="K1595" s="7" t="s">
        <v>76</v>
      </c>
      <c r="L1595" s="8">
        <v>1.771562126644E12</v>
      </c>
      <c r="M1595" s="9"/>
      <c r="N1595" s="10"/>
      <c r="O1595" s="10"/>
      <c r="P1595" s="10"/>
      <c r="Q1595" s="10"/>
      <c r="R1595" s="10"/>
      <c r="S1595" s="10"/>
      <c r="T1595" s="10"/>
      <c r="U1595" s="10"/>
      <c r="V1595" s="10"/>
    </row>
    <row r="1596" ht="22.5" customHeight="1">
      <c r="A1596" s="5">
        <v>1.56201536037E11</v>
      </c>
      <c r="B1596" s="5" t="s">
        <v>518</v>
      </c>
      <c r="C1596" s="5">
        <v>51921871327</v>
      </c>
      <c r="D1596" s="5" t="s">
        <v>13</v>
      </c>
      <c r="E1596" s="5">
        <v>8.0566583E7</v>
      </c>
      <c r="F1596" s="5" t="s">
        <v>65</v>
      </c>
      <c r="G1596" s="5" t="s">
        <v>15</v>
      </c>
      <c r="H1596" s="5" t="s">
        <v>16</v>
      </c>
      <c r="I1596" s="6" t="s">
        <v>17</v>
      </c>
      <c r="J1596" s="7" t="s">
        <v>25</v>
      </c>
      <c r="K1596" s="7"/>
      <c r="L1596" s="8">
        <v>1.771562125848E12</v>
      </c>
      <c r="M1596" s="9"/>
      <c r="N1596" s="10"/>
      <c r="O1596" s="10"/>
      <c r="P1596" s="10"/>
      <c r="Q1596" s="10"/>
      <c r="R1596" s="10"/>
      <c r="S1596" s="10"/>
      <c r="T1596" s="10"/>
      <c r="U1596" s="10"/>
      <c r="V1596" s="10"/>
    </row>
    <row r="1597" ht="22.5" customHeight="1">
      <c r="A1597" s="5">
        <v>1.99315742837E11</v>
      </c>
      <c r="B1597" s="5" t="s">
        <v>280</v>
      </c>
      <c r="C1597" s="5">
        <v>51940713934</v>
      </c>
      <c r="D1597" s="5" t="s">
        <v>13</v>
      </c>
      <c r="E1597" s="5">
        <v>8.7547393E7</v>
      </c>
      <c r="F1597" s="5" t="s">
        <v>14</v>
      </c>
      <c r="G1597" s="5" t="s">
        <v>32</v>
      </c>
      <c r="H1597" s="5" t="s">
        <v>16</v>
      </c>
      <c r="I1597" s="6" t="s">
        <v>17</v>
      </c>
      <c r="J1597" s="7" t="s">
        <v>34</v>
      </c>
      <c r="K1597" s="7"/>
      <c r="L1597" s="8">
        <v>1.771562126981E12</v>
      </c>
      <c r="M1597" s="9"/>
      <c r="N1597" s="10"/>
      <c r="O1597" s="10"/>
      <c r="P1597" s="10"/>
      <c r="Q1597" s="10"/>
      <c r="R1597" s="10"/>
      <c r="S1597" s="10"/>
      <c r="T1597" s="10"/>
      <c r="U1597" s="10"/>
      <c r="V1597" s="10"/>
    </row>
    <row r="1598" ht="22.5" customHeight="1">
      <c r="A1598" s="5">
        <v>1.64027430034E11</v>
      </c>
      <c r="B1598" s="5" t="s">
        <v>947</v>
      </c>
      <c r="C1598" s="5">
        <v>51906490654</v>
      </c>
      <c r="D1598" s="5" t="s">
        <v>13</v>
      </c>
      <c r="E1598" s="5"/>
      <c r="F1598" s="5" t="s">
        <v>23</v>
      </c>
      <c r="G1598" s="5" t="s">
        <v>32</v>
      </c>
      <c r="H1598" s="5" t="s">
        <v>253</v>
      </c>
      <c r="I1598" s="6" t="s">
        <v>17</v>
      </c>
      <c r="J1598" s="7" t="s">
        <v>34</v>
      </c>
      <c r="K1598" s="7"/>
      <c r="L1598" s="8">
        <v>1.771562127545E12</v>
      </c>
      <c r="M1598" s="9"/>
      <c r="N1598" s="10"/>
      <c r="O1598" s="10"/>
      <c r="P1598" s="10"/>
      <c r="Q1598" s="10"/>
      <c r="R1598" s="10"/>
      <c r="S1598" s="10"/>
      <c r="T1598" s="10"/>
      <c r="U1598" s="10"/>
      <c r="V1598" s="10"/>
    </row>
    <row r="1599" ht="22.5" customHeight="1">
      <c r="A1599" s="5">
        <v>2.00822667566E11</v>
      </c>
      <c r="B1599" s="5" t="s">
        <v>1588</v>
      </c>
      <c r="C1599" s="5">
        <v>51935604969</v>
      </c>
      <c r="D1599" s="5" t="s">
        <v>13</v>
      </c>
      <c r="E1599" s="5">
        <v>8.7547393E7</v>
      </c>
      <c r="F1599" s="5" t="s">
        <v>1568</v>
      </c>
      <c r="G1599" s="5" t="s">
        <v>32</v>
      </c>
      <c r="H1599" s="5" t="s">
        <v>69</v>
      </c>
      <c r="I1599" s="6" t="s">
        <v>17</v>
      </c>
      <c r="J1599" s="7" t="s">
        <v>34</v>
      </c>
      <c r="K1599" s="7"/>
      <c r="L1599" s="8">
        <v>1.771562126716E12</v>
      </c>
      <c r="M1599" s="9"/>
      <c r="N1599" s="10"/>
      <c r="O1599" s="10"/>
      <c r="P1599" s="10"/>
      <c r="Q1599" s="10"/>
      <c r="R1599" s="10"/>
      <c r="S1599" s="10"/>
      <c r="T1599" s="10"/>
      <c r="U1599" s="10"/>
      <c r="V1599" s="10"/>
    </row>
    <row r="1600" ht="22.5" customHeight="1">
      <c r="A1600" s="5">
        <v>2.01054743589E11</v>
      </c>
      <c r="B1600" s="5" t="s">
        <v>1589</v>
      </c>
      <c r="C1600" s="5">
        <v>528119933036</v>
      </c>
      <c r="D1600" s="5" t="s">
        <v>13</v>
      </c>
      <c r="E1600" s="5">
        <v>8.0566583E7</v>
      </c>
      <c r="F1600" s="5" t="s">
        <v>687</v>
      </c>
      <c r="G1600" s="5" t="s">
        <v>15</v>
      </c>
      <c r="H1600" s="5" t="s">
        <v>51</v>
      </c>
      <c r="I1600" s="6" t="s">
        <v>17</v>
      </c>
      <c r="J1600" s="7" t="s">
        <v>58</v>
      </c>
      <c r="K1600" s="11" t="s">
        <v>59</v>
      </c>
      <c r="L1600" s="8">
        <v>1.771562126409E12</v>
      </c>
      <c r="M1600" s="9"/>
      <c r="N1600" s="10"/>
      <c r="O1600" s="10"/>
      <c r="P1600" s="10"/>
      <c r="Q1600" s="10"/>
      <c r="R1600" s="10"/>
      <c r="S1600" s="10"/>
      <c r="T1600" s="10"/>
      <c r="U1600" s="10"/>
      <c r="V1600" s="10"/>
    </row>
    <row r="1601" ht="22.5" customHeight="1">
      <c r="A1601" s="5">
        <v>2.00854532616E11</v>
      </c>
      <c r="B1601" s="5" t="s">
        <v>1590</v>
      </c>
      <c r="C1601" s="5">
        <v>51991771905</v>
      </c>
      <c r="D1601" s="5" t="s">
        <v>13</v>
      </c>
      <c r="E1601" s="5">
        <v>8.0566583E7</v>
      </c>
      <c r="F1601" s="5" t="s">
        <v>1568</v>
      </c>
      <c r="G1601" s="5" t="s">
        <v>15</v>
      </c>
      <c r="H1601" s="5" t="s">
        <v>24</v>
      </c>
      <c r="I1601" s="6" t="s">
        <v>36</v>
      </c>
      <c r="J1601" s="7" t="s">
        <v>58</v>
      </c>
      <c r="K1601" s="11" t="s">
        <v>59</v>
      </c>
      <c r="L1601" s="8">
        <v>1.771562126681E12</v>
      </c>
      <c r="M1601" s="9"/>
      <c r="N1601" s="10"/>
      <c r="O1601" s="10"/>
      <c r="P1601" s="10"/>
      <c r="Q1601" s="10"/>
      <c r="R1601" s="10"/>
      <c r="S1601" s="10"/>
      <c r="T1601" s="10"/>
      <c r="U1601" s="10"/>
      <c r="V1601" s="10"/>
    </row>
    <row r="1602" ht="22.5" customHeight="1">
      <c r="A1602" s="5">
        <v>1.5510925327E11</v>
      </c>
      <c r="B1602" s="5" t="s">
        <v>1591</v>
      </c>
      <c r="C1602" s="5">
        <v>51942024813</v>
      </c>
      <c r="D1602" s="5" t="s">
        <v>13</v>
      </c>
      <c r="E1602" s="5">
        <v>8.7547393E7</v>
      </c>
      <c r="F1602" s="5" t="s">
        <v>1576</v>
      </c>
      <c r="G1602" s="5" t="s">
        <v>15</v>
      </c>
      <c r="H1602" s="5" t="s">
        <v>29</v>
      </c>
      <c r="I1602" s="6" t="s">
        <v>17</v>
      </c>
      <c r="J1602" s="7" t="s">
        <v>18</v>
      </c>
      <c r="K1602" s="7" t="s">
        <v>116</v>
      </c>
      <c r="L1602" s="8">
        <v>1.771562126724E12</v>
      </c>
      <c r="M1602" s="9"/>
      <c r="N1602" s="10"/>
      <c r="O1602" s="10"/>
      <c r="P1602" s="10"/>
      <c r="Q1602" s="10"/>
      <c r="R1602" s="10"/>
      <c r="S1602" s="10"/>
      <c r="T1602" s="10"/>
      <c r="U1602" s="10"/>
      <c r="V1602" s="10"/>
    </row>
    <row r="1603" ht="22.5" customHeight="1">
      <c r="A1603" s="5">
        <v>1.728052352E11</v>
      </c>
      <c r="B1603" s="5" t="s">
        <v>946</v>
      </c>
      <c r="C1603" s="5">
        <v>51997867734</v>
      </c>
      <c r="D1603" s="5" t="s">
        <v>13</v>
      </c>
      <c r="E1603" s="5">
        <v>8.7547393E7</v>
      </c>
      <c r="F1603" s="5" t="s">
        <v>510</v>
      </c>
      <c r="G1603" s="5" t="s">
        <v>15</v>
      </c>
      <c r="H1603" s="5" t="s">
        <v>51</v>
      </c>
      <c r="I1603" s="6" t="s">
        <v>17</v>
      </c>
      <c r="J1603" s="7" t="s">
        <v>18</v>
      </c>
      <c r="K1603" s="7" t="s">
        <v>116</v>
      </c>
      <c r="L1603" s="8">
        <v>1.771562126884E12</v>
      </c>
      <c r="M1603" s="9"/>
      <c r="N1603" s="10"/>
      <c r="O1603" s="10"/>
      <c r="P1603" s="10"/>
      <c r="Q1603" s="10"/>
      <c r="R1603" s="10"/>
      <c r="S1603" s="10"/>
      <c r="T1603" s="10"/>
      <c r="U1603" s="10"/>
      <c r="V1603" s="10"/>
    </row>
    <row r="1604" ht="22.5" customHeight="1">
      <c r="A1604" s="5">
        <v>1.87467257205E11</v>
      </c>
      <c r="B1604" s="5" t="s">
        <v>795</v>
      </c>
      <c r="C1604" s="5">
        <v>51974371553</v>
      </c>
      <c r="D1604" s="5" t="s">
        <v>22</v>
      </c>
      <c r="E1604" s="5">
        <v>8.0566583E7</v>
      </c>
      <c r="F1604" s="5" t="s">
        <v>28</v>
      </c>
      <c r="G1604" s="5" t="s">
        <v>104</v>
      </c>
      <c r="H1604" s="5"/>
      <c r="I1604" s="6"/>
      <c r="J1604" s="7" t="s">
        <v>34</v>
      </c>
      <c r="K1604" s="7"/>
      <c r="L1604" s="8">
        <v>1.771562126355E12</v>
      </c>
      <c r="M1604" s="9"/>
      <c r="N1604" s="10"/>
      <c r="O1604" s="10"/>
      <c r="P1604" s="10"/>
      <c r="Q1604" s="10"/>
      <c r="R1604" s="10"/>
      <c r="S1604" s="10"/>
      <c r="T1604" s="10"/>
      <c r="U1604" s="10"/>
      <c r="V1604" s="10"/>
    </row>
    <row r="1605" ht="22.5" customHeight="1">
      <c r="A1605" s="5">
        <v>1.99297513067E11</v>
      </c>
      <c r="B1605" s="5" t="s">
        <v>1592</v>
      </c>
      <c r="C1605" s="5">
        <v>51922762655</v>
      </c>
      <c r="D1605" s="5" t="s">
        <v>13</v>
      </c>
      <c r="E1605" s="5">
        <v>8.0566583E7</v>
      </c>
      <c r="F1605" s="5" t="s">
        <v>691</v>
      </c>
      <c r="G1605" s="5" t="s">
        <v>15</v>
      </c>
      <c r="H1605" s="5" t="s">
        <v>24</v>
      </c>
      <c r="I1605" s="6" t="s">
        <v>17</v>
      </c>
      <c r="J1605" s="7" t="s">
        <v>34</v>
      </c>
      <c r="K1605" s="7"/>
      <c r="L1605" s="8">
        <v>1.771562126296E12</v>
      </c>
      <c r="M1605" s="9"/>
      <c r="N1605" s="10"/>
      <c r="O1605" s="10"/>
      <c r="P1605" s="10"/>
      <c r="Q1605" s="10"/>
      <c r="R1605" s="10"/>
      <c r="S1605" s="10"/>
      <c r="T1605" s="10"/>
      <c r="U1605" s="10"/>
      <c r="V1605" s="10"/>
    </row>
    <row r="1606" ht="22.5" customHeight="1">
      <c r="A1606" s="5">
        <v>2.00915838371E11</v>
      </c>
      <c r="B1606" s="5" t="s">
        <v>1593</v>
      </c>
      <c r="C1606" s="5">
        <v>526673187787</v>
      </c>
      <c r="D1606" s="5" t="s">
        <v>22</v>
      </c>
      <c r="E1606" s="5">
        <v>8.0566583E7</v>
      </c>
      <c r="F1606" s="5" t="s">
        <v>1568</v>
      </c>
      <c r="G1606" s="5" t="s">
        <v>44</v>
      </c>
      <c r="H1606" s="5" t="s">
        <v>1478</v>
      </c>
      <c r="I1606" s="6" t="s">
        <v>17</v>
      </c>
      <c r="J1606" s="7" t="s">
        <v>18</v>
      </c>
      <c r="K1606" s="7" t="s">
        <v>61</v>
      </c>
      <c r="L1606" s="8">
        <v>1.77156212652E12</v>
      </c>
      <c r="M1606" s="9"/>
      <c r="N1606" s="10"/>
      <c r="O1606" s="10"/>
      <c r="P1606" s="10"/>
      <c r="Q1606" s="10"/>
      <c r="R1606" s="10"/>
      <c r="S1606" s="10"/>
      <c r="T1606" s="10"/>
      <c r="U1606" s="10"/>
      <c r="V1606" s="10"/>
    </row>
    <row r="1607" ht="22.5" customHeight="1">
      <c r="A1607" s="5">
        <v>2.00985265178E11</v>
      </c>
      <c r="B1607" s="5" t="s">
        <v>1594</v>
      </c>
      <c r="C1607" s="5">
        <v>51916279720</v>
      </c>
      <c r="D1607" s="5" t="s">
        <v>13</v>
      </c>
      <c r="E1607" s="5">
        <v>8.0566583E7</v>
      </c>
      <c r="F1607" s="5" t="s">
        <v>691</v>
      </c>
      <c r="G1607" s="5" t="s">
        <v>15</v>
      </c>
      <c r="H1607" s="5" t="s">
        <v>66</v>
      </c>
      <c r="I1607" s="6" t="s">
        <v>17</v>
      </c>
      <c r="J1607" s="7" t="s">
        <v>18</v>
      </c>
      <c r="K1607" s="7" t="s">
        <v>61</v>
      </c>
      <c r="L1607" s="8">
        <v>1.771562126532E12</v>
      </c>
      <c r="M1607" s="9"/>
      <c r="N1607" s="10"/>
      <c r="O1607" s="10"/>
      <c r="P1607" s="10"/>
      <c r="Q1607" s="10"/>
      <c r="R1607" s="10"/>
      <c r="S1607" s="10"/>
      <c r="T1607" s="10"/>
      <c r="U1607" s="10"/>
      <c r="V1607" s="10"/>
    </row>
    <row r="1608" ht="22.5" customHeight="1">
      <c r="A1608" s="5">
        <v>1.64105728106E11</v>
      </c>
      <c r="B1608" s="5" t="s">
        <v>375</v>
      </c>
      <c r="C1608" s="5">
        <v>51991690035</v>
      </c>
      <c r="D1608" s="5" t="s">
        <v>13</v>
      </c>
      <c r="E1608" s="5">
        <v>8.7547393E7</v>
      </c>
      <c r="F1608" s="5" t="s">
        <v>39</v>
      </c>
      <c r="G1608" s="5" t="s">
        <v>15</v>
      </c>
      <c r="H1608" s="5" t="s">
        <v>114</v>
      </c>
      <c r="I1608" s="6" t="s">
        <v>17</v>
      </c>
      <c r="J1608" s="7" t="s">
        <v>34</v>
      </c>
      <c r="K1608" s="7"/>
      <c r="L1608" s="8">
        <v>1.771562126215E12</v>
      </c>
      <c r="M1608" s="9"/>
      <c r="N1608" s="10"/>
      <c r="O1608" s="10"/>
      <c r="P1608" s="10"/>
      <c r="Q1608" s="10"/>
      <c r="R1608" s="10"/>
      <c r="S1608" s="10"/>
      <c r="T1608" s="10"/>
      <c r="U1608" s="10"/>
      <c r="V1608" s="10"/>
    </row>
    <row r="1609" ht="22.5" customHeight="1">
      <c r="A1609" s="5">
        <v>1.7733407681E11</v>
      </c>
      <c r="B1609" s="5" t="s">
        <v>1155</v>
      </c>
      <c r="C1609" s="5">
        <v>51951930134</v>
      </c>
      <c r="D1609" s="5" t="s">
        <v>38</v>
      </c>
      <c r="E1609" s="5"/>
      <c r="F1609" s="5"/>
      <c r="G1609" s="5"/>
      <c r="H1609" s="5"/>
      <c r="I1609" s="6"/>
      <c r="J1609" s="7" t="s">
        <v>34</v>
      </c>
      <c r="K1609" s="7"/>
      <c r="L1609" s="8">
        <v>1.771562126361E12</v>
      </c>
      <c r="M1609" s="9"/>
      <c r="N1609" s="10"/>
      <c r="O1609" s="10"/>
      <c r="P1609" s="10"/>
      <c r="Q1609" s="10"/>
      <c r="R1609" s="10"/>
      <c r="S1609" s="10"/>
      <c r="T1609" s="10"/>
      <c r="U1609" s="10"/>
      <c r="V1609" s="10"/>
    </row>
    <row r="1610" ht="22.5" customHeight="1">
      <c r="A1610" s="5">
        <v>1.54702531687E11</v>
      </c>
      <c r="B1610" s="5" t="s">
        <v>1328</v>
      </c>
      <c r="C1610" s="5">
        <v>51991303376</v>
      </c>
      <c r="D1610" s="5" t="s">
        <v>13</v>
      </c>
      <c r="E1610" s="5">
        <v>8.7547393E7</v>
      </c>
      <c r="F1610" s="5" t="s">
        <v>510</v>
      </c>
      <c r="G1610" s="5" t="s">
        <v>32</v>
      </c>
      <c r="H1610" s="5" t="s">
        <v>53</v>
      </c>
      <c r="I1610" s="6" t="s">
        <v>17</v>
      </c>
      <c r="J1610" s="7" t="s">
        <v>18</v>
      </c>
      <c r="K1610" s="7" t="s">
        <v>19</v>
      </c>
      <c r="L1610" s="8">
        <v>1.771562127002E12</v>
      </c>
      <c r="M1610" s="9"/>
      <c r="N1610" s="10"/>
      <c r="O1610" s="10"/>
      <c r="P1610" s="10"/>
      <c r="Q1610" s="10"/>
      <c r="R1610" s="10"/>
      <c r="S1610" s="10"/>
      <c r="T1610" s="10"/>
      <c r="U1610" s="10"/>
      <c r="V1610" s="10"/>
    </row>
    <row r="1611" ht="22.5" customHeight="1">
      <c r="A1611" s="5">
        <v>1.68387417256E11</v>
      </c>
      <c r="B1611" s="5" t="s">
        <v>741</v>
      </c>
      <c r="C1611" s="5">
        <v>51966630358</v>
      </c>
      <c r="D1611" s="5" t="s">
        <v>13</v>
      </c>
      <c r="E1611" s="5">
        <v>8.0566583E7</v>
      </c>
      <c r="F1611" s="5" t="s">
        <v>28</v>
      </c>
      <c r="G1611" s="5" t="s">
        <v>15</v>
      </c>
      <c r="H1611" s="5" t="s">
        <v>40</v>
      </c>
      <c r="I1611" s="6" t="s">
        <v>17</v>
      </c>
      <c r="J1611" s="7" t="s">
        <v>18</v>
      </c>
      <c r="K1611" s="7" t="s">
        <v>61</v>
      </c>
      <c r="L1611" s="8">
        <v>1.771562126478E12</v>
      </c>
      <c r="M1611" s="9"/>
      <c r="N1611" s="10"/>
      <c r="O1611" s="10"/>
      <c r="P1611" s="10"/>
      <c r="Q1611" s="10"/>
      <c r="R1611" s="10"/>
      <c r="S1611" s="10"/>
      <c r="T1611" s="10"/>
      <c r="U1611" s="10"/>
      <c r="V1611" s="10"/>
    </row>
    <row r="1612" ht="22.5" customHeight="1">
      <c r="A1612" s="5">
        <v>1.96244360823E11</v>
      </c>
      <c r="B1612" s="5" t="s">
        <v>393</v>
      </c>
      <c r="C1612" s="5">
        <v>51972610350</v>
      </c>
      <c r="D1612" s="5" t="s">
        <v>22</v>
      </c>
      <c r="E1612" s="5"/>
      <c r="F1612" s="5" t="s">
        <v>65</v>
      </c>
      <c r="G1612" s="5" t="s">
        <v>104</v>
      </c>
      <c r="H1612" s="5"/>
      <c r="I1612" s="6"/>
      <c r="J1612" s="7" t="s">
        <v>34</v>
      </c>
      <c r="K1612" s="7"/>
      <c r="L1612" s="8">
        <v>1.771562126885E12</v>
      </c>
      <c r="M1612" s="9"/>
      <c r="N1612" s="10"/>
      <c r="O1612" s="10"/>
      <c r="P1612" s="10"/>
      <c r="Q1612" s="10"/>
      <c r="R1612" s="10"/>
      <c r="S1612" s="10"/>
      <c r="T1612" s="10"/>
      <c r="U1612" s="10"/>
      <c r="V1612" s="10"/>
    </row>
    <row r="1613" ht="22.5" customHeight="1">
      <c r="A1613" s="5">
        <v>2.03104404305E11</v>
      </c>
      <c r="B1613" s="5" t="s">
        <v>1258</v>
      </c>
      <c r="C1613" s="5">
        <v>51950220832</v>
      </c>
      <c r="D1613" s="5" t="s">
        <v>103</v>
      </c>
      <c r="E1613" s="5">
        <v>8.0566583E7</v>
      </c>
      <c r="F1613" s="5" t="s">
        <v>259</v>
      </c>
      <c r="G1613" s="5" t="s">
        <v>79</v>
      </c>
      <c r="H1613" s="5" t="s">
        <v>55</v>
      </c>
      <c r="I1613" s="6" t="s">
        <v>17</v>
      </c>
      <c r="J1613" s="7" t="s">
        <v>34</v>
      </c>
      <c r="K1613" s="7"/>
      <c r="L1613" s="8">
        <v>1.771562127194E12</v>
      </c>
      <c r="M1613" s="9"/>
      <c r="N1613" s="10"/>
      <c r="O1613" s="10"/>
      <c r="P1613" s="10"/>
      <c r="Q1613" s="10"/>
      <c r="R1613" s="10"/>
      <c r="S1613" s="10"/>
      <c r="T1613" s="10"/>
      <c r="U1613" s="10"/>
      <c r="V1613" s="10"/>
    </row>
    <row r="1614" ht="22.5" customHeight="1">
      <c r="A1614" s="5">
        <v>1.69314497845E11</v>
      </c>
      <c r="B1614" s="5" t="s">
        <v>585</v>
      </c>
      <c r="C1614" s="5">
        <v>51983994185</v>
      </c>
      <c r="D1614" s="5" t="s">
        <v>38</v>
      </c>
      <c r="E1614" s="5"/>
      <c r="F1614" s="5"/>
      <c r="G1614" s="5"/>
      <c r="H1614" s="5"/>
      <c r="I1614" s="6"/>
      <c r="J1614" s="7" t="s">
        <v>18</v>
      </c>
      <c r="K1614" s="7" t="s">
        <v>19</v>
      </c>
      <c r="L1614" s="8">
        <v>1.771562126639E12</v>
      </c>
      <c r="M1614" s="9"/>
      <c r="N1614" s="10"/>
      <c r="O1614" s="10"/>
      <c r="P1614" s="10"/>
      <c r="Q1614" s="10"/>
      <c r="R1614" s="10"/>
      <c r="S1614" s="10"/>
      <c r="T1614" s="10"/>
      <c r="U1614" s="10"/>
      <c r="V1614" s="10"/>
    </row>
    <row r="1615" ht="22.5" customHeight="1">
      <c r="A1615" s="5">
        <v>2.0092181334E11</v>
      </c>
      <c r="B1615" s="5" t="s">
        <v>1595</v>
      </c>
      <c r="C1615" s="5">
        <v>526623407622</v>
      </c>
      <c r="D1615" s="5" t="s">
        <v>13</v>
      </c>
      <c r="E1615" s="5">
        <v>8.7547393E7</v>
      </c>
      <c r="F1615" s="5" t="s">
        <v>1568</v>
      </c>
      <c r="G1615" s="5" t="s">
        <v>15</v>
      </c>
      <c r="H1615" s="5" t="s">
        <v>66</v>
      </c>
      <c r="I1615" s="6" t="s">
        <v>17</v>
      </c>
      <c r="J1615" s="7" t="s">
        <v>34</v>
      </c>
      <c r="K1615" s="7"/>
      <c r="L1615" s="8">
        <v>1.771562126657E12</v>
      </c>
      <c r="M1615" s="9"/>
      <c r="N1615" s="10"/>
      <c r="O1615" s="10"/>
      <c r="P1615" s="10"/>
      <c r="Q1615" s="10"/>
      <c r="R1615" s="10"/>
      <c r="S1615" s="10"/>
      <c r="T1615" s="10"/>
      <c r="U1615" s="10"/>
      <c r="V1615" s="10"/>
    </row>
    <row r="1616" ht="22.5" customHeight="1">
      <c r="A1616" s="5">
        <v>1.63945600905E11</v>
      </c>
      <c r="B1616" s="5" t="s">
        <v>410</v>
      </c>
      <c r="C1616" s="5">
        <v>51931286144</v>
      </c>
      <c r="D1616" s="5" t="s">
        <v>13</v>
      </c>
      <c r="E1616" s="5">
        <v>8.7547393E7</v>
      </c>
      <c r="F1616" s="5" t="s">
        <v>28</v>
      </c>
      <c r="G1616" s="5" t="s">
        <v>15</v>
      </c>
      <c r="H1616" s="5" t="s">
        <v>51</v>
      </c>
      <c r="I1616" s="6" t="s">
        <v>17</v>
      </c>
      <c r="J1616" s="7" t="s">
        <v>25</v>
      </c>
      <c r="K1616" s="7"/>
      <c r="L1616" s="8">
        <v>1.771562126445E12</v>
      </c>
      <c r="M1616" s="9"/>
      <c r="N1616" s="10"/>
      <c r="O1616" s="10"/>
      <c r="P1616" s="10"/>
      <c r="Q1616" s="10"/>
      <c r="R1616" s="10"/>
      <c r="S1616" s="10"/>
      <c r="T1616" s="10"/>
      <c r="U1616" s="10"/>
      <c r="V1616" s="10"/>
    </row>
    <row r="1617" ht="22.5" customHeight="1">
      <c r="A1617" s="5">
        <v>1.7569255261E11</v>
      </c>
      <c r="B1617" s="5" t="s">
        <v>434</v>
      </c>
      <c r="C1617" s="5">
        <v>5516997712075</v>
      </c>
      <c r="D1617" s="5" t="s">
        <v>13</v>
      </c>
      <c r="E1617" s="5">
        <v>7.9360573E7</v>
      </c>
      <c r="F1617" s="5" t="s">
        <v>28</v>
      </c>
      <c r="G1617" s="5" t="s">
        <v>260</v>
      </c>
      <c r="H1617" s="5" t="s">
        <v>114</v>
      </c>
      <c r="I1617" s="6" t="s">
        <v>49</v>
      </c>
      <c r="J1617" s="7" t="s">
        <v>34</v>
      </c>
      <c r="K1617" s="7"/>
      <c r="L1617" s="8">
        <v>1.771562126657E12</v>
      </c>
      <c r="M1617" s="9"/>
      <c r="N1617" s="10"/>
      <c r="O1617" s="10"/>
      <c r="P1617" s="10"/>
      <c r="Q1617" s="10"/>
      <c r="R1617" s="10"/>
      <c r="S1617" s="10"/>
      <c r="T1617" s="10"/>
      <c r="U1617" s="10"/>
      <c r="V1617" s="10"/>
    </row>
    <row r="1618" ht="22.5" customHeight="1">
      <c r="A1618" s="5">
        <v>2.00990845583E11</v>
      </c>
      <c r="B1618" s="5" t="s">
        <v>1596</v>
      </c>
      <c r="C1618" s="5">
        <v>51970544155</v>
      </c>
      <c r="D1618" s="5" t="s">
        <v>13</v>
      </c>
      <c r="E1618" s="5">
        <v>8.0566583E7</v>
      </c>
      <c r="F1618" s="5" t="s">
        <v>1568</v>
      </c>
      <c r="G1618" s="5" t="s">
        <v>32</v>
      </c>
      <c r="H1618" s="5" t="s">
        <v>114</v>
      </c>
      <c r="I1618" s="6" t="s">
        <v>17</v>
      </c>
      <c r="J1618" s="7" t="s">
        <v>18</v>
      </c>
      <c r="K1618" s="7" t="s">
        <v>61</v>
      </c>
      <c r="L1618" s="8">
        <v>1.771562126185E12</v>
      </c>
      <c r="M1618" s="9"/>
      <c r="N1618" s="10"/>
      <c r="O1618" s="10"/>
      <c r="P1618" s="10"/>
      <c r="Q1618" s="10"/>
      <c r="R1618" s="10"/>
      <c r="S1618" s="10"/>
      <c r="T1618" s="10"/>
      <c r="U1618" s="10"/>
      <c r="V1618" s="10"/>
    </row>
    <row r="1619" ht="22.5" customHeight="1">
      <c r="A1619" s="5">
        <v>2.0101269207E11</v>
      </c>
      <c r="B1619" s="5" t="s">
        <v>1597</v>
      </c>
      <c r="C1619" s="5">
        <v>51938356628</v>
      </c>
      <c r="D1619" s="5" t="s">
        <v>13</v>
      </c>
      <c r="E1619" s="5">
        <v>8.0566583E7</v>
      </c>
      <c r="F1619" s="5" t="s">
        <v>687</v>
      </c>
      <c r="G1619" s="5" t="s">
        <v>15</v>
      </c>
      <c r="H1619" s="5" t="s">
        <v>24</v>
      </c>
      <c r="I1619" s="6" t="s">
        <v>17</v>
      </c>
      <c r="J1619" s="7" t="s">
        <v>58</v>
      </c>
      <c r="K1619" s="11" t="s">
        <v>59</v>
      </c>
      <c r="L1619" s="8">
        <v>1.771562126312E12</v>
      </c>
      <c r="M1619" s="9"/>
      <c r="N1619" s="10"/>
      <c r="O1619" s="10"/>
      <c r="P1619" s="10"/>
      <c r="Q1619" s="10"/>
      <c r="R1619" s="10"/>
      <c r="S1619" s="10"/>
      <c r="T1619" s="10"/>
      <c r="U1619" s="10"/>
      <c r="V1619" s="10"/>
    </row>
    <row r="1620" ht="22.5" customHeight="1">
      <c r="A1620" s="5">
        <v>1.55675717036E11</v>
      </c>
      <c r="B1620" s="5" t="s">
        <v>834</v>
      </c>
      <c r="C1620" s="5">
        <v>51995995120</v>
      </c>
      <c r="D1620" s="5" t="s">
        <v>13</v>
      </c>
      <c r="E1620" s="5">
        <v>8.7547393E7</v>
      </c>
      <c r="F1620" s="5" t="s">
        <v>259</v>
      </c>
      <c r="G1620" s="5" t="s">
        <v>15</v>
      </c>
      <c r="H1620" s="5" t="s">
        <v>51</v>
      </c>
      <c r="I1620" s="6" t="s">
        <v>17</v>
      </c>
      <c r="J1620" s="7" t="s">
        <v>18</v>
      </c>
      <c r="K1620" s="7" t="s">
        <v>116</v>
      </c>
      <c r="L1620" s="8">
        <v>1.771562126125E12</v>
      </c>
      <c r="M1620" s="9"/>
      <c r="N1620" s="10"/>
      <c r="O1620" s="10"/>
      <c r="P1620" s="10"/>
      <c r="Q1620" s="10"/>
      <c r="R1620" s="10"/>
      <c r="S1620" s="10"/>
      <c r="T1620" s="10"/>
      <c r="U1620" s="10"/>
      <c r="V1620" s="10"/>
    </row>
    <row r="1621" ht="22.5" customHeight="1">
      <c r="A1621" s="5">
        <v>1.71055376055E11</v>
      </c>
      <c r="B1621" s="5" t="s">
        <v>315</v>
      </c>
      <c r="C1621" s="5">
        <v>5581999832887</v>
      </c>
      <c r="D1621" s="5" t="s">
        <v>103</v>
      </c>
      <c r="E1621" s="5">
        <v>7.9360573E7</v>
      </c>
      <c r="F1621" s="5" t="s">
        <v>39</v>
      </c>
      <c r="G1621" s="5" t="s">
        <v>79</v>
      </c>
      <c r="H1621" s="5" t="s">
        <v>112</v>
      </c>
      <c r="I1621" s="6" t="s">
        <v>63</v>
      </c>
      <c r="J1621" s="7" t="s">
        <v>58</v>
      </c>
      <c r="K1621" s="11" t="s">
        <v>59</v>
      </c>
      <c r="L1621" s="8">
        <v>1.771562126585E12</v>
      </c>
      <c r="M1621" s="9"/>
      <c r="N1621" s="10"/>
      <c r="O1621" s="10"/>
      <c r="P1621" s="10"/>
      <c r="Q1621" s="10"/>
      <c r="R1621" s="10"/>
      <c r="S1621" s="10"/>
      <c r="T1621" s="10"/>
      <c r="U1621" s="10"/>
      <c r="V1621" s="10"/>
    </row>
    <row r="1622" ht="22.5" customHeight="1">
      <c r="A1622" s="5">
        <v>1.96795554202E11</v>
      </c>
      <c r="B1622" s="5" t="s">
        <v>778</v>
      </c>
      <c r="C1622" s="5">
        <v>573103571775</v>
      </c>
      <c r="D1622" s="5" t="s">
        <v>38</v>
      </c>
      <c r="E1622" s="5"/>
      <c r="F1622" s="5"/>
      <c r="G1622" s="5"/>
      <c r="H1622" s="5"/>
      <c r="I1622" s="6"/>
      <c r="J1622" s="7" t="s">
        <v>34</v>
      </c>
      <c r="K1622" s="7"/>
      <c r="L1622" s="8">
        <v>1.771562127199E12</v>
      </c>
      <c r="M1622" s="9"/>
      <c r="N1622" s="10"/>
      <c r="O1622" s="10"/>
      <c r="P1622" s="10"/>
      <c r="Q1622" s="10"/>
      <c r="R1622" s="10"/>
      <c r="S1622" s="10"/>
      <c r="T1622" s="10"/>
      <c r="U1622" s="10"/>
      <c r="V1622" s="10"/>
    </row>
    <row r="1623" ht="22.5" customHeight="1">
      <c r="A1623" s="5">
        <v>1.27186052215E11</v>
      </c>
      <c r="B1623" s="5" t="s">
        <v>907</v>
      </c>
      <c r="C1623" s="5">
        <v>51997157417</v>
      </c>
      <c r="D1623" s="5" t="s">
        <v>38</v>
      </c>
      <c r="E1623" s="5"/>
      <c r="F1623" s="5" t="s">
        <v>714</v>
      </c>
      <c r="G1623" s="5" t="s">
        <v>15</v>
      </c>
      <c r="H1623" s="5"/>
      <c r="I1623" s="6"/>
      <c r="J1623" s="7" t="s">
        <v>34</v>
      </c>
      <c r="K1623" s="7"/>
      <c r="L1623" s="8">
        <v>1.771562127068E12</v>
      </c>
      <c r="M1623" s="9"/>
      <c r="N1623" s="10"/>
      <c r="O1623" s="10"/>
      <c r="P1623" s="10"/>
      <c r="Q1623" s="10"/>
      <c r="R1623" s="10"/>
      <c r="S1623" s="10"/>
      <c r="T1623" s="10"/>
      <c r="U1623" s="10"/>
      <c r="V1623" s="10"/>
    </row>
    <row r="1624" ht="22.5" customHeight="1">
      <c r="A1624" s="5">
        <v>1.54617839175E11</v>
      </c>
      <c r="B1624" s="5" t="s">
        <v>318</v>
      </c>
      <c r="C1624" s="5">
        <v>51997122044</v>
      </c>
      <c r="D1624" s="5" t="s">
        <v>13</v>
      </c>
      <c r="E1624" s="5"/>
      <c r="F1624" s="5" t="s">
        <v>42</v>
      </c>
      <c r="G1624" s="5" t="s">
        <v>15</v>
      </c>
      <c r="H1624" s="5" t="s">
        <v>51</v>
      </c>
      <c r="I1624" s="6" t="s">
        <v>17</v>
      </c>
      <c r="J1624" s="7" t="s">
        <v>34</v>
      </c>
      <c r="K1624" s="7"/>
      <c r="L1624" s="8">
        <v>1.771562126728E12</v>
      </c>
      <c r="M1624" s="9"/>
      <c r="N1624" s="10"/>
      <c r="O1624" s="10"/>
      <c r="P1624" s="10"/>
      <c r="Q1624" s="10"/>
      <c r="R1624" s="10"/>
      <c r="S1624" s="10"/>
      <c r="T1624" s="10"/>
      <c r="U1624" s="10"/>
      <c r="V1624" s="10"/>
    </row>
    <row r="1625" ht="22.5" customHeight="1">
      <c r="A1625" s="5">
        <v>2.00880435342E11</v>
      </c>
      <c r="B1625" s="5" t="s">
        <v>1598</v>
      </c>
      <c r="C1625" s="5">
        <v>595971984388</v>
      </c>
      <c r="D1625" s="5" t="s">
        <v>13</v>
      </c>
      <c r="E1625" s="5">
        <v>8.0566583E7</v>
      </c>
      <c r="F1625" s="5" t="s">
        <v>1572</v>
      </c>
      <c r="G1625" s="5" t="s">
        <v>44</v>
      </c>
      <c r="H1625" s="5" t="s">
        <v>24</v>
      </c>
      <c r="I1625" s="6" t="s">
        <v>36</v>
      </c>
      <c r="J1625" s="7" t="s">
        <v>34</v>
      </c>
      <c r="K1625" s="7"/>
      <c r="L1625" s="8">
        <v>1.771562126299E12</v>
      </c>
      <c r="M1625" s="9"/>
      <c r="N1625" s="10"/>
      <c r="O1625" s="10"/>
      <c r="P1625" s="10"/>
      <c r="Q1625" s="10"/>
      <c r="R1625" s="10"/>
      <c r="S1625" s="10"/>
      <c r="T1625" s="10"/>
      <c r="U1625" s="10"/>
      <c r="V1625" s="10"/>
    </row>
    <row r="1626" ht="22.5" customHeight="1">
      <c r="A1626" s="5">
        <v>1.67437842257E11</v>
      </c>
      <c r="B1626" s="5" t="s">
        <v>483</v>
      </c>
      <c r="C1626" s="5">
        <v>51999222575</v>
      </c>
      <c r="D1626" s="5" t="s">
        <v>13</v>
      </c>
      <c r="E1626" s="5">
        <v>8.7547393E7</v>
      </c>
      <c r="F1626" s="5" t="s">
        <v>39</v>
      </c>
      <c r="G1626" s="5" t="s">
        <v>32</v>
      </c>
      <c r="H1626" s="5" t="s">
        <v>16</v>
      </c>
      <c r="I1626" s="6" t="s">
        <v>17</v>
      </c>
      <c r="J1626" s="7" t="s">
        <v>18</v>
      </c>
      <c r="K1626" s="7" t="s">
        <v>19</v>
      </c>
      <c r="L1626" s="8">
        <v>1.77156212711E12</v>
      </c>
      <c r="M1626" s="9"/>
      <c r="N1626" s="10"/>
      <c r="O1626" s="10"/>
      <c r="P1626" s="10"/>
      <c r="Q1626" s="10"/>
      <c r="R1626" s="10"/>
      <c r="S1626" s="10"/>
      <c r="T1626" s="10"/>
      <c r="U1626" s="10"/>
      <c r="V1626" s="10"/>
    </row>
    <row r="1627" ht="22.5" customHeight="1">
      <c r="A1627" s="5">
        <v>1.6518448859E11</v>
      </c>
      <c r="B1627" s="5" t="s">
        <v>987</v>
      </c>
      <c r="C1627" s="5">
        <v>51978616342</v>
      </c>
      <c r="D1627" s="5" t="s">
        <v>13</v>
      </c>
      <c r="E1627" s="5">
        <v>8.7547393E7</v>
      </c>
      <c r="F1627" s="5" t="s">
        <v>259</v>
      </c>
      <c r="G1627" s="5" t="s">
        <v>15</v>
      </c>
      <c r="H1627" s="5" t="s">
        <v>33</v>
      </c>
      <c r="I1627" s="6" t="s">
        <v>17</v>
      </c>
      <c r="J1627" s="7" t="s">
        <v>18</v>
      </c>
      <c r="K1627" s="7" t="s">
        <v>116</v>
      </c>
      <c r="L1627" s="8">
        <v>1.771562126303E12</v>
      </c>
      <c r="M1627" s="9"/>
      <c r="N1627" s="10"/>
      <c r="O1627" s="10"/>
      <c r="P1627" s="10"/>
      <c r="Q1627" s="10"/>
      <c r="R1627" s="10"/>
      <c r="S1627" s="10"/>
      <c r="T1627" s="10"/>
      <c r="U1627" s="10"/>
      <c r="V1627" s="10"/>
    </row>
    <row r="1628" ht="22.5" customHeight="1">
      <c r="A1628" s="5">
        <v>2.00825481246E11</v>
      </c>
      <c r="B1628" s="5" t="s">
        <v>1599</v>
      </c>
      <c r="C1628" s="5">
        <v>51967427067</v>
      </c>
      <c r="D1628" s="5" t="s">
        <v>13</v>
      </c>
      <c r="E1628" s="5">
        <v>8.0566583E7</v>
      </c>
      <c r="F1628" s="5" t="s">
        <v>687</v>
      </c>
      <c r="G1628" s="5" t="s">
        <v>15</v>
      </c>
      <c r="H1628" s="5" t="s">
        <v>80</v>
      </c>
      <c r="I1628" s="6" t="s">
        <v>49</v>
      </c>
      <c r="J1628" s="7" t="s">
        <v>34</v>
      </c>
      <c r="K1628" s="7"/>
      <c r="L1628" s="8">
        <v>1.7715621273E12</v>
      </c>
      <c r="M1628" s="9"/>
      <c r="N1628" s="10"/>
      <c r="O1628" s="10"/>
      <c r="P1628" s="10"/>
      <c r="Q1628" s="10"/>
      <c r="R1628" s="10"/>
      <c r="S1628" s="10"/>
      <c r="T1628" s="10"/>
      <c r="U1628" s="10"/>
      <c r="V1628" s="10"/>
    </row>
    <row r="1629" ht="22.5" customHeight="1">
      <c r="A1629" s="5">
        <v>1.44714412211E11</v>
      </c>
      <c r="B1629" s="5" t="s">
        <v>603</v>
      </c>
      <c r="C1629" s="5">
        <v>51977219427</v>
      </c>
      <c r="D1629" s="5" t="s">
        <v>13</v>
      </c>
      <c r="E1629" s="5">
        <v>8.7547393E7</v>
      </c>
      <c r="F1629" s="5" t="s">
        <v>82</v>
      </c>
      <c r="G1629" s="5" t="s">
        <v>15</v>
      </c>
      <c r="H1629" s="5" t="s">
        <v>24</v>
      </c>
      <c r="I1629" s="6" t="s">
        <v>17</v>
      </c>
      <c r="J1629" s="7" t="s">
        <v>18</v>
      </c>
      <c r="K1629" s="7" t="s">
        <v>19</v>
      </c>
      <c r="L1629" s="8">
        <v>1.771562126643E12</v>
      </c>
      <c r="M1629" s="9"/>
      <c r="N1629" s="10"/>
      <c r="O1629" s="10"/>
      <c r="P1629" s="10"/>
      <c r="Q1629" s="10"/>
      <c r="R1629" s="10"/>
      <c r="S1629" s="10"/>
      <c r="T1629" s="10"/>
      <c r="U1629" s="10"/>
      <c r="V1629" s="10"/>
    </row>
    <row r="1630" ht="22.5" customHeight="1">
      <c r="A1630" s="5">
        <v>1.60919350424E11</v>
      </c>
      <c r="B1630" s="5" t="s">
        <v>309</v>
      </c>
      <c r="C1630" s="5">
        <v>51991845454</v>
      </c>
      <c r="D1630" s="5" t="s">
        <v>13</v>
      </c>
      <c r="E1630" s="5">
        <v>8.7547393E7</v>
      </c>
      <c r="F1630" s="5" t="s">
        <v>23</v>
      </c>
      <c r="G1630" s="5" t="s">
        <v>15</v>
      </c>
      <c r="H1630" s="5" t="s">
        <v>66</v>
      </c>
      <c r="I1630" s="6" t="s">
        <v>17</v>
      </c>
      <c r="J1630" s="7" t="s">
        <v>18</v>
      </c>
      <c r="K1630" s="7" t="s">
        <v>19</v>
      </c>
      <c r="L1630" s="8">
        <v>1.771562125871E12</v>
      </c>
      <c r="M1630" s="9"/>
      <c r="N1630" s="10"/>
      <c r="O1630" s="10"/>
      <c r="P1630" s="10"/>
      <c r="Q1630" s="10"/>
      <c r="R1630" s="10"/>
      <c r="S1630" s="10"/>
      <c r="T1630" s="10"/>
      <c r="U1630" s="10"/>
      <c r="V1630" s="10"/>
    </row>
    <row r="1631" ht="22.5" customHeight="1">
      <c r="A1631" s="5">
        <v>1.41630051484E11</v>
      </c>
      <c r="B1631" s="5" t="s">
        <v>447</v>
      </c>
      <c r="C1631" s="5">
        <v>51970434091</v>
      </c>
      <c r="D1631" s="5" t="s">
        <v>13</v>
      </c>
      <c r="E1631" s="5">
        <v>8.0566583E7</v>
      </c>
      <c r="F1631" s="5" t="s">
        <v>23</v>
      </c>
      <c r="G1631" s="5" t="s">
        <v>15</v>
      </c>
      <c r="H1631" s="5" t="s">
        <v>16</v>
      </c>
      <c r="I1631" s="6" t="s">
        <v>17</v>
      </c>
      <c r="J1631" s="7" t="s">
        <v>18</v>
      </c>
      <c r="K1631" s="7" t="s">
        <v>116</v>
      </c>
      <c r="L1631" s="8">
        <v>1.771562126567E12</v>
      </c>
      <c r="M1631" s="9"/>
      <c r="N1631" s="10"/>
      <c r="O1631" s="10"/>
      <c r="P1631" s="10"/>
      <c r="Q1631" s="10"/>
      <c r="R1631" s="10"/>
      <c r="S1631" s="10"/>
      <c r="T1631" s="10"/>
      <c r="U1631" s="10"/>
      <c r="V1631" s="10"/>
    </row>
    <row r="1632" ht="22.5" customHeight="1">
      <c r="A1632" s="5">
        <v>1.73695639587E11</v>
      </c>
      <c r="B1632" s="5" t="s">
        <v>1249</v>
      </c>
      <c r="C1632" s="5">
        <v>51969221840</v>
      </c>
      <c r="D1632" s="5" t="s">
        <v>13</v>
      </c>
      <c r="E1632" s="5">
        <v>8.7547393E7</v>
      </c>
      <c r="F1632" s="5" t="s">
        <v>39</v>
      </c>
      <c r="G1632" s="5" t="s">
        <v>15</v>
      </c>
      <c r="H1632" s="5" t="s">
        <v>51</v>
      </c>
      <c r="I1632" s="6" t="s">
        <v>36</v>
      </c>
      <c r="J1632" s="7" t="s">
        <v>18</v>
      </c>
      <c r="K1632" s="7" t="s">
        <v>116</v>
      </c>
      <c r="L1632" s="8">
        <v>1.771562126281E12</v>
      </c>
      <c r="M1632" s="9"/>
      <c r="N1632" s="10"/>
      <c r="O1632" s="10"/>
      <c r="P1632" s="10"/>
      <c r="Q1632" s="10"/>
      <c r="R1632" s="10"/>
      <c r="S1632" s="10"/>
      <c r="T1632" s="10"/>
      <c r="U1632" s="10"/>
      <c r="V1632" s="10"/>
    </row>
    <row r="1633" ht="22.5" customHeight="1">
      <c r="A1633" s="5">
        <v>1.70690670221E11</v>
      </c>
      <c r="B1633" s="5" t="s">
        <v>272</v>
      </c>
      <c r="C1633" s="5">
        <v>51997317464</v>
      </c>
      <c r="D1633" s="5" t="s">
        <v>13</v>
      </c>
      <c r="E1633" s="5">
        <v>8.0566583E7</v>
      </c>
      <c r="F1633" s="5" t="s">
        <v>23</v>
      </c>
      <c r="G1633" s="5" t="s">
        <v>79</v>
      </c>
      <c r="H1633" s="5" t="s">
        <v>24</v>
      </c>
      <c r="I1633" s="6" t="s">
        <v>17</v>
      </c>
      <c r="J1633" s="7" t="s">
        <v>34</v>
      </c>
      <c r="K1633" s="7"/>
      <c r="L1633" s="8">
        <v>1.771562127116E12</v>
      </c>
      <c r="M1633" s="9"/>
      <c r="N1633" s="10"/>
      <c r="O1633" s="10"/>
      <c r="P1633" s="10"/>
      <c r="Q1633" s="10"/>
      <c r="R1633" s="10"/>
      <c r="S1633" s="10"/>
      <c r="T1633" s="10"/>
      <c r="U1633" s="10"/>
      <c r="V1633" s="10"/>
    </row>
    <row r="1634" ht="22.5" customHeight="1">
      <c r="A1634" s="5">
        <v>2.00884855406E11</v>
      </c>
      <c r="B1634" s="5" t="s">
        <v>1600</v>
      </c>
      <c r="C1634" s="5">
        <v>51987389663</v>
      </c>
      <c r="D1634" s="5" t="s">
        <v>13</v>
      </c>
      <c r="E1634" s="5">
        <v>8.0566583E7</v>
      </c>
      <c r="F1634" s="5" t="s">
        <v>1587</v>
      </c>
      <c r="G1634" s="5" t="s">
        <v>32</v>
      </c>
      <c r="H1634" s="5" t="s">
        <v>16</v>
      </c>
      <c r="I1634" s="6" t="s">
        <v>17</v>
      </c>
      <c r="J1634" s="7" t="s">
        <v>18</v>
      </c>
      <c r="K1634" s="7" t="s">
        <v>19</v>
      </c>
      <c r="L1634" s="8">
        <v>1.771562126665E12</v>
      </c>
      <c r="M1634" s="9"/>
      <c r="N1634" s="10"/>
      <c r="O1634" s="10"/>
      <c r="P1634" s="10"/>
      <c r="Q1634" s="10"/>
      <c r="R1634" s="10"/>
      <c r="S1634" s="10"/>
      <c r="T1634" s="10"/>
      <c r="U1634" s="10"/>
      <c r="V1634" s="10"/>
    </row>
    <row r="1635" ht="22.5" customHeight="1">
      <c r="A1635" s="5">
        <v>1.43662164292E11</v>
      </c>
      <c r="B1635" s="5" t="s">
        <v>781</v>
      </c>
      <c r="C1635" s="5">
        <v>51907358762</v>
      </c>
      <c r="D1635" s="5" t="s">
        <v>13</v>
      </c>
      <c r="E1635" s="5">
        <v>8.7547393E7</v>
      </c>
      <c r="F1635" s="5" t="s">
        <v>714</v>
      </c>
      <c r="G1635" s="5" t="s">
        <v>15</v>
      </c>
      <c r="H1635" s="5" t="s">
        <v>16</v>
      </c>
      <c r="I1635" s="6" t="s">
        <v>36</v>
      </c>
      <c r="J1635" s="7" t="s">
        <v>34</v>
      </c>
      <c r="K1635" s="7"/>
      <c r="L1635" s="8">
        <v>1.771562126948E12</v>
      </c>
      <c r="M1635" s="9"/>
      <c r="N1635" s="10"/>
      <c r="O1635" s="10"/>
      <c r="P1635" s="10"/>
      <c r="Q1635" s="10"/>
      <c r="R1635" s="10"/>
      <c r="S1635" s="10"/>
      <c r="T1635" s="10"/>
      <c r="U1635" s="10"/>
      <c r="V1635" s="10"/>
    </row>
    <row r="1636" ht="22.5" customHeight="1">
      <c r="A1636" s="5">
        <v>1.43108077103E11</v>
      </c>
      <c r="B1636" s="5" t="s">
        <v>1220</v>
      </c>
      <c r="C1636" s="5">
        <v>522294128869</v>
      </c>
      <c r="D1636" s="5" t="s">
        <v>13</v>
      </c>
      <c r="E1636" s="5">
        <v>8.7547393E7</v>
      </c>
      <c r="F1636" s="5" t="s">
        <v>510</v>
      </c>
      <c r="G1636" s="5" t="s">
        <v>15</v>
      </c>
      <c r="H1636" s="5" t="s">
        <v>51</v>
      </c>
      <c r="I1636" s="6" t="s">
        <v>17</v>
      </c>
      <c r="J1636" s="7" t="s">
        <v>18</v>
      </c>
      <c r="K1636" s="7" t="s">
        <v>1221</v>
      </c>
      <c r="L1636" s="8">
        <v>1.771562126696E12</v>
      </c>
      <c r="M1636" s="9"/>
      <c r="N1636" s="10"/>
      <c r="O1636" s="10"/>
      <c r="P1636" s="10"/>
      <c r="Q1636" s="10"/>
      <c r="R1636" s="10"/>
      <c r="S1636" s="10"/>
      <c r="T1636" s="10"/>
      <c r="U1636" s="10"/>
      <c r="V1636" s="10"/>
    </row>
    <row r="1637" ht="22.5" customHeight="1">
      <c r="A1637" s="5">
        <v>2.00863782416E11</v>
      </c>
      <c r="B1637" s="5" t="s">
        <v>1601</v>
      </c>
      <c r="C1637" s="5">
        <v>573153010672</v>
      </c>
      <c r="D1637" s="5" t="s">
        <v>22</v>
      </c>
      <c r="E1637" s="5">
        <v>8.0566583E7</v>
      </c>
      <c r="F1637" s="5" t="s">
        <v>1572</v>
      </c>
      <c r="G1637" s="5" t="s">
        <v>44</v>
      </c>
      <c r="H1637" s="5" t="s">
        <v>16</v>
      </c>
      <c r="I1637" s="6" t="s">
        <v>49</v>
      </c>
      <c r="J1637" s="7" t="s">
        <v>34</v>
      </c>
      <c r="K1637" s="7"/>
      <c r="L1637" s="8">
        <v>1.771562127346E12</v>
      </c>
      <c r="M1637" s="9"/>
      <c r="N1637" s="10"/>
      <c r="O1637" s="10"/>
      <c r="P1637" s="10"/>
      <c r="Q1637" s="10"/>
      <c r="R1637" s="10"/>
      <c r="S1637" s="10"/>
      <c r="T1637" s="10"/>
      <c r="U1637" s="10"/>
      <c r="V1637" s="10"/>
    </row>
    <row r="1638" ht="22.5" customHeight="1">
      <c r="A1638" s="5">
        <v>1.71334455044E11</v>
      </c>
      <c r="B1638" s="5" t="s">
        <v>999</v>
      </c>
      <c r="C1638" s="5">
        <v>51990090194</v>
      </c>
      <c r="D1638" s="5" t="s">
        <v>13</v>
      </c>
      <c r="E1638" s="5">
        <v>8.7547393E7</v>
      </c>
      <c r="F1638" s="5" t="s">
        <v>259</v>
      </c>
      <c r="G1638" s="5" t="s">
        <v>15</v>
      </c>
      <c r="H1638" s="5" t="s">
        <v>180</v>
      </c>
      <c r="I1638" s="6" t="s">
        <v>17</v>
      </c>
      <c r="J1638" s="7" t="s">
        <v>34</v>
      </c>
      <c r="K1638" s="7"/>
      <c r="L1638" s="8">
        <v>1.771562126625E12</v>
      </c>
      <c r="M1638" s="9"/>
      <c r="N1638" s="10"/>
      <c r="O1638" s="10"/>
      <c r="P1638" s="10"/>
      <c r="Q1638" s="10"/>
      <c r="R1638" s="10"/>
      <c r="S1638" s="10"/>
      <c r="T1638" s="10"/>
      <c r="U1638" s="10"/>
      <c r="V1638" s="10"/>
    </row>
    <row r="1639" ht="22.5" customHeight="1">
      <c r="A1639" s="5">
        <v>2.00915904076E11</v>
      </c>
      <c r="B1639" s="5" t="s">
        <v>1602</v>
      </c>
      <c r="C1639" s="5">
        <v>51944798316</v>
      </c>
      <c r="D1639" s="5" t="s">
        <v>13</v>
      </c>
      <c r="E1639" s="5">
        <v>8.0566583E7</v>
      </c>
      <c r="F1639" s="5" t="s">
        <v>691</v>
      </c>
      <c r="G1639" s="5" t="s">
        <v>32</v>
      </c>
      <c r="H1639" s="5" t="s">
        <v>33</v>
      </c>
      <c r="I1639" s="6" t="s">
        <v>17</v>
      </c>
      <c r="J1639" s="7" t="s">
        <v>34</v>
      </c>
      <c r="K1639" s="7"/>
      <c r="L1639" s="8">
        <v>1.771562127231E12</v>
      </c>
      <c r="M1639" s="9"/>
      <c r="N1639" s="10"/>
      <c r="O1639" s="10"/>
      <c r="P1639" s="10"/>
      <c r="Q1639" s="10"/>
      <c r="R1639" s="10"/>
      <c r="S1639" s="10"/>
      <c r="T1639" s="10"/>
      <c r="U1639" s="10"/>
      <c r="V1639" s="10"/>
    </row>
    <row r="1640" ht="22.5" customHeight="1">
      <c r="A1640" s="5">
        <v>1.4359235518E11</v>
      </c>
      <c r="B1640" s="5" t="s">
        <v>1113</v>
      </c>
      <c r="C1640" s="5">
        <v>51941840823</v>
      </c>
      <c r="D1640" s="5" t="s">
        <v>13</v>
      </c>
      <c r="E1640" s="5">
        <v>8.7547393E7</v>
      </c>
      <c r="F1640" s="5" t="s">
        <v>28</v>
      </c>
      <c r="G1640" s="5" t="s">
        <v>32</v>
      </c>
      <c r="H1640" s="5" t="s">
        <v>16</v>
      </c>
      <c r="I1640" s="6" t="s">
        <v>17</v>
      </c>
      <c r="J1640" s="7" t="s">
        <v>34</v>
      </c>
      <c r="K1640" s="7"/>
      <c r="L1640" s="8">
        <v>1.771562126758E12</v>
      </c>
      <c r="M1640" s="9"/>
      <c r="N1640" s="10"/>
      <c r="O1640" s="10"/>
      <c r="P1640" s="10"/>
      <c r="Q1640" s="10"/>
      <c r="R1640" s="10"/>
      <c r="S1640" s="10"/>
      <c r="T1640" s="10"/>
      <c r="U1640" s="10"/>
      <c r="V1640" s="10"/>
    </row>
    <row r="1641" ht="22.5" customHeight="1">
      <c r="A1641" s="5">
        <v>2.00851421018E11</v>
      </c>
      <c r="B1641" s="5" t="s">
        <v>1603</v>
      </c>
      <c r="C1641" s="5">
        <v>51953450521</v>
      </c>
      <c r="D1641" s="5" t="s">
        <v>13</v>
      </c>
      <c r="E1641" s="5">
        <v>8.0566583E7</v>
      </c>
      <c r="F1641" s="5" t="s">
        <v>1582</v>
      </c>
      <c r="G1641" s="5" t="s">
        <v>32</v>
      </c>
      <c r="H1641" s="5" t="s">
        <v>51</v>
      </c>
      <c r="I1641" s="6" t="s">
        <v>17</v>
      </c>
      <c r="J1641" s="7" t="s">
        <v>18</v>
      </c>
      <c r="K1641" s="7" t="s">
        <v>19</v>
      </c>
      <c r="L1641" s="8">
        <v>1.771562126878E12</v>
      </c>
      <c r="M1641" s="9"/>
      <c r="N1641" s="10"/>
      <c r="O1641" s="10"/>
      <c r="P1641" s="10"/>
      <c r="Q1641" s="10"/>
      <c r="R1641" s="10"/>
      <c r="S1641" s="10"/>
      <c r="T1641" s="10"/>
      <c r="U1641" s="10"/>
      <c r="V1641" s="10"/>
    </row>
    <row r="1642" ht="22.5" customHeight="1">
      <c r="A1642" s="5">
        <v>2.00852027406E11</v>
      </c>
      <c r="B1642" s="5" t="s">
        <v>1604</v>
      </c>
      <c r="C1642" s="5">
        <v>51931326994</v>
      </c>
      <c r="D1642" s="5" t="s">
        <v>13</v>
      </c>
      <c r="E1642" s="5">
        <v>8.0566583E7</v>
      </c>
      <c r="F1642" s="5" t="s">
        <v>687</v>
      </c>
      <c r="G1642" s="5" t="s">
        <v>15</v>
      </c>
      <c r="H1642" s="5" t="s">
        <v>51</v>
      </c>
      <c r="I1642" s="6"/>
      <c r="J1642" s="7" t="s">
        <v>18</v>
      </c>
      <c r="K1642" s="7" t="s">
        <v>19</v>
      </c>
      <c r="L1642" s="8">
        <v>1.771562126876E12</v>
      </c>
      <c r="M1642" s="9"/>
      <c r="N1642" s="10"/>
      <c r="O1642" s="10"/>
      <c r="P1642" s="10"/>
      <c r="Q1642" s="10"/>
      <c r="R1642" s="10"/>
      <c r="S1642" s="10"/>
      <c r="T1642" s="10"/>
      <c r="U1642" s="10"/>
      <c r="V1642" s="10"/>
    </row>
    <row r="1643" ht="22.5" customHeight="1">
      <c r="A1643" s="5">
        <v>1.88400751135E11</v>
      </c>
      <c r="B1643" s="5" t="s">
        <v>1605</v>
      </c>
      <c r="C1643" s="5">
        <v>51989023487</v>
      </c>
      <c r="D1643" s="5" t="s">
        <v>22</v>
      </c>
      <c r="E1643" s="5">
        <v>8.0566583E7</v>
      </c>
      <c r="F1643" s="5" t="s">
        <v>691</v>
      </c>
      <c r="G1643" s="5" t="s">
        <v>44</v>
      </c>
      <c r="H1643" s="5" t="s">
        <v>80</v>
      </c>
      <c r="I1643" s="6" t="s">
        <v>17</v>
      </c>
      <c r="J1643" s="7" t="s">
        <v>18</v>
      </c>
      <c r="K1643" s="7" t="s">
        <v>61</v>
      </c>
      <c r="L1643" s="8">
        <v>1.771562126556E12</v>
      </c>
      <c r="M1643" s="9"/>
      <c r="N1643" s="10"/>
      <c r="O1643" s="10"/>
      <c r="P1643" s="10"/>
      <c r="Q1643" s="10"/>
      <c r="R1643" s="10"/>
      <c r="S1643" s="10"/>
      <c r="T1643" s="10"/>
      <c r="U1643" s="10"/>
      <c r="V1643" s="10"/>
    </row>
    <row r="1644" ht="22.5" customHeight="1">
      <c r="A1644" s="5">
        <v>1.41627364202E11</v>
      </c>
      <c r="B1644" s="5" t="s">
        <v>1606</v>
      </c>
      <c r="C1644" s="5">
        <v>51996591502</v>
      </c>
      <c r="D1644" s="5" t="s">
        <v>13</v>
      </c>
      <c r="E1644" s="5">
        <v>8.7547393E7</v>
      </c>
      <c r="F1644" s="5" t="s">
        <v>1568</v>
      </c>
      <c r="G1644" s="5" t="s">
        <v>15</v>
      </c>
      <c r="H1644" s="5" t="s">
        <v>69</v>
      </c>
      <c r="I1644" s="6" t="s">
        <v>36</v>
      </c>
      <c r="J1644" s="7" t="s">
        <v>18</v>
      </c>
      <c r="K1644" s="7" t="s">
        <v>61</v>
      </c>
      <c r="L1644" s="8">
        <v>1.77156212672E12</v>
      </c>
      <c r="M1644" s="9"/>
      <c r="N1644" s="10"/>
      <c r="O1644" s="10"/>
      <c r="P1644" s="10"/>
      <c r="Q1644" s="10"/>
      <c r="R1644" s="10"/>
      <c r="S1644" s="10"/>
      <c r="T1644" s="10"/>
      <c r="U1644" s="10"/>
      <c r="V1644" s="10"/>
    </row>
    <row r="1645" ht="22.5" customHeight="1">
      <c r="A1645" s="5">
        <v>1.13991089169E11</v>
      </c>
      <c r="B1645" s="5" t="s">
        <v>1316</v>
      </c>
      <c r="C1645" s="5">
        <v>525564214966</v>
      </c>
      <c r="D1645" s="5" t="s">
        <v>13</v>
      </c>
      <c r="E1645" s="5">
        <v>8.0566583E7</v>
      </c>
      <c r="F1645" s="5" t="s">
        <v>259</v>
      </c>
      <c r="G1645" s="5" t="s">
        <v>32</v>
      </c>
      <c r="H1645" s="5" t="s">
        <v>165</v>
      </c>
      <c r="I1645" s="6" t="s">
        <v>17</v>
      </c>
      <c r="J1645" s="7" t="s">
        <v>34</v>
      </c>
      <c r="K1645" s="7"/>
      <c r="L1645" s="8">
        <v>1.771562127051E12</v>
      </c>
      <c r="M1645" s="9"/>
      <c r="N1645" s="10"/>
      <c r="O1645" s="10"/>
      <c r="P1645" s="10"/>
      <c r="Q1645" s="10"/>
      <c r="R1645" s="10"/>
      <c r="S1645" s="10"/>
      <c r="T1645" s="10"/>
      <c r="U1645" s="10"/>
      <c r="V1645" s="10"/>
    </row>
    <row r="1646" ht="22.5" customHeight="1">
      <c r="A1646" s="5">
        <v>1.73976475163E11</v>
      </c>
      <c r="B1646" s="5" t="s">
        <v>984</v>
      </c>
      <c r="C1646" s="5">
        <v>51949178402</v>
      </c>
      <c r="D1646" s="5" t="s">
        <v>13</v>
      </c>
      <c r="E1646" s="5">
        <v>8.7547393E7</v>
      </c>
      <c r="F1646" s="5" t="s">
        <v>65</v>
      </c>
      <c r="G1646" s="5" t="s">
        <v>32</v>
      </c>
      <c r="H1646" s="5" t="s">
        <v>16</v>
      </c>
      <c r="I1646" s="6" t="s">
        <v>17</v>
      </c>
      <c r="J1646" s="7" t="s">
        <v>18</v>
      </c>
      <c r="K1646" s="7" t="s">
        <v>116</v>
      </c>
      <c r="L1646" s="8">
        <v>1.771562126659E12</v>
      </c>
      <c r="M1646" s="9"/>
      <c r="N1646" s="10"/>
      <c r="O1646" s="10"/>
      <c r="P1646" s="10"/>
      <c r="Q1646" s="10"/>
      <c r="R1646" s="10"/>
      <c r="S1646" s="10"/>
      <c r="T1646" s="10"/>
      <c r="U1646" s="10"/>
      <c r="V1646" s="10"/>
    </row>
    <row r="1647" ht="22.5" customHeight="1">
      <c r="A1647" s="5">
        <v>1.56391580478E11</v>
      </c>
      <c r="B1647" s="5" t="s">
        <v>1121</v>
      </c>
      <c r="C1647" s="5">
        <v>51947151360</v>
      </c>
      <c r="D1647" s="5" t="s">
        <v>13</v>
      </c>
      <c r="E1647" s="5">
        <v>8.7547393E7</v>
      </c>
      <c r="F1647" s="5" t="s">
        <v>14</v>
      </c>
      <c r="G1647" s="5" t="s">
        <v>15</v>
      </c>
      <c r="H1647" s="5" t="s">
        <v>29</v>
      </c>
      <c r="I1647" s="6" t="s">
        <v>17</v>
      </c>
      <c r="J1647" s="7" t="s">
        <v>18</v>
      </c>
      <c r="K1647" s="7" t="s">
        <v>1122</v>
      </c>
      <c r="L1647" s="8">
        <v>1.771562127057E12</v>
      </c>
      <c r="M1647" s="9"/>
      <c r="N1647" s="10"/>
      <c r="O1647" s="10"/>
      <c r="P1647" s="10"/>
      <c r="Q1647" s="10"/>
      <c r="R1647" s="10"/>
      <c r="S1647" s="10"/>
      <c r="T1647" s="10"/>
      <c r="U1647" s="10"/>
      <c r="V1647" s="10"/>
    </row>
    <row r="1648" ht="22.5" customHeight="1">
      <c r="A1648" s="5">
        <v>1.87835868709E11</v>
      </c>
      <c r="B1648" s="5" t="s">
        <v>1607</v>
      </c>
      <c r="C1648" s="5">
        <v>51957473418</v>
      </c>
      <c r="D1648" s="5" t="s">
        <v>13</v>
      </c>
      <c r="E1648" s="5">
        <v>8.7547393E7</v>
      </c>
      <c r="F1648" s="5" t="s">
        <v>687</v>
      </c>
      <c r="G1648" s="5" t="s">
        <v>15</v>
      </c>
      <c r="H1648" s="5" t="s">
        <v>16</v>
      </c>
      <c r="I1648" s="6" t="s">
        <v>17</v>
      </c>
      <c r="J1648" s="7" t="s">
        <v>34</v>
      </c>
      <c r="K1648" s="7"/>
      <c r="L1648" s="8">
        <v>1.771562126518E12</v>
      </c>
      <c r="M1648" s="9"/>
      <c r="N1648" s="10"/>
      <c r="O1648" s="10"/>
      <c r="P1648" s="10"/>
      <c r="Q1648" s="10"/>
      <c r="R1648" s="10"/>
      <c r="S1648" s="10"/>
      <c r="T1648" s="10"/>
      <c r="U1648" s="10"/>
      <c r="V1648" s="10"/>
    </row>
    <row r="1649" ht="22.5" customHeight="1">
      <c r="A1649" s="5">
        <v>1.72161401399E11</v>
      </c>
      <c r="B1649" s="5" t="s">
        <v>1410</v>
      </c>
      <c r="C1649" s="5">
        <v>51963349937</v>
      </c>
      <c r="D1649" s="5" t="s">
        <v>13</v>
      </c>
      <c r="E1649" s="5">
        <v>8.7547393E7</v>
      </c>
      <c r="F1649" s="5" t="s">
        <v>714</v>
      </c>
      <c r="G1649" s="5" t="s">
        <v>32</v>
      </c>
      <c r="H1649" s="5" t="s">
        <v>16</v>
      </c>
      <c r="I1649" s="6" t="s">
        <v>17</v>
      </c>
      <c r="J1649" s="7" t="s">
        <v>18</v>
      </c>
      <c r="K1649" s="7" t="s">
        <v>116</v>
      </c>
      <c r="L1649" s="8">
        <v>1.771562127132E12</v>
      </c>
      <c r="M1649" s="9"/>
      <c r="N1649" s="10"/>
      <c r="O1649" s="10"/>
      <c r="P1649" s="10"/>
      <c r="Q1649" s="10"/>
      <c r="R1649" s="10"/>
      <c r="S1649" s="10"/>
      <c r="T1649" s="10"/>
      <c r="U1649" s="10"/>
      <c r="V1649" s="10"/>
    </row>
    <row r="1650" ht="22.5" customHeight="1">
      <c r="A1650" s="5">
        <v>1.63336904556E11</v>
      </c>
      <c r="B1650" s="5" t="s">
        <v>1085</v>
      </c>
      <c r="C1650" s="5">
        <v>51999934903</v>
      </c>
      <c r="D1650" s="5" t="s">
        <v>13</v>
      </c>
      <c r="E1650" s="5">
        <v>8.0566583E7</v>
      </c>
      <c r="F1650" s="5" t="s">
        <v>39</v>
      </c>
      <c r="G1650" s="5" t="s">
        <v>15</v>
      </c>
      <c r="H1650" s="5" t="s">
        <v>66</v>
      </c>
      <c r="I1650" s="6" t="s">
        <v>17</v>
      </c>
      <c r="J1650" s="7" t="s">
        <v>34</v>
      </c>
      <c r="K1650" s="7"/>
      <c r="L1650" s="8">
        <v>1.771562126742E12</v>
      </c>
      <c r="M1650" s="9"/>
      <c r="N1650" s="10"/>
      <c r="O1650" s="10"/>
      <c r="P1650" s="10"/>
      <c r="Q1650" s="10"/>
      <c r="R1650" s="10"/>
      <c r="S1650" s="10"/>
      <c r="T1650" s="10"/>
      <c r="U1650" s="10"/>
      <c r="V1650" s="10"/>
    </row>
    <row r="1651" ht="22.5" customHeight="1">
      <c r="A1651" s="5">
        <v>7.9334383761E10</v>
      </c>
      <c r="B1651" s="5" t="s">
        <v>1503</v>
      </c>
      <c r="C1651" s="5">
        <v>51924036476</v>
      </c>
      <c r="D1651" s="5" t="s">
        <v>22</v>
      </c>
      <c r="E1651" s="5">
        <v>8.7547393E7</v>
      </c>
      <c r="F1651" s="5" t="s">
        <v>259</v>
      </c>
      <c r="G1651" s="5" t="s">
        <v>44</v>
      </c>
      <c r="H1651" s="5" t="s">
        <v>128</v>
      </c>
      <c r="I1651" s="6" t="s">
        <v>17</v>
      </c>
      <c r="J1651" s="7" t="s">
        <v>34</v>
      </c>
      <c r="K1651" s="7"/>
      <c r="L1651" s="8">
        <v>1.771562127109E12</v>
      </c>
      <c r="M1651" s="9"/>
      <c r="N1651" s="10"/>
      <c r="O1651" s="10"/>
      <c r="P1651" s="10"/>
      <c r="Q1651" s="10"/>
      <c r="R1651" s="10"/>
      <c r="S1651" s="10"/>
      <c r="T1651" s="10"/>
      <c r="U1651" s="10"/>
      <c r="V1651" s="10"/>
    </row>
    <row r="1652" ht="22.5" customHeight="1">
      <c r="A1652" s="5">
        <v>2.00912470314E11</v>
      </c>
      <c r="B1652" s="5" t="s">
        <v>1608</v>
      </c>
      <c r="C1652" s="5">
        <v>526123790518</v>
      </c>
      <c r="D1652" s="5" t="s">
        <v>13</v>
      </c>
      <c r="E1652" s="5">
        <v>8.0566583E7</v>
      </c>
      <c r="F1652" s="5" t="s">
        <v>1582</v>
      </c>
      <c r="G1652" s="5" t="s">
        <v>15</v>
      </c>
      <c r="H1652" s="5" t="s">
        <v>24</v>
      </c>
      <c r="I1652" s="6" t="s">
        <v>17</v>
      </c>
      <c r="J1652" s="7" t="s">
        <v>18</v>
      </c>
      <c r="K1652" s="7" t="s">
        <v>61</v>
      </c>
      <c r="L1652" s="8">
        <v>1.771562127174E12</v>
      </c>
      <c r="M1652" s="9"/>
      <c r="N1652" s="10"/>
      <c r="O1652" s="10"/>
      <c r="P1652" s="10"/>
      <c r="Q1652" s="10"/>
      <c r="R1652" s="10"/>
      <c r="S1652" s="10"/>
      <c r="T1652" s="10"/>
      <c r="U1652" s="10"/>
      <c r="V1652" s="10"/>
    </row>
    <row r="1653" ht="22.5" customHeight="1">
      <c r="A1653" s="5">
        <v>1.54615861271E11</v>
      </c>
      <c r="B1653" s="5" t="s">
        <v>428</v>
      </c>
      <c r="C1653" s="5">
        <v>51979632034</v>
      </c>
      <c r="D1653" s="5" t="s">
        <v>13</v>
      </c>
      <c r="E1653" s="5">
        <v>8.0566583E7</v>
      </c>
      <c r="F1653" s="5" t="s">
        <v>65</v>
      </c>
      <c r="G1653" s="5" t="s">
        <v>15</v>
      </c>
      <c r="H1653" s="5" t="s">
        <v>16</v>
      </c>
      <c r="I1653" s="6" t="s">
        <v>17</v>
      </c>
      <c r="J1653" s="7" t="s">
        <v>18</v>
      </c>
      <c r="K1653" s="7" t="s">
        <v>116</v>
      </c>
      <c r="L1653" s="8">
        <v>1.771562126633E12</v>
      </c>
      <c r="M1653" s="9"/>
      <c r="N1653" s="10"/>
      <c r="O1653" s="10"/>
      <c r="P1653" s="10"/>
      <c r="Q1653" s="10"/>
      <c r="R1653" s="10"/>
      <c r="S1653" s="10"/>
      <c r="T1653" s="10"/>
      <c r="U1653" s="10"/>
      <c r="V1653" s="10"/>
    </row>
    <row r="1654" ht="22.5" customHeight="1">
      <c r="A1654" s="5">
        <v>2.00949164704E11</v>
      </c>
      <c r="B1654" s="5" t="s">
        <v>1609</v>
      </c>
      <c r="C1654" s="5">
        <v>51935685932</v>
      </c>
      <c r="D1654" s="5" t="s">
        <v>13</v>
      </c>
      <c r="E1654" s="5">
        <v>8.0566583E7</v>
      </c>
      <c r="F1654" s="5" t="s">
        <v>691</v>
      </c>
      <c r="G1654" s="5" t="s">
        <v>44</v>
      </c>
      <c r="H1654" s="5" t="s">
        <v>66</v>
      </c>
      <c r="I1654" s="6" t="s">
        <v>17</v>
      </c>
      <c r="J1654" s="7" t="s">
        <v>18</v>
      </c>
      <c r="K1654" s="7" t="s">
        <v>61</v>
      </c>
      <c r="L1654" s="8">
        <v>1.771562126471E12</v>
      </c>
      <c r="M1654" s="9"/>
      <c r="N1654" s="10"/>
      <c r="O1654" s="10"/>
      <c r="P1654" s="10"/>
      <c r="Q1654" s="10"/>
      <c r="R1654" s="10"/>
      <c r="S1654" s="10"/>
      <c r="T1654" s="10"/>
      <c r="U1654" s="10"/>
      <c r="V1654" s="10"/>
    </row>
    <row r="1655" ht="22.5" customHeight="1">
      <c r="A1655" s="5">
        <v>1.93510848917E11</v>
      </c>
      <c r="B1655" s="5" t="s">
        <v>496</v>
      </c>
      <c r="C1655" s="5">
        <v>51923045218</v>
      </c>
      <c r="D1655" s="5" t="s">
        <v>22</v>
      </c>
      <c r="E1655" s="5">
        <v>8.0566583E7</v>
      </c>
      <c r="F1655" s="5" t="s">
        <v>28</v>
      </c>
      <c r="G1655" s="5" t="s">
        <v>44</v>
      </c>
      <c r="H1655" s="5" t="s">
        <v>497</v>
      </c>
      <c r="I1655" s="6" t="s">
        <v>17</v>
      </c>
      <c r="J1655" s="7" t="s">
        <v>124</v>
      </c>
      <c r="K1655" s="7" t="s">
        <v>461</v>
      </c>
      <c r="L1655" s="8">
        <v>1.771562126364E12</v>
      </c>
      <c r="M1655" s="9"/>
      <c r="N1655" s="10"/>
      <c r="O1655" s="10"/>
      <c r="P1655" s="10"/>
      <c r="Q1655" s="10"/>
      <c r="R1655" s="10"/>
      <c r="S1655" s="10"/>
      <c r="T1655" s="10"/>
      <c r="U1655" s="10"/>
      <c r="V1655" s="10"/>
    </row>
    <row r="1656" ht="22.5" customHeight="1">
      <c r="A1656" s="5">
        <v>1.55077460621E11</v>
      </c>
      <c r="B1656" s="5" t="s">
        <v>752</v>
      </c>
      <c r="C1656" s="5">
        <v>51981360649</v>
      </c>
      <c r="D1656" s="5" t="s">
        <v>13</v>
      </c>
      <c r="E1656" s="5">
        <v>8.0566583E7</v>
      </c>
      <c r="F1656" s="5" t="s">
        <v>93</v>
      </c>
      <c r="G1656" s="5" t="s">
        <v>15</v>
      </c>
      <c r="H1656" s="5" t="s">
        <v>51</v>
      </c>
      <c r="I1656" s="6" t="s">
        <v>17</v>
      </c>
      <c r="J1656" s="7" t="s">
        <v>34</v>
      </c>
      <c r="K1656" s="7"/>
      <c r="L1656" s="8">
        <v>1.771562126356E12</v>
      </c>
      <c r="M1656" s="9"/>
      <c r="N1656" s="10"/>
      <c r="O1656" s="10"/>
      <c r="P1656" s="10"/>
      <c r="Q1656" s="10"/>
      <c r="R1656" s="10"/>
      <c r="S1656" s="10"/>
      <c r="T1656" s="10"/>
      <c r="U1656" s="10"/>
      <c r="V1656" s="10"/>
    </row>
    <row r="1657" ht="22.5" customHeight="1">
      <c r="A1657" s="5">
        <v>2.01109733413E11</v>
      </c>
      <c r="B1657" s="5" t="s">
        <v>1610</v>
      </c>
      <c r="C1657" s="5">
        <v>51922346488</v>
      </c>
      <c r="D1657" s="5" t="s">
        <v>13</v>
      </c>
      <c r="E1657" s="5">
        <v>8.0566583E7</v>
      </c>
      <c r="F1657" s="5" t="s">
        <v>1582</v>
      </c>
      <c r="G1657" s="5" t="s">
        <v>15</v>
      </c>
      <c r="H1657" s="5" t="s">
        <v>51</v>
      </c>
      <c r="I1657" s="6" t="s">
        <v>17</v>
      </c>
      <c r="J1657" s="7" t="s">
        <v>34</v>
      </c>
      <c r="K1657" s="7"/>
      <c r="L1657" s="8">
        <v>1.771562126949E12</v>
      </c>
      <c r="M1657" s="9"/>
      <c r="N1657" s="10"/>
      <c r="O1657" s="10"/>
      <c r="P1657" s="10"/>
      <c r="Q1657" s="10"/>
      <c r="R1657" s="10"/>
      <c r="S1657" s="10"/>
      <c r="T1657" s="10"/>
      <c r="U1657" s="10"/>
      <c r="V1657" s="10"/>
    </row>
    <row r="1658" ht="22.5" customHeight="1">
      <c r="A1658" s="5">
        <v>1.72366420842E11</v>
      </c>
      <c r="B1658" s="5" t="s">
        <v>1238</v>
      </c>
      <c r="C1658" s="5">
        <v>51902237040</v>
      </c>
      <c r="D1658" s="5" t="s">
        <v>22</v>
      </c>
      <c r="E1658" s="5">
        <v>8.0566583E7</v>
      </c>
      <c r="F1658" s="5" t="s">
        <v>14</v>
      </c>
      <c r="G1658" s="5" t="s">
        <v>79</v>
      </c>
      <c r="H1658" s="5" t="s">
        <v>55</v>
      </c>
      <c r="I1658" s="6"/>
      <c r="J1658" s="7" t="s">
        <v>34</v>
      </c>
      <c r="K1658" s="7"/>
      <c r="L1658" s="8">
        <v>1.771562126746E12</v>
      </c>
      <c r="M1658" s="9"/>
      <c r="N1658" s="10"/>
      <c r="O1658" s="10"/>
      <c r="P1658" s="10"/>
      <c r="Q1658" s="10"/>
      <c r="R1658" s="10"/>
      <c r="S1658" s="10"/>
      <c r="T1658" s="10"/>
      <c r="U1658" s="10"/>
      <c r="V1658" s="10"/>
    </row>
    <row r="1659" ht="22.5" customHeight="1">
      <c r="A1659" s="5">
        <v>1.73783637401E11</v>
      </c>
      <c r="B1659" s="5" t="s">
        <v>887</v>
      </c>
      <c r="C1659" s="5">
        <v>51971201804</v>
      </c>
      <c r="D1659" s="5" t="s">
        <v>22</v>
      </c>
      <c r="E1659" s="5">
        <v>8.7547393E7</v>
      </c>
      <c r="F1659" s="5" t="s">
        <v>93</v>
      </c>
      <c r="G1659" s="5" t="s">
        <v>32</v>
      </c>
      <c r="H1659" s="5" t="s">
        <v>16</v>
      </c>
      <c r="I1659" s="6" t="s">
        <v>17</v>
      </c>
      <c r="J1659" s="7" t="s">
        <v>18</v>
      </c>
      <c r="K1659" s="7" t="s">
        <v>19</v>
      </c>
      <c r="L1659" s="8">
        <v>1.771562127916E12</v>
      </c>
      <c r="M1659" s="9"/>
      <c r="N1659" s="10"/>
      <c r="O1659" s="10"/>
      <c r="P1659" s="10"/>
      <c r="Q1659" s="10"/>
      <c r="R1659" s="10"/>
      <c r="S1659" s="10"/>
      <c r="T1659" s="10"/>
      <c r="U1659" s="10"/>
      <c r="V1659" s="10"/>
    </row>
    <row r="1660" ht="22.5" customHeight="1">
      <c r="A1660" s="5">
        <v>1.4433648784E11</v>
      </c>
      <c r="B1660" s="5" t="s">
        <v>1384</v>
      </c>
      <c r="C1660" s="5">
        <v>51988478800</v>
      </c>
      <c r="D1660" s="5" t="s">
        <v>22</v>
      </c>
      <c r="E1660" s="5">
        <v>8.0566583E7</v>
      </c>
      <c r="F1660" s="5" t="s">
        <v>42</v>
      </c>
      <c r="G1660" s="5" t="s">
        <v>32</v>
      </c>
      <c r="H1660" s="5" t="s">
        <v>33</v>
      </c>
      <c r="I1660" s="6" t="s">
        <v>89</v>
      </c>
      <c r="J1660" s="7" t="s">
        <v>25</v>
      </c>
      <c r="K1660" s="7"/>
      <c r="L1660" s="8">
        <v>1.771562127375E12</v>
      </c>
      <c r="M1660" s="9"/>
      <c r="N1660" s="10"/>
      <c r="O1660" s="10"/>
      <c r="P1660" s="10"/>
      <c r="Q1660" s="10"/>
      <c r="R1660" s="10"/>
      <c r="S1660" s="10"/>
      <c r="T1660" s="10"/>
      <c r="U1660" s="10"/>
      <c r="V1660" s="10"/>
    </row>
    <row r="1661" ht="22.5" customHeight="1">
      <c r="A1661" s="5">
        <v>1.63996437283E11</v>
      </c>
      <c r="B1661" s="5" t="s">
        <v>743</v>
      </c>
      <c r="C1661" s="5">
        <v>51998709110</v>
      </c>
      <c r="D1661" s="5" t="s">
        <v>13</v>
      </c>
      <c r="E1661" s="5"/>
      <c r="F1661" s="5" t="s">
        <v>259</v>
      </c>
      <c r="G1661" s="5" t="s">
        <v>32</v>
      </c>
      <c r="H1661" s="5" t="s">
        <v>24</v>
      </c>
      <c r="I1661" s="6" t="s">
        <v>17</v>
      </c>
      <c r="J1661" s="7" t="s">
        <v>58</v>
      </c>
      <c r="K1661" s="11" t="s">
        <v>59</v>
      </c>
      <c r="L1661" s="8">
        <v>1.77156212694E12</v>
      </c>
      <c r="M1661" s="9"/>
      <c r="N1661" s="10"/>
      <c r="O1661" s="10"/>
      <c r="P1661" s="10"/>
      <c r="Q1661" s="10"/>
      <c r="R1661" s="10"/>
      <c r="S1661" s="10"/>
      <c r="T1661" s="10"/>
      <c r="U1661" s="10"/>
      <c r="V1661" s="10"/>
    </row>
    <row r="1662" ht="22.5" customHeight="1">
      <c r="A1662" s="5">
        <v>1.72637114186E11</v>
      </c>
      <c r="B1662" s="5" t="s">
        <v>215</v>
      </c>
      <c r="C1662" s="5">
        <v>51956883469</v>
      </c>
      <c r="D1662" s="5" t="s">
        <v>22</v>
      </c>
      <c r="E1662" s="5">
        <v>8.0566583E7</v>
      </c>
      <c r="F1662" s="5" t="s">
        <v>28</v>
      </c>
      <c r="G1662" s="5" t="s">
        <v>44</v>
      </c>
      <c r="H1662" s="5" t="s">
        <v>16</v>
      </c>
      <c r="I1662" s="6" t="s">
        <v>17</v>
      </c>
      <c r="J1662" s="7" t="s">
        <v>18</v>
      </c>
      <c r="K1662" s="7" t="s">
        <v>116</v>
      </c>
      <c r="L1662" s="8">
        <v>1.771562126734E12</v>
      </c>
      <c r="M1662" s="9"/>
      <c r="N1662" s="10"/>
      <c r="O1662" s="10"/>
      <c r="P1662" s="10"/>
      <c r="Q1662" s="10"/>
      <c r="R1662" s="10"/>
      <c r="S1662" s="10"/>
      <c r="T1662" s="10"/>
      <c r="U1662" s="10"/>
      <c r="V1662" s="10"/>
    </row>
    <row r="1663" ht="22.5" customHeight="1">
      <c r="A1663" s="5">
        <v>1.1430221139E11</v>
      </c>
      <c r="B1663" s="5" t="s">
        <v>258</v>
      </c>
      <c r="C1663" s="5">
        <v>51989777232</v>
      </c>
      <c r="D1663" s="5" t="s">
        <v>13</v>
      </c>
      <c r="E1663" s="5">
        <v>8.0566583E7</v>
      </c>
      <c r="F1663" s="5" t="s">
        <v>259</v>
      </c>
      <c r="G1663" s="5" t="s">
        <v>260</v>
      </c>
      <c r="H1663" s="5"/>
      <c r="I1663" s="6"/>
      <c r="J1663" s="7" t="s">
        <v>34</v>
      </c>
      <c r="K1663" s="7"/>
      <c r="L1663" s="8">
        <v>1.77156212724E12</v>
      </c>
      <c r="M1663" s="9"/>
      <c r="N1663" s="10"/>
      <c r="O1663" s="10"/>
      <c r="P1663" s="10"/>
      <c r="Q1663" s="10"/>
      <c r="R1663" s="10"/>
      <c r="S1663" s="10"/>
      <c r="T1663" s="10"/>
      <c r="U1663" s="10"/>
      <c r="V1663" s="10"/>
    </row>
    <row r="1664" ht="22.5" customHeight="1">
      <c r="A1664" s="5">
        <v>2.01014628664E11</v>
      </c>
      <c r="B1664" s="5" t="s">
        <v>1611</v>
      </c>
      <c r="C1664" s="5">
        <v>51977484550</v>
      </c>
      <c r="D1664" s="5" t="s">
        <v>13</v>
      </c>
      <c r="E1664" s="5">
        <v>8.0566583E7</v>
      </c>
      <c r="F1664" s="5" t="s">
        <v>1572</v>
      </c>
      <c r="G1664" s="5" t="s">
        <v>15</v>
      </c>
      <c r="H1664" s="5" t="s">
        <v>86</v>
      </c>
      <c r="I1664" s="6" t="s">
        <v>17</v>
      </c>
      <c r="J1664" s="7" t="s">
        <v>25</v>
      </c>
      <c r="K1664" s="7" t="s">
        <v>501</v>
      </c>
      <c r="L1664" s="8">
        <v>1.771562126881E12</v>
      </c>
      <c r="M1664" s="9"/>
      <c r="N1664" s="10"/>
      <c r="O1664" s="10"/>
      <c r="P1664" s="10"/>
      <c r="Q1664" s="10"/>
      <c r="R1664" s="10"/>
      <c r="S1664" s="10"/>
      <c r="T1664" s="10"/>
      <c r="U1664" s="10"/>
      <c r="V1664" s="10"/>
    </row>
    <row r="1665" ht="22.5" customHeight="1">
      <c r="A1665" s="5">
        <v>1.65149844003E11</v>
      </c>
      <c r="B1665" s="5" t="s">
        <v>677</v>
      </c>
      <c r="C1665" s="5">
        <v>51999007200</v>
      </c>
      <c r="D1665" s="5" t="s">
        <v>22</v>
      </c>
      <c r="E1665" s="5">
        <v>8.7547393E7</v>
      </c>
      <c r="F1665" s="5" t="s">
        <v>28</v>
      </c>
      <c r="G1665" s="5" t="s">
        <v>79</v>
      </c>
      <c r="H1665" s="5" t="s">
        <v>51</v>
      </c>
      <c r="I1665" s="6" t="s">
        <v>17</v>
      </c>
      <c r="J1665" s="7" t="s">
        <v>34</v>
      </c>
      <c r="K1665" s="7"/>
      <c r="L1665" s="8">
        <v>1.77156212666E12</v>
      </c>
      <c r="M1665" s="9"/>
      <c r="N1665" s="10"/>
      <c r="O1665" s="10"/>
      <c r="P1665" s="10"/>
      <c r="Q1665" s="10"/>
      <c r="R1665" s="10"/>
      <c r="S1665" s="10"/>
      <c r="T1665" s="10"/>
      <c r="U1665" s="10"/>
      <c r="V1665" s="10"/>
    </row>
    <row r="1666" ht="22.5" customHeight="1">
      <c r="A1666" s="5">
        <v>2.01019541508E11</v>
      </c>
      <c r="B1666" s="5" t="s">
        <v>1612</v>
      </c>
      <c r="C1666" s="5">
        <v>51937057628</v>
      </c>
      <c r="D1666" s="5" t="s">
        <v>22</v>
      </c>
      <c r="E1666" s="5">
        <v>8.0566583E7</v>
      </c>
      <c r="F1666" s="5" t="s">
        <v>687</v>
      </c>
      <c r="G1666" s="5" t="s">
        <v>104</v>
      </c>
      <c r="H1666" s="5" t="s">
        <v>24</v>
      </c>
      <c r="I1666" s="6" t="s">
        <v>49</v>
      </c>
      <c r="J1666" s="7" t="s">
        <v>34</v>
      </c>
      <c r="K1666" s="7"/>
      <c r="L1666" s="8">
        <v>1.771562126362E12</v>
      </c>
      <c r="M1666" s="9"/>
      <c r="N1666" s="10"/>
      <c r="O1666" s="10"/>
      <c r="P1666" s="10"/>
      <c r="Q1666" s="10"/>
      <c r="R1666" s="10"/>
      <c r="S1666" s="10"/>
      <c r="T1666" s="10"/>
      <c r="U1666" s="10"/>
      <c r="V1666" s="10"/>
    </row>
    <row r="1667" ht="22.5" customHeight="1">
      <c r="A1667" s="5">
        <v>1.64091627394E11</v>
      </c>
      <c r="B1667" s="5" t="s">
        <v>1362</v>
      </c>
      <c r="C1667" s="5">
        <v>51959004386</v>
      </c>
      <c r="D1667" s="5" t="s">
        <v>13</v>
      </c>
      <c r="E1667" s="5">
        <v>8.0566583E7</v>
      </c>
      <c r="F1667" s="5" t="s">
        <v>28</v>
      </c>
      <c r="G1667" s="5" t="s">
        <v>15</v>
      </c>
      <c r="H1667" s="5" t="s">
        <v>51</v>
      </c>
      <c r="I1667" s="6"/>
      <c r="J1667" s="7" t="s">
        <v>18</v>
      </c>
      <c r="K1667" s="7" t="s">
        <v>116</v>
      </c>
      <c r="L1667" s="8">
        <v>1.771562127198E12</v>
      </c>
      <c r="M1667" s="9"/>
      <c r="N1667" s="10"/>
      <c r="O1667" s="10"/>
      <c r="P1667" s="10"/>
      <c r="Q1667" s="10"/>
      <c r="R1667" s="10"/>
      <c r="S1667" s="10"/>
      <c r="T1667" s="10"/>
      <c r="U1667" s="10"/>
      <c r="V1667" s="10"/>
    </row>
    <row r="1668" ht="22.5" customHeight="1">
      <c r="A1668" s="5">
        <v>1.45190143053E11</v>
      </c>
      <c r="B1668" s="5" t="s">
        <v>473</v>
      </c>
      <c r="C1668" s="5">
        <v>51996482065</v>
      </c>
      <c r="D1668" s="5" t="s">
        <v>38</v>
      </c>
      <c r="E1668" s="5"/>
      <c r="F1668" s="5"/>
      <c r="G1668" s="5"/>
      <c r="H1668" s="5"/>
      <c r="I1668" s="6"/>
      <c r="J1668" s="7" t="s">
        <v>25</v>
      </c>
      <c r="K1668" s="7"/>
      <c r="L1668" s="8">
        <v>1.771562127133E12</v>
      </c>
      <c r="M1668" s="9"/>
      <c r="N1668" s="10"/>
      <c r="O1668" s="10"/>
      <c r="P1668" s="10"/>
      <c r="Q1668" s="10"/>
      <c r="R1668" s="10"/>
      <c r="S1668" s="10"/>
      <c r="T1668" s="10"/>
      <c r="U1668" s="10"/>
      <c r="V1668" s="10"/>
    </row>
    <row r="1669" ht="22.5" customHeight="1">
      <c r="A1669" s="5">
        <v>2.01157754728E11</v>
      </c>
      <c r="B1669" s="5" t="s">
        <v>1613</v>
      </c>
      <c r="C1669" s="5">
        <v>51986089444</v>
      </c>
      <c r="D1669" s="5" t="s">
        <v>13</v>
      </c>
      <c r="E1669" s="5">
        <v>8.7547393E7</v>
      </c>
      <c r="F1669" s="5" t="s">
        <v>691</v>
      </c>
      <c r="G1669" s="5" t="s">
        <v>15</v>
      </c>
      <c r="H1669" s="5" t="s">
        <v>33</v>
      </c>
      <c r="I1669" s="6" t="s">
        <v>17</v>
      </c>
      <c r="J1669" s="7" t="s">
        <v>25</v>
      </c>
      <c r="K1669" s="7"/>
      <c r="L1669" s="8">
        <v>1.771562126186E12</v>
      </c>
      <c r="M1669" s="9"/>
      <c r="N1669" s="10"/>
      <c r="O1669" s="10"/>
      <c r="P1669" s="10"/>
      <c r="Q1669" s="10"/>
      <c r="R1669" s="10"/>
      <c r="S1669" s="10"/>
      <c r="T1669" s="10"/>
      <c r="U1669" s="10"/>
      <c r="V1669" s="10"/>
    </row>
    <row r="1670" ht="22.5" customHeight="1">
      <c r="A1670" s="5">
        <v>1.55062609312E11</v>
      </c>
      <c r="B1670" s="5" t="s">
        <v>1365</v>
      </c>
      <c r="C1670" s="5">
        <v>51923866170</v>
      </c>
      <c r="D1670" s="5" t="s">
        <v>13</v>
      </c>
      <c r="E1670" s="5">
        <v>8.7547393E7</v>
      </c>
      <c r="F1670" s="5" t="s">
        <v>39</v>
      </c>
      <c r="G1670" s="5" t="s">
        <v>32</v>
      </c>
      <c r="H1670" s="5" t="s">
        <v>66</v>
      </c>
      <c r="I1670" s="6" t="s">
        <v>17</v>
      </c>
      <c r="J1670" s="7" t="s">
        <v>18</v>
      </c>
      <c r="K1670" s="7" t="s">
        <v>116</v>
      </c>
      <c r="L1670" s="8">
        <v>1.771562127693E12</v>
      </c>
      <c r="M1670" s="9"/>
      <c r="N1670" s="10"/>
      <c r="O1670" s="10"/>
      <c r="P1670" s="10"/>
      <c r="Q1670" s="10"/>
      <c r="R1670" s="10"/>
      <c r="S1670" s="10"/>
      <c r="T1670" s="10"/>
      <c r="U1670" s="10"/>
      <c r="V1670" s="10"/>
    </row>
    <row r="1671" ht="22.5" customHeight="1">
      <c r="A1671" s="5">
        <v>1.6683141002E11</v>
      </c>
      <c r="B1671" s="5" t="s">
        <v>686</v>
      </c>
      <c r="C1671" s="5">
        <v>51922381963</v>
      </c>
      <c r="D1671" s="5" t="s">
        <v>13</v>
      </c>
      <c r="E1671" s="5">
        <v>8.7547393E7</v>
      </c>
      <c r="F1671" s="5" t="s">
        <v>687</v>
      </c>
      <c r="G1671" s="5" t="s">
        <v>15</v>
      </c>
      <c r="H1671" s="5" t="s">
        <v>29</v>
      </c>
      <c r="I1671" s="6" t="s">
        <v>17</v>
      </c>
      <c r="J1671" s="7" t="s">
        <v>18</v>
      </c>
      <c r="K1671" s="7" t="s">
        <v>61</v>
      </c>
      <c r="L1671" s="8">
        <v>1.771562126895E12</v>
      </c>
      <c r="M1671" s="9"/>
      <c r="N1671" s="10"/>
      <c r="O1671" s="10"/>
      <c r="P1671" s="10"/>
      <c r="Q1671" s="10"/>
      <c r="R1671" s="10"/>
      <c r="S1671" s="10"/>
      <c r="T1671" s="10"/>
      <c r="U1671" s="10"/>
      <c r="V1671" s="10"/>
    </row>
    <row r="1672" ht="22.5" customHeight="1">
      <c r="A1672" s="5">
        <v>1.58296963962E11</v>
      </c>
      <c r="B1672" s="5" t="s">
        <v>969</v>
      </c>
      <c r="C1672" s="5">
        <v>5533999456098</v>
      </c>
      <c r="D1672" s="5" t="s">
        <v>13</v>
      </c>
      <c r="E1672" s="5">
        <v>7.9360573E7</v>
      </c>
      <c r="F1672" s="5" t="s">
        <v>28</v>
      </c>
      <c r="G1672" s="5" t="s">
        <v>15</v>
      </c>
      <c r="H1672" s="5" t="s">
        <v>114</v>
      </c>
      <c r="I1672" s="6" t="s">
        <v>49</v>
      </c>
      <c r="J1672" s="7" t="s">
        <v>34</v>
      </c>
      <c r="K1672" s="7"/>
      <c r="L1672" s="8">
        <v>1.771562125996E12</v>
      </c>
      <c r="M1672" s="9"/>
      <c r="N1672" s="10"/>
      <c r="O1672" s="10"/>
      <c r="P1672" s="10"/>
      <c r="Q1672" s="10"/>
      <c r="R1672" s="10"/>
      <c r="S1672" s="10"/>
      <c r="T1672" s="10"/>
      <c r="U1672" s="10"/>
      <c r="V1672" s="10"/>
    </row>
    <row r="1673" ht="22.5" customHeight="1">
      <c r="A1673" s="5">
        <v>1.72759888263E11</v>
      </c>
      <c r="B1673" s="5" t="s">
        <v>1351</v>
      </c>
      <c r="C1673" s="5">
        <v>51970616960</v>
      </c>
      <c r="D1673" s="5" t="s">
        <v>13</v>
      </c>
      <c r="E1673" s="5">
        <v>8.0566583E7</v>
      </c>
      <c r="F1673" s="5" t="s">
        <v>93</v>
      </c>
      <c r="G1673" s="5" t="s">
        <v>15</v>
      </c>
      <c r="H1673" s="5" t="s">
        <v>16</v>
      </c>
      <c r="I1673" s="6" t="s">
        <v>36</v>
      </c>
      <c r="J1673" s="7" t="s">
        <v>18</v>
      </c>
      <c r="K1673" s="7" t="s">
        <v>19</v>
      </c>
      <c r="L1673" s="8">
        <v>1.77156212761E12</v>
      </c>
      <c r="M1673" s="9"/>
      <c r="N1673" s="10"/>
      <c r="O1673" s="10"/>
      <c r="P1673" s="10"/>
      <c r="Q1673" s="10"/>
      <c r="R1673" s="10"/>
      <c r="S1673" s="10"/>
      <c r="T1673" s="10"/>
      <c r="U1673" s="10"/>
      <c r="V1673" s="10"/>
    </row>
    <row r="1674" ht="22.5" customHeight="1">
      <c r="A1674" s="5">
        <v>1.7149485418E11</v>
      </c>
      <c r="B1674" s="5" t="s">
        <v>203</v>
      </c>
      <c r="C1674" s="5">
        <v>51975131051</v>
      </c>
      <c r="D1674" s="5" t="s">
        <v>13</v>
      </c>
      <c r="E1674" s="5">
        <v>8.0566583E7</v>
      </c>
      <c r="F1674" s="5" t="s">
        <v>23</v>
      </c>
      <c r="G1674" s="5" t="s">
        <v>44</v>
      </c>
      <c r="H1674" s="5" t="s">
        <v>16</v>
      </c>
      <c r="I1674" s="6" t="s">
        <v>17</v>
      </c>
      <c r="J1674" s="7" t="s">
        <v>58</v>
      </c>
      <c r="K1674" s="11" t="s">
        <v>59</v>
      </c>
      <c r="L1674" s="8">
        <v>1.771562127158E12</v>
      </c>
      <c r="M1674" s="9"/>
      <c r="N1674" s="10"/>
      <c r="O1674" s="10"/>
      <c r="P1674" s="10"/>
      <c r="Q1674" s="10"/>
      <c r="R1674" s="10"/>
      <c r="S1674" s="10"/>
      <c r="T1674" s="10"/>
      <c r="U1674" s="10"/>
      <c r="V1674" s="10"/>
    </row>
    <row r="1675" ht="22.5" customHeight="1">
      <c r="A1675" s="5">
        <v>1.72712487459E11</v>
      </c>
      <c r="B1675" s="5" t="s">
        <v>1342</v>
      </c>
      <c r="C1675" s="5">
        <v>51998888624</v>
      </c>
      <c r="D1675" s="5" t="s">
        <v>38</v>
      </c>
      <c r="E1675" s="5"/>
      <c r="F1675" s="5"/>
      <c r="G1675" s="5"/>
      <c r="H1675" s="5"/>
      <c r="I1675" s="6"/>
      <c r="J1675" s="7" t="s">
        <v>34</v>
      </c>
      <c r="K1675" s="7"/>
      <c r="L1675" s="8">
        <v>1.771562127384E12</v>
      </c>
      <c r="M1675" s="9"/>
      <c r="N1675" s="10"/>
      <c r="O1675" s="10"/>
      <c r="P1675" s="10"/>
      <c r="Q1675" s="10"/>
      <c r="R1675" s="10"/>
      <c r="S1675" s="10"/>
      <c r="T1675" s="10"/>
      <c r="U1675" s="10"/>
      <c r="V1675" s="10"/>
    </row>
    <row r="1676" ht="22.5" customHeight="1">
      <c r="A1676" s="5">
        <v>1.85129358156E11</v>
      </c>
      <c r="B1676" s="5" t="s">
        <v>772</v>
      </c>
      <c r="C1676" s="5">
        <v>51951781968</v>
      </c>
      <c r="D1676" s="5" t="s">
        <v>13</v>
      </c>
      <c r="E1676" s="5"/>
      <c r="F1676" s="5" t="s">
        <v>714</v>
      </c>
      <c r="G1676" s="5" t="s">
        <v>44</v>
      </c>
      <c r="H1676" s="5" t="s">
        <v>69</v>
      </c>
      <c r="I1676" s="6" t="s">
        <v>49</v>
      </c>
      <c r="J1676" s="7" t="s">
        <v>177</v>
      </c>
      <c r="K1676" s="7" t="s">
        <v>36</v>
      </c>
      <c r="L1676" s="8">
        <v>1.771562128226E12</v>
      </c>
      <c r="M1676" s="9"/>
      <c r="N1676" s="10"/>
      <c r="O1676" s="10"/>
      <c r="P1676" s="10"/>
      <c r="Q1676" s="10"/>
      <c r="R1676" s="10"/>
      <c r="S1676" s="10"/>
      <c r="T1676" s="10"/>
      <c r="U1676" s="10"/>
      <c r="V1676" s="10"/>
    </row>
    <row r="1677" ht="22.5" customHeight="1">
      <c r="A1677" s="5">
        <v>2.01003264636E11</v>
      </c>
      <c r="B1677" s="5" t="s">
        <v>1614</v>
      </c>
      <c r="C1677" s="5">
        <v>51935634143</v>
      </c>
      <c r="D1677" s="5" t="s">
        <v>13</v>
      </c>
      <c r="E1677" s="5">
        <v>8.7547393E7</v>
      </c>
      <c r="F1677" s="5" t="s">
        <v>687</v>
      </c>
      <c r="G1677" s="5" t="s">
        <v>15</v>
      </c>
      <c r="H1677" s="5" t="s">
        <v>29</v>
      </c>
      <c r="I1677" s="6" t="s">
        <v>17</v>
      </c>
      <c r="J1677" s="7" t="s">
        <v>25</v>
      </c>
      <c r="K1677" s="7"/>
      <c r="L1677" s="8">
        <v>1.771562126664E12</v>
      </c>
      <c r="M1677" s="9"/>
      <c r="N1677" s="10"/>
      <c r="O1677" s="10"/>
      <c r="P1677" s="10"/>
      <c r="Q1677" s="10"/>
      <c r="R1677" s="10"/>
      <c r="S1677" s="10"/>
      <c r="T1677" s="10"/>
      <c r="U1677" s="10"/>
      <c r="V1677" s="10"/>
    </row>
    <row r="1678" ht="22.5" customHeight="1">
      <c r="A1678" s="5">
        <v>1.55818034745E11</v>
      </c>
      <c r="B1678" s="5" t="s">
        <v>269</v>
      </c>
      <c r="C1678" s="5">
        <v>51973524007</v>
      </c>
      <c r="D1678" s="5" t="s">
        <v>103</v>
      </c>
      <c r="E1678" s="5">
        <v>8.7547393E7</v>
      </c>
      <c r="F1678" s="5" t="s">
        <v>93</v>
      </c>
      <c r="G1678" s="5" t="s">
        <v>44</v>
      </c>
      <c r="H1678" s="5" t="s">
        <v>16</v>
      </c>
      <c r="I1678" s="6" t="s">
        <v>17</v>
      </c>
      <c r="J1678" s="7" t="s">
        <v>34</v>
      </c>
      <c r="K1678" s="7"/>
      <c r="L1678" s="8">
        <v>1.771562127989E12</v>
      </c>
      <c r="M1678" s="9"/>
      <c r="N1678" s="10"/>
      <c r="O1678" s="10"/>
      <c r="P1678" s="10"/>
      <c r="Q1678" s="10"/>
      <c r="R1678" s="10"/>
      <c r="S1678" s="10"/>
      <c r="T1678" s="10"/>
      <c r="U1678" s="10"/>
      <c r="V1678" s="10"/>
    </row>
    <row r="1679" ht="22.5" customHeight="1">
      <c r="A1679" s="5">
        <v>1.71322283042E11</v>
      </c>
      <c r="B1679" s="5" t="s">
        <v>377</v>
      </c>
      <c r="C1679" s="5">
        <v>51961872165</v>
      </c>
      <c r="D1679" s="5" t="s">
        <v>13</v>
      </c>
      <c r="E1679" s="5">
        <v>8.7547393E7</v>
      </c>
      <c r="F1679" s="5" t="s">
        <v>714</v>
      </c>
      <c r="G1679" s="5" t="s">
        <v>44</v>
      </c>
      <c r="H1679" s="5" t="s">
        <v>16</v>
      </c>
      <c r="I1679" s="6" t="s">
        <v>17</v>
      </c>
      <c r="J1679" s="7" t="s">
        <v>34</v>
      </c>
      <c r="K1679" s="7"/>
      <c r="L1679" s="8">
        <v>1.771562126994E12</v>
      </c>
      <c r="M1679" s="9"/>
      <c r="N1679" s="10"/>
      <c r="O1679" s="10"/>
      <c r="P1679" s="10"/>
      <c r="Q1679" s="10"/>
      <c r="R1679" s="10"/>
      <c r="S1679" s="10"/>
      <c r="T1679" s="10"/>
      <c r="U1679" s="10"/>
      <c r="V1679" s="10"/>
    </row>
    <row r="1680" ht="22.5" customHeight="1">
      <c r="A1680" s="5">
        <v>2.0101529357E11</v>
      </c>
      <c r="B1680" s="5" t="s">
        <v>1615</v>
      </c>
      <c r="C1680" s="5">
        <v>51916613263</v>
      </c>
      <c r="D1680" s="5" t="s">
        <v>13</v>
      </c>
      <c r="E1680" s="5">
        <v>8.0566583E7</v>
      </c>
      <c r="F1680" s="5" t="s">
        <v>1587</v>
      </c>
      <c r="G1680" s="5" t="s">
        <v>15</v>
      </c>
      <c r="H1680" s="5" t="s">
        <v>51</v>
      </c>
      <c r="I1680" s="6" t="s">
        <v>17</v>
      </c>
      <c r="J1680" s="7" t="s">
        <v>18</v>
      </c>
      <c r="K1680" s="7" t="s">
        <v>61</v>
      </c>
      <c r="L1680" s="8">
        <v>1.771562128294E12</v>
      </c>
      <c r="M1680" s="9"/>
      <c r="N1680" s="10"/>
      <c r="O1680" s="10"/>
      <c r="P1680" s="10"/>
      <c r="Q1680" s="10"/>
      <c r="R1680" s="10"/>
      <c r="S1680" s="10"/>
      <c r="T1680" s="10"/>
      <c r="U1680" s="10"/>
      <c r="V1680" s="10"/>
    </row>
    <row r="1681" ht="22.5" customHeight="1">
      <c r="A1681" s="5">
        <v>2.01091473687E11</v>
      </c>
      <c r="B1681" s="5" t="s">
        <v>1616</v>
      </c>
      <c r="C1681" s="5">
        <v>525611712999</v>
      </c>
      <c r="D1681" s="5" t="s">
        <v>22</v>
      </c>
      <c r="E1681" s="5">
        <v>8.0566583E7</v>
      </c>
      <c r="F1681" s="5" t="s">
        <v>1568</v>
      </c>
      <c r="G1681" s="5" t="s">
        <v>79</v>
      </c>
      <c r="H1681" s="5" t="s">
        <v>326</v>
      </c>
      <c r="I1681" s="6" t="s">
        <v>49</v>
      </c>
      <c r="J1681" s="7" t="s">
        <v>34</v>
      </c>
      <c r="K1681" s="7"/>
      <c r="L1681" s="8">
        <v>1.771562128342E12</v>
      </c>
      <c r="M1681" s="9"/>
      <c r="N1681" s="10"/>
      <c r="O1681" s="10"/>
      <c r="P1681" s="10"/>
      <c r="Q1681" s="10"/>
      <c r="R1681" s="10"/>
      <c r="S1681" s="10"/>
      <c r="T1681" s="10"/>
      <c r="U1681" s="10"/>
      <c r="V1681" s="10"/>
    </row>
    <row r="1682" ht="22.5" customHeight="1">
      <c r="A1682" s="5">
        <v>1.75291148852E11</v>
      </c>
      <c r="B1682" s="5" t="s">
        <v>633</v>
      </c>
      <c r="C1682" s="5">
        <v>51989975455</v>
      </c>
      <c r="D1682" s="5" t="s">
        <v>103</v>
      </c>
      <c r="E1682" s="5">
        <v>8.0566583E7</v>
      </c>
      <c r="F1682" s="5" t="s">
        <v>39</v>
      </c>
      <c r="G1682" s="5" t="s">
        <v>79</v>
      </c>
      <c r="H1682" s="5" t="s">
        <v>24</v>
      </c>
      <c r="I1682" s="6"/>
      <c r="J1682" s="7" t="s">
        <v>34</v>
      </c>
      <c r="K1682" s="7"/>
      <c r="L1682" s="8">
        <v>1.771562126644E12</v>
      </c>
      <c r="M1682" s="9"/>
      <c r="N1682" s="10"/>
      <c r="O1682" s="10"/>
      <c r="P1682" s="10"/>
      <c r="Q1682" s="10"/>
      <c r="R1682" s="10"/>
      <c r="S1682" s="10"/>
      <c r="T1682" s="10"/>
      <c r="U1682" s="10"/>
      <c r="V1682" s="10"/>
    </row>
    <row r="1683" ht="22.5" customHeight="1">
      <c r="A1683" s="5">
        <v>2.01027297062E11</v>
      </c>
      <c r="B1683" s="5" t="s">
        <v>1617</v>
      </c>
      <c r="C1683" s="5">
        <v>51955294595</v>
      </c>
      <c r="D1683" s="5" t="s">
        <v>13</v>
      </c>
      <c r="E1683" s="5">
        <v>8.7547393E7</v>
      </c>
      <c r="F1683" s="5" t="s">
        <v>673</v>
      </c>
      <c r="G1683" s="5" t="s">
        <v>15</v>
      </c>
      <c r="H1683" s="5" t="s">
        <v>51</v>
      </c>
      <c r="I1683" s="6" t="s">
        <v>17</v>
      </c>
      <c r="J1683" s="7" t="s">
        <v>18</v>
      </c>
      <c r="K1683" s="7" t="s">
        <v>61</v>
      </c>
      <c r="L1683" s="8">
        <v>1.771562126679E12</v>
      </c>
      <c r="M1683" s="9"/>
      <c r="N1683" s="10"/>
      <c r="O1683" s="10"/>
      <c r="P1683" s="10"/>
      <c r="Q1683" s="10"/>
      <c r="R1683" s="10"/>
      <c r="S1683" s="10"/>
      <c r="T1683" s="10"/>
      <c r="U1683" s="10"/>
      <c r="V1683" s="10"/>
    </row>
    <row r="1684" ht="22.5" customHeight="1">
      <c r="A1684" s="5">
        <v>2.00924296261E11</v>
      </c>
      <c r="B1684" s="5" t="s">
        <v>1618</v>
      </c>
      <c r="C1684" s="5">
        <v>51949157460</v>
      </c>
      <c r="D1684" s="5" t="s">
        <v>22</v>
      </c>
      <c r="E1684" s="5">
        <v>8.7547393E7</v>
      </c>
      <c r="F1684" s="5" t="s">
        <v>691</v>
      </c>
      <c r="G1684" s="5" t="s">
        <v>44</v>
      </c>
      <c r="H1684" s="5" t="s">
        <v>16</v>
      </c>
      <c r="I1684" s="6" t="s">
        <v>17</v>
      </c>
      <c r="J1684" s="7" t="s">
        <v>18</v>
      </c>
      <c r="K1684" s="7" t="s">
        <v>61</v>
      </c>
      <c r="L1684" s="8">
        <v>1.77156212745E12</v>
      </c>
      <c r="M1684" s="9"/>
      <c r="N1684" s="10"/>
      <c r="O1684" s="10"/>
      <c r="P1684" s="10"/>
      <c r="Q1684" s="10"/>
      <c r="R1684" s="10"/>
      <c r="S1684" s="10"/>
      <c r="T1684" s="10"/>
      <c r="U1684" s="10"/>
      <c r="V1684" s="10"/>
    </row>
    <row r="1685" ht="22.5" customHeight="1">
      <c r="A1685" s="5">
        <v>1.47744711961E11</v>
      </c>
      <c r="B1685" s="5" t="s">
        <v>1212</v>
      </c>
      <c r="C1685" s="5">
        <v>525517565710</v>
      </c>
      <c r="D1685" s="5" t="s">
        <v>13</v>
      </c>
      <c r="E1685" s="5">
        <v>8.0566583E7</v>
      </c>
      <c r="F1685" s="5" t="s">
        <v>510</v>
      </c>
      <c r="G1685" s="5"/>
      <c r="H1685" s="5" t="s">
        <v>51</v>
      </c>
      <c r="I1685" s="6" t="s">
        <v>36</v>
      </c>
      <c r="J1685" s="7" t="s">
        <v>18</v>
      </c>
      <c r="K1685" s="7" t="s">
        <v>76</v>
      </c>
      <c r="L1685" s="8">
        <v>1.771562127928E12</v>
      </c>
      <c r="M1685" s="9"/>
      <c r="N1685" s="10"/>
      <c r="O1685" s="10"/>
      <c r="P1685" s="10"/>
      <c r="Q1685" s="10"/>
      <c r="R1685" s="10"/>
      <c r="S1685" s="10"/>
      <c r="T1685" s="10"/>
      <c r="U1685" s="10"/>
      <c r="V1685" s="10"/>
    </row>
    <row r="1686" ht="22.5" customHeight="1">
      <c r="A1686" s="5">
        <v>1.45116787827E11</v>
      </c>
      <c r="B1686" s="5" t="s">
        <v>1619</v>
      </c>
      <c r="C1686" s="5">
        <v>51949659469</v>
      </c>
      <c r="D1686" s="5" t="s">
        <v>13</v>
      </c>
      <c r="E1686" s="5"/>
      <c r="F1686" s="5" t="s">
        <v>1568</v>
      </c>
      <c r="G1686" s="5" t="s">
        <v>15</v>
      </c>
      <c r="H1686" s="5" t="s">
        <v>51</v>
      </c>
      <c r="I1686" s="6" t="s">
        <v>17</v>
      </c>
      <c r="J1686" s="7" t="s">
        <v>18</v>
      </c>
      <c r="K1686" s="7" t="s">
        <v>61</v>
      </c>
      <c r="L1686" s="8">
        <v>1.771562127628E12</v>
      </c>
      <c r="M1686" s="9"/>
      <c r="N1686" s="10"/>
      <c r="O1686" s="10"/>
      <c r="P1686" s="10"/>
      <c r="Q1686" s="10"/>
      <c r="R1686" s="10"/>
      <c r="S1686" s="10"/>
      <c r="T1686" s="10"/>
      <c r="U1686" s="10"/>
      <c r="V1686" s="10"/>
    </row>
    <row r="1687" ht="22.5" customHeight="1">
      <c r="A1687" s="5">
        <v>1.71778077598E11</v>
      </c>
      <c r="B1687" s="5" t="s">
        <v>1131</v>
      </c>
      <c r="C1687" s="5">
        <v>51952268160</v>
      </c>
      <c r="D1687" s="5" t="s">
        <v>13</v>
      </c>
      <c r="E1687" s="5">
        <v>8.7547393E7</v>
      </c>
      <c r="F1687" s="5" t="s">
        <v>39</v>
      </c>
      <c r="G1687" s="5" t="s">
        <v>15</v>
      </c>
      <c r="H1687" s="5" t="s">
        <v>114</v>
      </c>
      <c r="I1687" s="6" t="s">
        <v>17</v>
      </c>
      <c r="J1687" s="7" t="s">
        <v>34</v>
      </c>
      <c r="K1687" s="7"/>
      <c r="L1687" s="8">
        <v>1.771562128554E12</v>
      </c>
      <c r="M1687" s="9"/>
      <c r="N1687" s="10"/>
      <c r="O1687" s="10"/>
      <c r="P1687" s="10"/>
      <c r="Q1687" s="10"/>
      <c r="R1687" s="10"/>
      <c r="S1687" s="10"/>
      <c r="T1687" s="10"/>
      <c r="U1687" s="10"/>
      <c r="V1687" s="10"/>
    </row>
    <row r="1688" ht="22.5" customHeight="1">
      <c r="A1688" s="5">
        <v>1.38946009957E11</v>
      </c>
      <c r="B1688" s="5" t="s">
        <v>668</v>
      </c>
      <c r="C1688" s="5">
        <v>51950125477</v>
      </c>
      <c r="D1688" s="5" t="s">
        <v>22</v>
      </c>
      <c r="E1688" s="5">
        <v>8.7547393E7</v>
      </c>
      <c r="F1688" s="5" t="s">
        <v>65</v>
      </c>
      <c r="G1688" s="5" t="s">
        <v>44</v>
      </c>
      <c r="H1688" s="5" t="s">
        <v>33</v>
      </c>
      <c r="I1688" s="6" t="s">
        <v>17</v>
      </c>
      <c r="J1688" s="7" t="s">
        <v>34</v>
      </c>
      <c r="K1688" s="7"/>
      <c r="L1688" s="8">
        <v>1.771562126363E12</v>
      </c>
      <c r="M1688" s="9"/>
      <c r="N1688" s="10"/>
      <c r="O1688" s="10"/>
      <c r="P1688" s="10"/>
      <c r="Q1688" s="10"/>
      <c r="R1688" s="10"/>
      <c r="S1688" s="10"/>
      <c r="T1688" s="10"/>
      <c r="U1688" s="10"/>
      <c r="V1688" s="10"/>
    </row>
    <row r="1689" ht="22.5" customHeight="1">
      <c r="A1689" s="5">
        <v>6.649072146E10</v>
      </c>
      <c r="B1689" s="5" t="s">
        <v>1620</v>
      </c>
      <c r="C1689" s="5">
        <v>51950114363</v>
      </c>
      <c r="D1689" s="5" t="s">
        <v>22</v>
      </c>
      <c r="E1689" s="5">
        <v>8.0566583E7</v>
      </c>
      <c r="F1689" s="5" t="s">
        <v>673</v>
      </c>
      <c r="G1689" s="5" t="s">
        <v>79</v>
      </c>
      <c r="H1689" s="5" t="s">
        <v>16</v>
      </c>
      <c r="I1689" s="6" t="s">
        <v>49</v>
      </c>
      <c r="J1689" s="7" t="s">
        <v>18</v>
      </c>
      <c r="K1689" s="7" t="s">
        <v>19</v>
      </c>
      <c r="L1689" s="8">
        <v>1.771562126419E12</v>
      </c>
      <c r="M1689" s="9"/>
      <c r="N1689" s="10"/>
      <c r="O1689" s="10"/>
      <c r="P1689" s="10"/>
      <c r="Q1689" s="10"/>
      <c r="R1689" s="10"/>
      <c r="S1689" s="10"/>
      <c r="T1689" s="10"/>
      <c r="U1689" s="10"/>
      <c r="V1689" s="10"/>
    </row>
    <row r="1690" ht="22.5" customHeight="1">
      <c r="A1690" s="5">
        <v>7.9926197356E10</v>
      </c>
      <c r="B1690" s="5" t="s">
        <v>828</v>
      </c>
      <c r="C1690" s="5">
        <v>51941100896</v>
      </c>
      <c r="D1690" s="5" t="s">
        <v>103</v>
      </c>
      <c r="E1690" s="5"/>
      <c r="F1690" s="5" t="s">
        <v>93</v>
      </c>
      <c r="G1690" s="5" t="s">
        <v>829</v>
      </c>
      <c r="H1690" s="5" t="s">
        <v>33</v>
      </c>
      <c r="I1690" s="6" t="s">
        <v>17</v>
      </c>
      <c r="J1690" s="7" t="s">
        <v>34</v>
      </c>
      <c r="K1690" s="7"/>
      <c r="L1690" s="8">
        <v>1.77156212648E12</v>
      </c>
      <c r="M1690" s="9"/>
      <c r="N1690" s="10"/>
      <c r="O1690" s="10"/>
      <c r="P1690" s="10"/>
      <c r="Q1690" s="10"/>
      <c r="R1690" s="10"/>
      <c r="S1690" s="10"/>
      <c r="T1690" s="10"/>
      <c r="U1690" s="10"/>
      <c r="V1690" s="10"/>
    </row>
    <row r="1691" ht="22.5" customHeight="1">
      <c r="A1691" s="5">
        <v>2.04022234966E11</v>
      </c>
      <c r="B1691" s="5" t="s">
        <v>1621</v>
      </c>
      <c r="C1691" s="5">
        <v>5553981028053</v>
      </c>
      <c r="D1691" s="5" t="s">
        <v>13</v>
      </c>
      <c r="E1691" s="5">
        <v>7.9360573E7</v>
      </c>
      <c r="F1691" s="5" t="s">
        <v>39</v>
      </c>
      <c r="G1691" s="5" t="s">
        <v>15</v>
      </c>
      <c r="H1691" s="5" t="s">
        <v>807</v>
      </c>
      <c r="I1691" s="6" t="s">
        <v>148</v>
      </c>
      <c r="J1691" s="7" t="s">
        <v>34</v>
      </c>
      <c r="K1691" s="7"/>
      <c r="L1691" s="8">
        <v>1.771562286932E12</v>
      </c>
      <c r="M1691" s="9"/>
      <c r="N1691" s="10"/>
      <c r="O1691" s="10"/>
      <c r="P1691" s="10"/>
      <c r="Q1691" s="10"/>
      <c r="R1691" s="10"/>
      <c r="S1691" s="10"/>
      <c r="T1691" s="10"/>
      <c r="U1691" s="10"/>
      <c r="V1691" s="10"/>
    </row>
    <row r="1692" ht="22.5" customHeight="1">
      <c r="A1692" s="5">
        <v>2.04025209744E11</v>
      </c>
      <c r="B1692" s="5" t="s">
        <v>1622</v>
      </c>
      <c r="C1692" s="5">
        <v>523310434617</v>
      </c>
      <c r="D1692" s="5" t="s">
        <v>22</v>
      </c>
      <c r="E1692" s="5">
        <v>8.0566583E7</v>
      </c>
      <c r="F1692" s="5" t="s">
        <v>39</v>
      </c>
      <c r="G1692" s="5" t="s">
        <v>44</v>
      </c>
      <c r="H1692" s="5" t="s">
        <v>24</v>
      </c>
      <c r="I1692" s="6" t="s">
        <v>17</v>
      </c>
      <c r="J1692" s="7" t="s">
        <v>18</v>
      </c>
      <c r="K1692" s="7" t="s">
        <v>61</v>
      </c>
      <c r="L1692" s="8">
        <v>1.771563318056E12</v>
      </c>
      <c r="M1692" s="9"/>
      <c r="N1692" s="10"/>
      <c r="O1692" s="10"/>
      <c r="P1692" s="10"/>
      <c r="Q1692" s="10"/>
      <c r="R1692" s="10"/>
      <c r="S1692" s="10"/>
      <c r="T1692" s="10"/>
      <c r="U1692" s="10"/>
      <c r="V1692" s="10"/>
    </row>
    <row r="1693" ht="22.5" customHeight="1">
      <c r="A1693" s="5">
        <v>2.0403442796E11</v>
      </c>
      <c r="B1693" s="5" t="s">
        <v>1623</v>
      </c>
      <c r="C1693" s="5">
        <v>529221556952</v>
      </c>
      <c r="D1693" s="5" t="s">
        <v>13</v>
      </c>
      <c r="E1693" s="5">
        <v>8.0566583E7</v>
      </c>
      <c r="F1693" s="5" t="s">
        <v>93</v>
      </c>
      <c r="G1693" s="5" t="s">
        <v>15</v>
      </c>
      <c r="H1693" s="5" t="s">
        <v>66</v>
      </c>
      <c r="I1693" s="6" t="s">
        <v>17</v>
      </c>
      <c r="J1693" s="7" t="s">
        <v>18</v>
      </c>
      <c r="K1693" s="7" t="s">
        <v>61</v>
      </c>
      <c r="L1693" s="8">
        <v>1.771564681941E12</v>
      </c>
      <c r="M1693" s="9"/>
      <c r="N1693" s="10"/>
      <c r="O1693" s="10"/>
      <c r="P1693" s="10"/>
      <c r="Q1693" s="10"/>
      <c r="R1693" s="10"/>
      <c r="S1693" s="10"/>
      <c r="T1693" s="10"/>
      <c r="U1693" s="10"/>
      <c r="V1693" s="10"/>
    </row>
    <row r="1694" ht="22.5" customHeight="1">
      <c r="A1694" s="5">
        <v>2.04035027204E11</v>
      </c>
      <c r="B1694" s="5" t="s">
        <v>1624</v>
      </c>
      <c r="C1694" s="5">
        <v>527551336445</v>
      </c>
      <c r="D1694" s="5" t="s">
        <v>13</v>
      </c>
      <c r="E1694" s="5">
        <v>8.0566583E7</v>
      </c>
      <c r="F1694" s="5" t="s">
        <v>39</v>
      </c>
      <c r="G1694" s="5" t="s">
        <v>15</v>
      </c>
      <c r="H1694" s="5" t="s">
        <v>69</v>
      </c>
      <c r="I1694" s="6"/>
      <c r="J1694" s="7" t="s">
        <v>18</v>
      </c>
      <c r="K1694" s="7" t="s">
        <v>61</v>
      </c>
      <c r="L1694" s="8">
        <v>1.771564643288E12</v>
      </c>
      <c r="M1694" s="9"/>
      <c r="N1694" s="10"/>
      <c r="O1694" s="10"/>
      <c r="P1694" s="10"/>
      <c r="Q1694" s="10"/>
      <c r="R1694" s="10"/>
      <c r="S1694" s="10"/>
      <c r="T1694" s="10"/>
      <c r="U1694" s="10"/>
      <c r="V1694" s="10"/>
    </row>
    <row r="1695" ht="22.5" customHeight="1">
      <c r="A1695" s="5">
        <v>2.0402613382E11</v>
      </c>
      <c r="B1695" s="5" t="s">
        <v>1625</v>
      </c>
      <c r="C1695" s="5">
        <v>51912765835</v>
      </c>
      <c r="D1695" s="5" t="s">
        <v>13</v>
      </c>
      <c r="E1695" s="5">
        <v>8.0566583E7</v>
      </c>
      <c r="F1695" s="5" t="s">
        <v>510</v>
      </c>
      <c r="G1695" s="5" t="s">
        <v>15</v>
      </c>
      <c r="H1695" s="5" t="s">
        <v>69</v>
      </c>
      <c r="I1695" s="6" t="s">
        <v>17</v>
      </c>
      <c r="J1695" s="7" t="s">
        <v>34</v>
      </c>
      <c r="K1695" s="7"/>
      <c r="L1695" s="8">
        <v>1.771565643506E12</v>
      </c>
      <c r="M1695" s="9"/>
      <c r="N1695" s="10"/>
      <c r="O1695" s="10"/>
      <c r="P1695" s="10"/>
      <c r="Q1695" s="10"/>
      <c r="R1695" s="10"/>
      <c r="S1695" s="10"/>
      <c r="T1695" s="10"/>
      <c r="U1695" s="10"/>
      <c r="V1695" s="10"/>
    </row>
    <row r="1696" ht="22.5" customHeight="1">
      <c r="A1696" s="5">
        <v>2.04027631676E11</v>
      </c>
      <c r="B1696" s="5" t="s">
        <v>1626</v>
      </c>
      <c r="C1696" s="5">
        <v>522213562116</v>
      </c>
      <c r="D1696" s="5" t="s">
        <v>13</v>
      </c>
      <c r="E1696" s="5">
        <v>8.7547393E7</v>
      </c>
      <c r="F1696" s="5" t="s">
        <v>65</v>
      </c>
      <c r="G1696" s="5" t="s">
        <v>15</v>
      </c>
      <c r="H1696" s="5" t="s">
        <v>33</v>
      </c>
      <c r="I1696" s="6" t="s">
        <v>63</v>
      </c>
      <c r="J1696" s="7" t="s">
        <v>18</v>
      </c>
      <c r="K1696" s="7" t="s">
        <v>61</v>
      </c>
      <c r="L1696" s="8">
        <v>1.771566553174E12</v>
      </c>
      <c r="M1696" s="9"/>
      <c r="N1696" s="10"/>
      <c r="O1696" s="10"/>
      <c r="P1696" s="10"/>
      <c r="Q1696" s="10"/>
      <c r="R1696" s="10"/>
      <c r="S1696" s="10"/>
      <c r="T1696" s="10"/>
      <c r="U1696" s="10"/>
      <c r="V1696" s="10"/>
    </row>
    <row r="1697" ht="22.5" customHeight="1">
      <c r="A1697" s="5">
        <v>2.04044253751E11</v>
      </c>
      <c r="B1697" s="5" t="s">
        <v>1627</v>
      </c>
      <c r="C1697" s="5">
        <v>5511987081179</v>
      </c>
      <c r="D1697" s="5" t="s">
        <v>13</v>
      </c>
      <c r="E1697" s="5">
        <v>7.9360573E7</v>
      </c>
      <c r="F1697" s="5" t="s">
        <v>93</v>
      </c>
      <c r="G1697" s="5" t="s">
        <v>15</v>
      </c>
      <c r="H1697" s="5" t="s">
        <v>51</v>
      </c>
      <c r="I1697" s="6" t="s">
        <v>17</v>
      </c>
      <c r="J1697" s="7" t="s">
        <v>34</v>
      </c>
      <c r="K1697" s="7"/>
      <c r="L1697" s="8">
        <v>1.771566852389E12</v>
      </c>
      <c r="M1697" s="9"/>
      <c r="N1697" s="10"/>
      <c r="O1697" s="10"/>
      <c r="P1697" s="10"/>
      <c r="Q1697" s="10"/>
      <c r="R1697" s="10"/>
      <c r="S1697" s="10"/>
      <c r="T1697" s="10"/>
      <c r="U1697" s="10"/>
      <c r="V1697" s="10"/>
    </row>
    <row r="1698" ht="22.5" customHeight="1">
      <c r="A1698" s="5">
        <v>2.04049143944E11</v>
      </c>
      <c r="B1698" s="5" t="s">
        <v>1628</v>
      </c>
      <c r="C1698" s="5">
        <v>51996323924</v>
      </c>
      <c r="D1698" s="5" t="s">
        <v>38</v>
      </c>
      <c r="E1698" s="5">
        <v>8.0566583E7</v>
      </c>
      <c r="F1698" s="5" t="s">
        <v>259</v>
      </c>
      <c r="G1698" s="5" t="s">
        <v>15</v>
      </c>
      <c r="H1698" s="5" t="s">
        <v>51</v>
      </c>
      <c r="I1698" s="6" t="s">
        <v>63</v>
      </c>
      <c r="J1698" s="7" t="s">
        <v>18</v>
      </c>
      <c r="K1698" s="7" t="s">
        <v>19</v>
      </c>
      <c r="L1698" s="8">
        <v>1.77157587442E12</v>
      </c>
      <c r="M1698" s="9"/>
      <c r="N1698" s="10"/>
      <c r="O1698" s="10"/>
      <c r="P1698" s="10"/>
      <c r="Q1698" s="10"/>
      <c r="R1698" s="10"/>
      <c r="S1698" s="10"/>
      <c r="T1698" s="10"/>
      <c r="U1698" s="10"/>
      <c r="V1698" s="10"/>
    </row>
    <row r="1699" ht="22.5" customHeight="1">
      <c r="A1699" s="5">
        <v>2.04052263997E11</v>
      </c>
      <c r="B1699" s="5" t="s">
        <v>1629</v>
      </c>
      <c r="C1699" s="5">
        <v>5543999650738</v>
      </c>
      <c r="D1699" s="5" t="s">
        <v>13</v>
      </c>
      <c r="E1699" s="5">
        <v>7.9360573E7</v>
      </c>
      <c r="F1699" s="5" t="s">
        <v>93</v>
      </c>
      <c r="G1699" s="5" t="s">
        <v>15</v>
      </c>
      <c r="H1699" s="5" t="s">
        <v>16</v>
      </c>
      <c r="I1699" s="6" t="s">
        <v>148</v>
      </c>
      <c r="J1699" s="7" t="s">
        <v>34</v>
      </c>
      <c r="K1699" s="7"/>
      <c r="L1699" s="8">
        <v>1.771577630725E12</v>
      </c>
      <c r="M1699" s="9"/>
      <c r="N1699" s="10"/>
      <c r="O1699" s="10"/>
      <c r="P1699" s="10"/>
      <c r="Q1699" s="10"/>
      <c r="R1699" s="10"/>
      <c r="S1699" s="10"/>
      <c r="T1699" s="10"/>
      <c r="U1699" s="10"/>
      <c r="V1699" s="10"/>
    </row>
    <row r="1700" ht="22.5" customHeight="1">
      <c r="A1700" s="5">
        <v>2.04067788889E11</v>
      </c>
      <c r="B1700" s="5" t="s">
        <v>1630</v>
      </c>
      <c r="C1700" s="5">
        <v>51901966928</v>
      </c>
      <c r="D1700" s="5" t="s">
        <v>13</v>
      </c>
      <c r="E1700" s="5">
        <v>8.0566583E7</v>
      </c>
      <c r="F1700" s="5" t="s">
        <v>510</v>
      </c>
      <c r="G1700" s="5" t="s">
        <v>15</v>
      </c>
      <c r="H1700" s="5" t="s">
        <v>51</v>
      </c>
      <c r="I1700" s="6" t="s">
        <v>17</v>
      </c>
      <c r="J1700" s="7" t="s">
        <v>18</v>
      </c>
      <c r="K1700" s="7" t="s">
        <v>19</v>
      </c>
      <c r="L1700" s="8">
        <v>1.771577900355E12</v>
      </c>
      <c r="M1700" s="9"/>
      <c r="N1700" s="10"/>
      <c r="O1700" s="10"/>
      <c r="P1700" s="10"/>
      <c r="Q1700" s="10"/>
      <c r="R1700" s="10"/>
      <c r="S1700" s="10"/>
      <c r="T1700" s="10"/>
      <c r="U1700" s="10"/>
      <c r="V1700" s="10"/>
    </row>
    <row r="1701" ht="22.5" customHeight="1">
      <c r="A1701" s="5">
        <v>2.03785014348E11</v>
      </c>
      <c r="B1701" s="5" t="s">
        <v>1631</v>
      </c>
      <c r="C1701" s="5">
        <v>51920411929</v>
      </c>
      <c r="D1701" s="5" t="s">
        <v>38</v>
      </c>
      <c r="E1701" s="5">
        <v>8.0566583E7</v>
      </c>
      <c r="F1701" s="5"/>
      <c r="G1701" s="5"/>
      <c r="H1701" s="5"/>
      <c r="I1701" s="6"/>
      <c r="J1701" s="7" t="s">
        <v>34</v>
      </c>
      <c r="K1701" s="7"/>
      <c r="L1701" s="8">
        <v>1.771579728549E12</v>
      </c>
      <c r="M1701" s="9"/>
      <c r="N1701" s="10"/>
      <c r="O1701" s="10"/>
      <c r="P1701" s="10"/>
      <c r="Q1701" s="10"/>
      <c r="R1701" s="10"/>
      <c r="S1701" s="10"/>
      <c r="T1701" s="10"/>
      <c r="U1701" s="10"/>
      <c r="V1701" s="10"/>
    </row>
    <row r="1702" ht="22.5" customHeight="1">
      <c r="A1702" s="5">
        <v>2.04072564519E11</v>
      </c>
      <c r="B1702" s="5" t="s">
        <v>1632</v>
      </c>
      <c r="C1702" s="5">
        <v>5535991382176</v>
      </c>
      <c r="D1702" s="5" t="s">
        <v>22</v>
      </c>
      <c r="E1702" s="5">
        <v>7.9360573E7</v>
      </c>
      <c r="F1702" s="5" t="s">
        <v>93</v>
      </c>
      <c r="G1702" s="5" t="s">
        <v>32</v>
      </c>
      <c r="H1702" s="5" t="s">
        <v>16</v>
      </c>
      <c r="I1702" s="6" t="s">
        <v>89</v>
      </c>
      <c r="J1702" s="7" t="s">
        <v>34</v>
      </c>
      <c r="K1702" s="7"/>
      <c r="L1702" s="8">
        <v>1.771581943855E12</v>
      </c>
      <c r="M1702" s="9"/>
      <c r="N1702" s="10"/>
      <c r="O1702" s="10"/>
      <c r="P1702" s="10"/>
      <c r="Q1702" s="10"/>
      <c r="R1702" s="10"/>
      <c r="S1702" s="10"/>
      <c r="T1702" s="10"/>
      <c r="U1702" s="10"/>
      <c r="V1702" s="10"/>
    </row>
    <row r="1703" ht="22.5" customHeight="1">
      <c r="A1703" s="5">
        <v>1.63228917022E11</v>
      </c>
      <c r="B1703" s="5" t="s">
        <v>1633</v>
      </c>
      <c r="C1703" s="5">
        <v>51963465324</v>
      </c>
      <c r="D1703" s="5" t="s">
        <v>22</v>
      </c>
      <c r="E1703" s="5">
        <v>8.7547393E7</v>
      </c>
      <c r="F1703" s="5" t="s">
        <v>259</v>
      </c>
      <c r="G1703" s="5">
        <v>50</v>
      </c>
      <c r="H1703" s="5" t="s">
        <v>24</v>
      </c>
      <c r="I1703" s="6" t="s">
        <v>17</v>
      </c>
      <c r="J1703" s="7" t="s">
        <v>18</v>
      </c>
      <c r="K1703" s="7" t="s">
        <v>19</v>
      </c>
      <c r="L1703" s="8">
        <v>1.771582923874E12</v>
      </c>
      <c r="M1703" s="9"/>
      <c r="N1703" s="10"/>
      <c r="O1703" s="10"/>
      <c r="P1703" s="10"/>
      <c r="Q1703" s="10"/>
      <c r="R1703" s="10"/>
      <c r="S1703" s="10"/>
      <c r="T1703" s="10"/>
      <c r="U1703" s="10"/>
      <c r="V1703" s="10"/>
    </row>
    <row r="1704" ht="22.5" customHeight="1">
      <c r="A1704" s="5">
        <v>2.04060131643E11</v>
      </c>
      <c r="B1704" s="5" t="s">
        <v>1634</v>
      </c>
      <c r="C1704" s="5">
        <v>51997018226</v>
      </c>
      <c r="D1704" s="5" t="s">
        <v>22</v>
      </c>
      <c r="E1704" s="5">
        <v>8.7547393E7</v>
      </c>
      <c r="F1704" s="5" t="s">
        <v>42</v>
      </c>
      <c r="G1704" s="5" t="s">
        <v>44</v>
      </c>
      <c r="H1704" s="5" t="s">
        <v>66</v>
      </c>
      <c r="I1704" s="6" t="s">
        <v>17</v>
      </c>
      <c r="J1704" s="7" t="s">
        <v>18</v>
      </c>
      <c r="K1704" s="7" t="s">
        <v>19</v>
      </c>
      <c r="L1704" s="8">
        <v>1.771583134457E12</v>
      </c>
      <c r="M1704" s="9"/>
      <c r="N1704" s="10"/>
      <c r="O1704" s="10"/>
      <c r="P1704" s="10"/>
      <c r="Q1704" s="10"/>
      <c r="R1704" s="10"/>
      <c r="S1704" s="10"/>
      <c r="T1704" s="10"/>
      <c r="U1704" s="10"/>
      <c r="V1704" s="10"/>
    </row>
    <row r="1705" ht="22.5" customHeight="1">
      <c r="A1705" s="5">
        <v>2.04085487682E11</v>
      </c>
      <c r="B1705" s="5" t="s">
        <v>1635</v>
      </c>
      <c r="C1705" s="5">
        <v>51947560349</v>
      </c>
      <c r="D1705" s="5" t="s">
        <v>38</v>
      </c>
      <c r="E1705" s="5">
        <v>8.7547393E7</v>
      </c>
      <c r="F1705" s="5"/>
      <c r="G1705" s="5"/>
      <c r="H1705" s="5"/>
      <c r="I1705" s="6"/>
      <c r="J1705" s="7" t="s">
        <v>34</v>
      </c>
      <c r="K1705" s="7"/>
      <c r="L1705" s="8">
        <v>1.771584572277E12</v>
      </c>
      <c r="M1705" s="9"/>
      <c r="N1705" s="10"/>
      <c r="O1705" s="10"/>
      <c r="P1705" s="10"/>
      <c r="Q1705" s="10"/>
      <c r="R1705" s="10"/>
      <c r="S1705" s="10"/>
      <c r="T1705" s="10"/>
      <c r="U1705" s="10"/>
      <c r="V1705" s="10"/>
    </row>
    <row r="1706" ht="22.5" customHeight="1">
      <c r="A1706" s="5">
        <v>2.04074439825E11</v>
      </c>
      <c r="B1706" s="5" t="s">
        <v>1636</v>
      </c>
      <c r="C1706" s="5">
        <v>5592996047414</v>
      </c>
      <c r="D1706" s="5" t="s">
        <v>13</v>
      </c>
      <c r="E1706" s="5">
        <v>7.9360573E7</v>
      </c>
      <c r="F1706" s="5" t="s">
        <v>39</v>
      </c>
      <c r="G1706" s="5" t="s">
        <v>32</v>
      </c>
      <c r="H1706" s="5" t="s">
        <v>66</v>
      </c>
      <c r="I1706" s="6" t="s">
        <v>17</v>
      </c>
      <c r="J1706" s="7" t="s">
        <v>58</v>
      </c>
      <c r="K1706" s="11" t="s">
        <v>59</v>
      </c>
      <c r="L1706" s="8">
        <v>1.771584962683E12</v>
      </c>
      <c r="M1706" s="9"/>
      <c r="N1706" s="10"/>
      <c r="O1706" s="10"/>
      <c r="P1706" s="10"/>
      <c r="Q1706" s="10"/>
      <c r="R1706" s="10"/>
      <c r="S1706" s="10"/>
      <c r="T1706" s="10"/>
      <c r="U1706" s="10"/>
      <c r="V1706" s="10"/>
    </row>
    <row r="1707" ht="22.5" customHeight="1">
      <c r="A1707" s="5">
        <v>2.04087012657E11</v>
      </c>
      <c r="B1707" s="5" t="s">
        <v>1637</v>
      </c>
      <c r="C1707" s="5">
        <v>5515996977808</v>
      </c>
      <c r="D1707" s="5" t="s">
        <v>22</v>
      </c>
      <c r="E1707" s="5">
        <v>7.9360573E7</v>
      </c>
      <c r="F1707" s="5" t="s">
        <v>28</v>
      </c>
      <c r="G1707" s="5" t="s">
        <v>44</v>
      </c>
      <c r="H1707" s="5" t="s">
        <v>51</v>
      </c>
      <c r="I1707" s="6" t="s">
        <v>17</v>
      </c>
      <c r="J1707" s="7" t="s">
        <v>34</v>
      </c>
      <c r="K1707" s="7"/>
      <c r="L1707" s="8">
        <v>1.77158500893E12</v>
      </c>
      <c r="M1707" s="9"/>
      <c r="N1707" s="10"/>
      <c r="O1707" s="10"/>
      <c r="P1707" s="10"/>
      <c r="Q1707" s="10"/>
      <c r="R1707" s="10"/>
      <c r="S1707" s="10"/>
      <c r="T1707" s="10"/>
      <c r="U1707" s="10"/>
      <c r="V1707" s="10"/>
    </row>
    <row r="1708" ht="22.5" customHeight="1">
      <c r="A1708" s="5">
        <v>2.04085778348E11</v>
      </c>
      <c r="B1708" s="5" t="s">
        <v>1638</v>
      </c>
      <c r="C1708" s="5">
        <v>5564996554626</v>
      </c>
      <c r="D1708" s="5" t="s">
        <v>13</v>
      </c>
      <c r="E1708" s="5">
        <v>7.9360573E7</v>
      </c>
      <c r="F1708" s="5" t="s">
        <v>510</v>
      </c>
      <c r="G1708" s="5" t="s">
        <v>15</v>
      </c>
      <c r="H1708" s="5" t="s">
        <v>16</v>
      </c>
      <c r="I1708" s="6" t="s">
        <v>148</v>
      </c>
      <c r="J1708" s="7" t="s">
        <v>34</v>
      </c>
      <c r="K1708" s="7"/>
      <c r="L1708" s="8">
        <v>1.77158599898E12</v>
      </c>
      <c r="M1708" s="9"/>
      <c r="N1708" s="10"/>
      <c r="O1708" s="10"/>
      <c r="P1708" s="10"/>
      <c r="Q1708" s="10"/>
      <c r="R1708" s="10"/>
      <c r="S1708" s="10"/>
      <c r="T1708" s="10"/>
      <c r="U1708" s="10"/>
      <c r="V1708" s="10"/>
    </row>
    <row r="1709" ht="22.5" customHeight="1">
      <c r="A1709" s="5">
        <v>2.03980027279E11</v>
      </c>
      <c r="B1709" s="5" t="s">
        <v>1639</v>
      </c>
      <c r="C1709" s="5">
        <v>51901373719</v>
      </c>
      <c r="D1709" s="5" t="s">
        <v>13</v>
      </c>
      <c r="E1709" s="5">
        <v>8.7547393E7</v>
      </c>
      <c r="F1709" s="5" t="s">
        <v>714</v>
      </c>
      <c r="G1709" s="5" t="s">
        <v>79</v>
      </c>
      <c r="H1709" s="5" t="s">
        <v>24</v>
      </c>
      <c r="I1709" s="6" t="s">
        <v>17</v>
      </c>
      <c r="J1709" s="7" t="s">
        <v>18</v>
      </c>
      <c r="K1709" s="7" t="s">
        <v>19</v>
      </c>
      <c r="L1709" s="8">
        <v>1.771585999646E12</v>
      </c>
      <c r="M1709" s="9"/>
      <c r="N1709" s="10"/>
      <c r="O1709" s="10"/>
      <c r="P1709" s="10"/>
      <c r="Q1709" s="10"/>
      <c r="R1709" s="10"/>
      <c r="S1709" s="10"/>
      <c r="T1709" s="10"/>
      <c r="U1709" s="10"/>
      <c r="V1709" s="10"/>
    </row>
    <row r="1710" ht="22.5" customHeight="1">
      <c r="A1710" s="5">
        <v>2.04085455994E11</v>
      </c>
      <c r="B1710" s="5" t="s">
        <v>1640</v>
      </c>
      <c r="C1710" s="5">
        <v>5527992628757</v>
      </c>
      <c r="D1710" s="5" t="s">
        <v>13</v>
      </c>
      <c r="E1710" s="5">
        <v>7.9360573E7</v>
      </c>
      <c r="F1710" s="5" t="s">
        <v>510</v>
      </c>
      <c r="G1710" s="5" t="s">
        <v>44</v>
      </c>
      <c r="H1710" s="5" t="s">
        <v>16</v>
      </c>
      <c r="I1710" s="6" t="s">
        <v>17</v>
      </c>
      <c r="J1710" s="7" t="s">
        <v>34</v>
      </c>
      <c r="K1710" s="7"/>
      <c r="L1710" s="8">
        <v>1.771586415811E12</v>
      </c>
      <c r="M1710" s="9"/>
      <c r="N1710" s="10"/>
      <c r="O1710" s="10"/>
      <c r="P1710" s="10"/>
      <c r="Q1710" s="10"/>
      <c r="R1710" s="10"/>
      <c r="S1710" s="10"/>
      <c r="T1710" s="10"/>
      <c r="U1710" s="10"/>
      <c r="V1710" s="10"/>
    </row>
    <row r="1711" ht="22.5" customHeight="1">
      <c r="A1711" s="5">
        <v>2.04089947396E11</v>
      </c>
      <c r="B1711" s="5" t="s">
        <v>1641</v>
      </c>
      <c r="C1711" s="5">
        <v>5538988467363</v>
      </c>
      <c r="D1711" s="5" t="s">
        <v>13</v>
      </c>
      <c r="E1711" s="5">
        <v>7.9360573E7</v>
      </c>
      <c r="F1711" s="5" t="s">
        <v>39</v>
      </c>
      <c r="G1711" s="5" t="s">
        <v>32</v>
      </c>
      <c r="H1711" s="5" t="s">
        <v>114</v>
      </c>
      <c r="I1711" s="6" t="s">
        <v>148</v>
      </c>
      <c r="J1711" s="7" t="s">
        <v>34</v>
      </c>
      <c r="K1711" s="7"/>
      <c r="L1711" s="8">
        <v>1.771586729424E12</v>
      </c>
      <c r="M1711" s="9"/>
      <c r="N1711" s="10"/>
      <c r="O1711" s="10"/>
      <c r="P1711" s="10"/>
      <c r="Q1711" s="10"/>
      <c r="R1711" s="10"/>
      <c r="S1711" s="10"/>
      <c r="T1711" s="10"/>
      <c r="U1711" s="10"/>
      <c r="V1711" s="10"/>
    </row>
    <row r="1712" ht="22.5" customHeight="1">
      <c r="A1712" s="5">
        <v>2.04088279421E11</v>
      </c>
      <c r="B1712" s="5" t="s">
        <v>1642</v>
      </c>
      <c r="C1712" s="5">
        <v>5511992828162</v>
      </c>
      <c r="D1712" s="5" t="s">
        <v>13</v>
      </c>
      <c r="E1712" s="5">
        <v>7.9360573E7</v>
      </c>
      <c r="F1712" s="5" t="s">
        <v>28</v>
      </c>
      <c r="G1712" s="5" t="s">
        <v>15</v>
      </c>
      <c r="H1712" s="5" t="s">
        <v>29</v>
      </c>
      <c r="I1712" s="6" t="s">
        <v>17</v>
      </c>
      <c r="J1712" s="7" t="s">
        <v>34</v>
      </c>
      <c r="K1712" s="7"/>
      <c r="L1712" s="8">
        <v>1.771587010273E12</v>
      </c>
      <c r="M1712" s="9"/>
      <c r="N1712" s="10"/>
      <c r="O1712" s="10"/>
      <c r="P1712" s="10"/>
      <c r="Q1712" s="10"/>
      <c r="R1712" s="10"/>
      <c r="S1712" s="10"/>
      <c r="T1712" s="10"/>
      <c r="U1712" s="10"/>
      <c r="V1712" s="10"/>
    </row>
    <row r="1713" ht="22.5" customHeight="1">
      <c r="A1713" s="5">
        <v>2.04090243652E11</v>
      </c>
      <c r="B1713" s="5" t="s">
        <v>1643</v>
      </c>
      <c r="C1713" s="5">
        <v>5583981460676</v>
      </c>
      <c r="D1713" s="5" t="s">
        <v>22</v>
      </c>
      <c r="E1713" s="5">
        <v>7.9360573E7</v>
      </c>
      <c r="F1713" s="5" t="s">
        <v>39</v>
      </c>
      <c r="G1713" s="5" t="s">
        <v>79</v>
      </c>
      <c r="H1713" s="5" t="s">
        <v>69</v>
      </c>
      <c r="I1713" s="6"/>
      <c r="J1713" s="7" t="s">
        <v>34</v>
      </c>
      <c r="K1713" s="7"/>
      <c r="L1713" s="8">
        <v>1.771588285419E12</v>
      </c>
      <c r="M1713" s="9"/>
      <c r="N1713" s="10"/>
      <c r="O1713" s="10"/>
      <c r="P1713" s="10"/>
      <c r="Q1713" s="10"/>
      <c r="R1713" s="10"/>
      <c r="S1713" s="10"/>
      <c r="T1713" s="10"/>
      <c r="U1713" s="10"/>
      <c r="V1713" s="10"/>
    </row>
    <row r="1714" ht="22.5" customHeight="1">
      <c r="A1714" s="5">
        <v>2.04090063019E11</v>
      </c>
      <c r="B1714" s="5" t="s">
        <v>1644</v>
      </c>
      <c r="C1714" s="5">
        <v>51960420858</v>
      </c>
      <c r="D1714" s="5" t="s">
        <v>38</v>
      </c>
      <c r="E1714" s="5">
        <v>8.7547393E7</v>
      </c>
      <c r="F1714" s="5"/>
      <c r="G1714" s="5"/>
      <c r="H1714" s="5"/>
      <c r="I1714" s="6"/>
      <c r="J1714" s="7" t="s">
        <v>18</v>
      </c>
      <c r="K1714" s="7" t="s">
        <v>19</v>
      </c>
      <c r="L1714" s="8">
        <v>1.771588686089E12</v>
      </c>
      <c r="M1714" s="9"/>
      <c r="N1714" s="10"/>
      <c r="O1714" s="10"/>
      <c r="P1714" s="10"/>
      <c r="Q1714" s="10"/>
      <c r="R1714" s="10"/>
      <c r="S1714" s="10"/>
      <c r="T1714" s="10"/>
      <c r="U1714" s="10"/>
      <c r="V1714" s="10"/>
    </row>
    <row r="1715" ht="22.5" customHeight="1">
      <c r="A1715" s="5">
        <v>2.0409283854E11</v>
      </c>
      <c r="B1715" s="5" t="s">
        <v>1645</v>
      </c>
      <c r="C1715" s="5">
        <v>5566992109596</v>
      </c>
      <c r="D1715" s="5" t="s">
        <v>13</v>
      </c>
      <c r="E1715" s="5">
        <v>7.9360573E7</v>
      </c>
      <c r="F1715" s="5" t="s">
        <v>39</v>
      </c>
      <c r="G1715" s="5" t="s">
        <v>32</v>
      </c>
      <c r="H1715" s="5" t="s">
        <v>114</v>
      </c>
      <c r="I1715" s="6" t="s">
        <v>49</v>
      </c>
      <c r="J1715" s="7" t="s">
        <v>34</v>
      </c>
      <c r="K1715" s="7"/>
      <c r="L1715" s="8">
        <v>1.771588965529E12</v>
      </c>
      <c r="M1715" s="9"/>
      <c r="N1715" s="10"/>
      <c r="O1715" s="10"/>
      <c r="P1715" s="10"/>
      <c r="Q1715" s="10"/>
      <c r="R1715" s="10"/>
      <c r="S1715" s="10"/>
      <c r="T1715" s="10"/>
      <c r="U1715" s="10"/>
      <c r="V1715" s="10"/>
    </row>
    <row r="1716" ht="22.5" customHeight="1">
      <c r="A1716" s="5">
        <v>2.04093424953E11</v>
      </c>
      <c r="B1716" s="5" t="s">
        <v>1646</v>
      </c>
      <c r="C1716" s="5">
        <v>5551996977524</v>
      </c>
      <c r="D1716" s="5" t="s">
        <v>103</v>
      </c>
      <c r="E1716" s="5">
        <v>7.9360573E7</v>
      </c>
      <c r="F1716" s="5" t="s">
        <v>93</v>
      </c>
      <c r="G1716" s="5" t="s">
        <v>44</v>
      </c>
      <c r="H1716" s="5" t="s">
        <v>74</v>
      </c>
      <c r="I1716" s="6" t="s">
        <v>17</v>
      </c>
      <c r="J1716" s="7" t="s">
        <v>34</v>
      </c>
      <c r="K1716" s="7"/>
      <c r="L1716" s="8">
        <v>1.771589270991E12</v>
      </c>
      <c r="M1716" s="9"/>
      <c r="N1716" s="10"/>
      <c r="O1716" s="10"/>
      <c r="P1716" s="10"/>
      <c r="Q1716" s="10"/>
      <c r="R1716" s="10"/>
      <c r="S1716" s="10"/>
      <c r="T1716" s="10"/>
      <c r="U1716" s="10"/>
      <c r="V1716" s="10"/>
    </row>
    <row r="1717" ht="22.5" customHeight="1">
      <c r="A1717" s="5">
        <v>2.04093019032E11</v>
      </c>
      <c r="B1717" s="5" t="s">
        <v>1647</v>
      </c>
      <c r="C1717" s="5">
        <v>5577981374488</v>
      </c>
      <c r="D1717" s="5" t="s">
        <v>103</v>
      </c>
      <c r="E1717" s="5">
        <v>7.9360573E7</v>
      </c>
      <c r="F1717" s="5" t="s">
        <v>93</v>
      </c>
      <c r="G1717" s="5" t="s">
        <v>79</v>
      </c>
      <c r="H1717" s="5" t="s">
        <v>24</v>
      </c>
      <c r="I1717" s="6" t="s">
        <v>148</v>
      </c>
      <c r="J1717" s="7" t="s">
        <v>58</v>
      </c>
      <c r="K1717" s="11" t="s">
        <v>59</v>
      </c>
      <c r="L1717" s="8">
        <v>1.771589613911E12</v>
      </c>
      <c r="M1717" s="9"/>
      <c r="N1717" s="10"/>
      <c r="O1717" s="10"/>
      <c r="P1717" s="10"/>
      <c r="Q1717" s="10"/>
      <c r="R1717" s="10"/>
      <c r="S1717" s="10"/>
      <c r="T1717" s="10"/>
      <c r="U1717" s="10"/>
      <c r="V1717" s="10"/>
    </row>
    <row r="1718" ht="22.5" customHeight="1">
      <c r="A1718" s="5">
        <v>2.04097637735E11</v>
      </c>
      <c r="B1718" s="5" t="s">
        <v>1648</v>
      </c>
      <c r="C1718" s="5">
        <v>5585989389195</v>
      </c>
      <c r="D1718" s="5" t="s">
        <v>13</v>
      </c>
      <c r="E1718" s="5">
        <v>7.9360573E7</v>
      </c>
      <c r="F1718" s="5" t="s">
        <v>14</v>
      </c>
      <c r="G1718" s="5" t="s">
        <v>15</v>
      </c>
      <c r="H1718" s="5" t="s">
        <v>16</v>
      </c>
      <c r="I1718" s="6" t="s">
        <v>17</v>
      </c>
      <c r="J1718" s="7" t="s">
        <v>34</v>
      </c>
      <c r="K1718" s="7"/>
      <c r="L1718" s="8">
        <v>1.771591009868E12</v>
      </c>
      <c r="M1718" s="9"/>
      <c r="N1718" s="10"/>
      <c r="O1718" s="10"/>
      <c r="P1718" s="10"/>
      <c r="Q1718" s="10"/>
      <c r="R1718" s="10"/>
      <c r="S1718" s="10"/>
      <c r="T1718" s="10"/>
      <c r="U1718" s="10"/>
      <c r="V1718" s="10"/>
    </row>
    <row r="1719" ht="22.5" customHeight="1">
      <c r="A1719" s="5">
        <v>2.04100326734E11</v>
      </c>
      <c r="B1719" s="5" t="s">
        <v>1649</v>
      </c>
      <c r="C1719" s="5">
        <v>525660414768</v>
      </c>
      <c r="D1719" s="5" t="s">
        <v>13</v>
      </c>
      <c r="E1719" s="5">
        <v>8.7547393E7</v>
      </c>
      <c r="F1719" s="5" t="s">
        <v>82</v>
      </c>
      <c r="G1719" s="5" t="s">
        <v>15</v>
      </c>
      <c r="H1719" s="5" t="s">
        <v>51</v>
      </c>
      <c r="I1719" s="6" t="s">
        <v>17</v>
      </c>
      <c r="J1719" s="7" t="s">
        <v>34</v>
      </c>
      <c r="K1719" s="7"/>
      <c r="L1719" s="8">
        <v>1.771591130151E12</v>
      </c>
      <c r="M1719" s="9"/>
      <c r="N1719" s="10"/>
      <c r="O1719" s="10"/>
      <c r="P1719" s="10"/>
      <c r="Q1719" s="10"/>
      <c r="R1719" s="10"/>
      <c r="S1719" s="10"/>
      <c r="T1719" s="10"/>
      <c r="U1719" s="10"/>
      <c r="V1719" s="10"/>
    </row>
    <row r="1720" ht="22.5" customHeight="1">
      <c r="A1720" s="5">
        <v>2.04100335907E11</v>
      </c>
      <c r="B1720" s="5" t="s">
        <v>1650</v>
      </c>
      <c r="C1720" s="5">
        <v>5569993877032</v>
      </c>
      <c r="D1720" s="5" t="s">
        <v>38</v>
      </c>
      <c r="E1720" s="5">
        <v>7.9360573E7</v>
      </c>
      <c r="F1720" s="5" t="s">
        <v>39</v>
      </c>
      <c r="G1720" s="5" t="s">
        <v>15</v>
      </c>
      <c r="H1720" s="5" t="s">
        <v>66</v>
      </c>
      <c r="I1720" s="6" t="s">
        <v>17</v>
      </c>
      <c r="J1720" s="7" t="s">
        <v>34</v>
      </c>
      <c r="K1720" s="7"/>
      <c r="L1720" s="8">
        <v>1.771591630784E12</v>
      </c>
      <c r="M1720" s="9"/>
      <c r="N1720" s="10"/>
      <c r="O1720" s="10"/>
      <c r="P1720" s="10"/>
      <c r="Q1720" s="10"/>
      <c r="R1720" s="10"/>
      <c r="S1720" s="10"/>
      <c r="T1720" s="10"/>
      <c r="U1720" s="10"/>
      <c r="V1720" s="10"/>
    </row>
    <row r="1721" ht="22.5" customHeight="1">
      <c r="A1721" s="5">
        <v>2.04100945811E11</v>
      </c>
      <c r="B1721" s="5" t="s">
        <v>1651</v>
      </c>
      <c r="C1721" s="5">
        <v>51994970725</v>
      </c>
      <c r="D1721" s="5" t="s">
        <v>13</v>
      </c>
      <c r="E1721" s="5">
        <v>8.0566583E7</v>
      </c>
      <c r="F1721" s="5" t="s">
        <v>14</v>
      </c>
      <c r="G1721" s="5" t="s">
        <v>15</v>
      </c>
      <c r="H1721" s="5" t="s">
        <v>66</v>
      </c>
      <c r="I1721" s="6" t="s">
        <v>49</v>
      </c>
      <c r="J1721" s="7" t="s">
        <v>18</v>
      </c>
      <c r="K1721" s="7" t="s">
        <v>19</v>
      </c>
      <c r="L1721" s="8">
        <v>1.771592726816E12</v>
      </c>
      <c r="M1721" s="9"/>
      <c r="N1721" s="10"/>
      <c r="O1721" s="10"/>
      <c r="P1721" s="10"/>
      <c r="Q1721" s="10"/>
      <c r="R1721" s="10"/>
      <c r="S1721" s="10"/>
      <c r="T1721" s="10"/>
      <c r="U1721" s="10"/>
      <c r="V1721" s="10"/>
    </row>
    <row r="1722" ht="22.5" customHeight="1">
      <c r="A1722" s="5">
        <v>2.04100945811E11</v>
      </c>
      <c r="B1722" s="5" t="s">
        <v>1651</v>
      </c>
      <c r="C1722" s="5">
        <v>51994970725</v>
      </c>
      <c r="D1722" s="5" t="s">
        <v>13</v>
      </c>
      <c r="E1722" s="5">
        <v>8.0566583E7</v>
      </c>
      <c r="F1722" s="5" t="s">
        <v>14</v>
      </c>
      <c r="G1722" s="5" t="s">
        <v>15</v>
      </c>
      <c r="H1722" s="5" t="s">
        <v>66</v>
      </c>
      <c r="I1722" s="6" t="s">
        <v>49</v>
      </c>
      <c r="J1722" s="7" t="s">
        <v>18</v>
      </c>
      <c r="K1722" s="7" t="s">
        <v>19</v>
      </c>
      <c r="L1722" s="8">
        <v>1.771592743983E12</v>
      </c>
      <c r="M1722" s="9"/>
      <c r="N1722" s="10"/>
      <c r="O1722" s="10"/>
      <c r="P1722" s="10"/>
      <c r="Q1722" s="10"/>
      <c r="R1722" s="10"/>
      <c r="S1722" s="10"/>
      <c r="T1722" s="10"/>
      <c r="U1722" s="10"/>
      <c r="V1722" s="10"/>
    </row>
    <row r="1723" ht="22.5" customHeight="1">
      <c r="A1723" s="5">
        <v>2.04101727519E11</v>
      </c>
      <c r="B1723" s="5" t="s">
        <v>1652</v>
      </c>
      <c r="C1723" s="5">
        <v>34642532772</v>
      </c>
      <c r="D1723" s="5" t="s">
        <v>38</v>
      </c>
      <c r="E1723" s="5">
        <v>8.7547393E7</v>
      </c>
      <c r="F1723" s="5"/>
      <c r="G1723" s="5"/>
      <c r="H1723" s="5"/>
      <c r="I1723" s="6"/>
      <c r="J1723" s="7" t="s">
        <v>124</v>
      </c>
      <c r="K1723" s="7" t="s">
        <v>1653</v>
      </c>
      <c r="L1723" s="8">
        <v>1.771592969319E12</v>
      </c>
      <c r="M1723" s="9"/>
      <c r="N1723" s="10"/>
      <c r="O1723" s="10"/>
      <c r="P1723" s="10"/>
      <c r="Q1723" s="10"/>
      <c r="R1723" s="10"/>
      <c r="S1723" s="10"/>
      <c r="T1723" s="10"/>
      <c r="U1723" s="10"/>
      <c r="V1723" s="10"/>
    </row>
    <row r="1724" ht="22.5" customHeight="1">
      <c r="A1724" s="5">
        <v>2.04101871253E11</v>
      </c>
      <c r="B1724" s="5" t="s">
        <v>1654</v>
      </c>
      <c r="C1724" s="5">
        <v>5569992059097</v>
      </c>
      <c r="D1724" s="5" t="s">
        <v>13</v>
      </c>
      <c r="E1724" s="5">
        <v>7.9360573E7</v>
      </c>
      <c r="F1724" s="5" t="s">
        <v>82</v>
      </c>
      <c r="G1724" s="5" t="s">
        <v>15</v>
      </c>
      <c r="H1724" s="5" t="s">
        <v>161</v>
      </c>
      <c r="I1724" s="6" t="s">
        <v>148</v>
      </c>
      <c r="J1724" s="7" t="s">
        <v>34</v>
      </c>
      <c r="K1724" s="7"/>
      <c r="L1724" s="8">
        <v>1.771593154872E12</v>
      </c>
      <c r="M1724" s="9"/>
      <c r="N1724" s="10"/>
      <c r="O1724" s="10"/>
      <c r="P1724" s="10"/>
      <c r="Q1724" s="10"/>
      <c r="R1724" s="10"/>
      <c r="S1724" s="10"/>
      <c r="T1724" s="10"/>
      <c r="U1724" s="10"/>
      <c r="V1724" s="10"/>
    </row>
    <row r="1725" ht="22.5" customHeight="1">
      <c r="A1725" s="5">
        <v>2.04102196349E11</v>
      </c>
      <c r="B1725" s="5" t="s">
        <v>1655</v>
      </c>
      <c r="C1725" s="5">
        <v>5598984716210</v>
      </c>
      <c r="D1725" s="5" t="s">
        <v>13</v>
      </c>
      <c r="E1725" s="5">
        <v>7.9360573E7</v>
      </c>
      <c r="F1725" s="5" t="s">
        <v>39</v>
      </c>
      <c r="G1725" s="5" t="s">
        <v>15</v>
      </c>
      <c r="H1725" s="5" t="s">
        <v>51</v>
      </c>
      <c r="I1725" s="6" t="s">
        <v>17</v>
      </c>
      <c r="J1725" s="7" t="s">
        <v>34</v>
      </c>
      <c r="K1725" s="7"/>
      <c r="L1725" s="8">
        <v>1.77159335826E12</v>
      </c>
      <c r="M1725" s="9"/>
      <c r="N1725" s="10"/>
      <c r="O1725" s="10"/>
      <c r="P1725" s="10"/>
      <c r="Q1725" s="10"/>
      <c r="R1725" s="10"/>
      <c r="S1725" s="10"/>
      <c r="T1725" s="10"/>
      <c r="U1725" s="10"/>
      <c r="V1725" s="10"/>
    </row>
    <row r="1726" ht="22.5" customHeight="1">
      <c r="A1726" s="5">
        <v>2.0410464619E11</v>
      </c>
      <c r="B1726" s="5" t="s">
        <v>1656</v>
      </c>
      <c r="C1726" s="5">
        <v>5575998749098</v>
      </c>
      <c r="D1726" s="5" t="s">
        <v>13</v>
      </c>
      <c r="E1726" s="5">
        <v>7.9360573E7</v>
      </c>
      <c r="F1726" s="5" t="s">
        <v>28</v>
      </c>
      <c r="G1726" s="5" t="s">
        <v>15</v>
      </c>
      <c r="H1726" s="5" t="s">
        <v>16</v>
      </c>
      <c r="I1726" s="6" t="s">
        <v>17</v>
      </c>
      <c r="J1726" s="7" t="s">
        <v>34</v>
      </c>
      <c r="K1726" s="7"/>
      <c r="L1726" s="8">
        <v>1.771594698415E12</v>
      </c>
      <c r="M1726" s="9"/>
      <c r="N1726" s="10"/>
      <c r="O1726" s="10"/>
      <c r="P1726" s="10"/>
      <c r="Q1726" s="10"/>
      <c r="R1726" s="10"/>
      <c r="S1726" s="10"/>
      <c r="T1726" s="10"/>
      <c r="U1726" s="10"/>
      <c r="V1726" s="10"/>
    </row>
    <row r="1727" ht="22.5" customHeight="1">
      <c r="A1727" s="5">
        <v>2.04108506796E11</v>
      </c>
      <c r="B1727" s="5" t="s">
        <v>1657</v>
      </c>
      <c r="C1727" s="5">
        <v>5514991525676</v>
      </c>
      <c r="D1727" s="5" t="s">
        <v>22</v>
      </c>
      <c r="E1727" s="5">
        <v>7.9360573E7</v>
      </c>
      <c r="F1727" s="5" t="s">
        <v>39</v>
      </c>
      <c r="G1727" s="5" t="s">
        <v>32</v>
      </c>
      <c r="H1727" s="5" t="s">
        <v>16</v>
      </c>
      <c r="I1727" s="6" t="s">
        <v>148</v>
      </c>
      <c r="J1727" s="7" t="s">
        <v>34</v>
      </c>
      <c r="K1727" s="7"/>
      <c r="L1727" s="8">
        <v>1.771594759289E12</v>
      </c>
      <c r="M1727" s="9"/>
      <c r="N1727" s="10"/>
      <c r="O1727" s="10"/>
      <c r="P1727" s="10"/>
      <c r="Q1727" s="10"/>
      <c r="R1727" s="10"/>
      <c r="S1727" s="10"/>
      <c r="T1727" s="10"/>
      <c r="U1727" s="10"/>
      <c r="V1727" s="10"/>
    </row>
    <row r="1728" ht="22.5" customHeight="1">
      <c r="A1728" s="5">
        <v>2.04107630379E11</v>
      </c>
      <c r="B1728" s="5" t="s">
        <v>1658</v>
      </c>
      <c r="C1728" s="5">
        <v>5566996014944</v>
      </c>
      <c r="D1728" s="5" t="s">
        <v>22</v>
      </c>
      <c r="E1728" s="5">
        <v>7.9360573E7</v>
      </c>
      <c r="F1728" s="5" t="s">
        <v>93</v>
      </c>
      <c r="G1728" s="5" t="s">
        <v>32</v>
      </c>
      <c r="H1728" s="5" t="s">
        <v>24</v>
      </c>
      <c r="I1728" s="6" t="s">
        <v>17</v>
      </c>
      <c r="J1728" s="7" t="s">
        <v>34</v>
      </c>
      <c r="K1728" s="7"/>
      <c r="L1728" s="8">
        <v>1.771594791714E12</v>
      </c>
      <c r="M1728" s="9"/>
      <c r="N1728" s="10"/>
      <c r="O1728" s="10"/>
      <c r="P1728" s="10"/>
      <c r="Q1728" s="10"/>
      <c r="R1728" s="10"/>
      <c r="S1728" s="10"/>
      <c r="T1728" s="10"/>
      <c r="U1728" s="10"/>
      <c r="V1728" s="10"/>
    </row>
    <row r="1729" ht="22.5" customHeight="1">
      <c r="A1729" s="5">
        <v>2.04108409259E11</v>
      </c>
      <c r="B1729" s="5" t="s">
        <v>1659</v>
      </c>
      <c r="C1729" s="5">
        <v>5541996777169</v>
      </c>
      <c r="D1729" s="5" t="s">
        <v>103</v>
      </c>
      <c r="E1729" s="5">
        <v>7.9360573E7</v>
      </c>
      <c r="F1729" s="5" t="s">
        <v>39</v>
      </c>
      <c r="G1729" s="5" t="s">
        <v>79</v>
      </c>
      <c r="H1729" s="5" t="s">
        <v>100</v>
      </c>
      <c r="I1729" s="6" t="s">
        <v>148</v>
      </c>
      <c r="J1729" s="7" t="s">
        <v>58</v>
      </c>
      <c r="K1729" s="11" t="s">
        <v>59</v>
      </c>
      <c r="L1729" s="8">
        <v>1.771595213448E12</v>
      </c>
      <c r="M1729" s="9"/>
      <c r="N1729" s="10"/>
      <c r="O1729" s="10"/>
      <c r="P1729" s="10"/>
      <c r="Q1729" s="10"/>
      <c r="R1729" s="10"/>
      <c r="S1729" s="10"/>
      <c r="T1729" s="10"/>
      <c r="U1729" s="10"/>
      <c r="V1729" s="10"/>
    </row>
    <row r="1730" ht="22.5" customHeight="1">
      <c r="A1730" s="5">
        <v>2.04106477454E11</v>
      </c>
      <c r="B1730" s="5" t="s">
        <v>1660</v>
      </c>
      <c r="C1730" s="5">
        <v>5527996482288</v>
      </c>
      <c r="D1730" s="5" t="s">
        <v>13</v>
      </c>
      <c r="E1730" s="5">
        <v>7.9360573E7</v>
      </c>
      <c r="F1730" s="5" t="s">
        <v>93</v>
      </c>
      <c r="G1730" s="5" t="s">
        <v>15</v>
      </c>
      <c r="H1730" s="5" t="s">
        <v>16</v>
      </c>
      <c r="I1730" s="6" t="s">
        <v>148</v>
      </c>
      <c r="J1730" s="7" t="s">
        <v>58</v>
      </c>
      <c r="K1730" s="11" t="s">
        <v>59</v>
      </c>
      <c r="L1730" s="8">
        <v>1.771596282933E12</v>
      </c>
      <c r="M1730" s="9"/>
      <c r="N1730" s="10"/>
      <c r="O1730" s="10"/>
      <c r="P1730" s="10"/>
      <c r="Q1730" s="10"/>
      <c r="R1730" s="10"/>
      <c r="S1730" s="10"/>
      <c r="T1730" s="10"/>
      <c r="U1730" s="10"/>
      <c r="V1730" s="10"/>
    </row>
    <row r="1731" ht="22.5" customHeight="1">
      <c r="A1731" s="5">
        <v>2.0411403481E11</v>
      </c>
      <c r="B1731" s="5" t="s">
        <v>1661</v>
      </c>
      <c r="C1731" s="5">
        <v>527227140263</v>
      </c>
      <c r="D1731" s="5" t="s">
        <v>13</v>
      </c>
      <c r="E1731" s="5">
        <v>8.7547393E7</v>
      </c>
      <c r="F1731" s="5" t="s">
        <v>65</v>
      </c>
      <c r="G1731" s="5" t="s">
        <v>15</v>
      </c>
      <c r="H1731" s="5" t="s">
        <v>51</v>
      </c>
      <c r="I1731" s="6" t="s">
        <v>17</v>
      </c>
      <c r="J1731" s="7" t="s">
        <v>124</v>
      </c>
      <c r="K1731" s="7" t="s">
        <v>125</v>
      </c>
      <c r="L1731" s="8">
        <v>1.771596745259E12</v>
      </c>
      <c r="M1731" s="9"/>
      <c r="N1731" s="10"/>
      <c r="O1731" s="10"/>
      <c r="P1731" s="10"/>
      <c r="Q1731" s="10"/>
      <c r="R1731" s="10"/>
      <c r="S1731" s="10"/>
      <c r="T1731" s="10"/>
      <c r="U1731" s="10"/>
      <c r="V1731" s="10"/>
    </row>
    <row r="1732" ht="22.5" customHeight="1">
      <c r="A1732" s="5">
        <v>2.04097604915E11</v>
      </c>
      <c r="B1732" s="5" t="s">
        <v>1662</v>
      </c>
      <c r="C1732" s="5">
        <v>5511912021367</v>
      </c>
      <c r="D1732" s="5" t="s">
        <v>103</v>
      </c>
      <c r="E1732" s="5">
        <v>7.9360573E7</v>
      </c>
      <c r="F1732" s="5" t="s">
        <v>259</v>
      </c>
      <c r="G1732" s="5" t="s">
        <v>79</v>
      </c>
      <c r="H1732" s="5" t="s">
        <v>24</v>
      </c>
      <c r="I1732" s="6" t="s">
        <v>17</v>
      </c>
      <c r="J1732" s="7" t="s">
        <v>34</v>
      </c>
      <c r="K1732" s="7"/>
      <c r="L1732" s="8">
        <v>1.771597403545E12</v>
      </c>
      <c r="M1732" s="9"/>
      <c r="N1732" s="10"/>
      <c r="O1732" s="10"/>
      <c r="P1732" s="10"/>
      <c r="Q1732" s="10"/>
      <c r="R1732" s="10"/>
      <c r="S1732" s="10"/>
      <c r="T1732" s="10"/>
      <c r="U1732" s="10"/>
      <c r="V1732" s="10"/>
    </row>
    <row r="1733" ht="22.5" customHeight="1">
      <c r="A1733" s="5">
        <v>2.04110109334E11</v>
      </c>
      <c r="B1733" s="5" t="s">
        <v>1663</v>
      </c>
      <c r="C1733" s="5">
        <v>528711571528</v>
      </c>
      <c r="D1733" s="5" t="s">
        <v>13</v>
      </c>
      <c r="E1733" s="5">
        <v>8.0566583E7</v>
      </c>
      <c r="F1733" s="5" t="s">
        <v>28</v>
      </c>
      <c r="G1733" s="5" t="s">
        <v>32</v>
      </c>
      <c r="H1733" s="5" t="s">
        <v>16</v>
      </c>
      <c r="I1733" s="6" t="s">
        <v>49</v>
      </c>
      <c r="J1733" s="7" t="s">
        <v>34</v>
      </c>
      <c r="K1733" s="7"/>
      <c r="L1733" s="8">
        <v>1.771597427803E12</v>
      </c>
      <c r="M1733" s="9"/>
      <c r="N1733" s="10"/>
      <c r="O1733" s="10"/>
      <c r="P1733" s="10"/>
      <c r="Q1733" s="10"/>
      <c r="R1733" s="10"/>
      <c r="S1733" s="10"/>
      <c r="T1733" s="10"/>
      <c r="U1733" s="10"/>
      <c r="V1733" s="10"/>
    </row>
    <row r="1734" ht="22.5" customHeight="1">
      <c r="A1734" s="5">
        <v>2.04115935581E11</v>
      </c>
      <c r="B1734" s="5" t="s">
        <v>1664</v>
      </c>
      <c r="C1734" s="5">
        <v>5515997206395</v>
      </c>
      <c r="D1734" s="5" t="s">
        <v>13</v>
      </c>
      <c r="E1734" s="5">
        <v>7.9360573E7</v>
      </c>
      <c r="F1734" s="5" t="s">
        <v>714</v>
      </c>
      <c r="G1734" s="5">
        <v>50</v>
      </c>
      <c r="H1734" s="5" t="s">
        <v>16</v>
      </c>
      <c r="I1734" s="6" t="s">
        <v>17</v>
      </c>
      <c r="J1734" s="7" t="s">
        <v>34</v>
      </c>
      <c r="K1734" s="7"/>
      <c r="L1734" s="8">
        <v>1.771597749253E12</v>
      </c>
      <c r="M1734" s="9"/>
      <c r="N1734" s="10"/>
      <c r="O1734" s="10"/>
      <c r="P1734" s="10"/>
      <c r="Q1734" s="10"/>
      <c r="R1734" s="10"/>
      <c r="S1734" s="10"/>
      <c r="T1734" s="10"/>
      <c r="U1734" s="10"/>
      <c r="V1734" s="10"/>
    </row>
    <row r="1735" ht="22.5" customHeight="1">
      <c r="A1735" s="5">
        <v>2.04170284162E11</v>
      </c>
      <c r="B1735" s="5" t="s">
        <v>1665</v>
      </c>
      <c r="C1735" s="5">
        <v>5555992121759</v>
      </c>
      <c r="D1735" s="5" t="s">
        <v>38</v>
      </c>
      <c r="E1735" s="5">
        <v>7.9360573E7</v>
      </c>
      <c r="F1735" s="5"/>
      <c r="G1735" s="5"/>
      <c r="H1735" s="5"/>
      <c r="I1735" s="6"/>
      <c r="J1735" s="7" t="s">
        <v>34</v>
      </c>
      <c r="K1735" s="7"/>
      <c r="L1735" s="8">
        <v>1.771601383458E12</v>
      </c>
      <c r="M1735" s="9"/>
      <c r="N1735" s="10"/>
      <c r="O1735" s="10"/>
      <c r="P1735" s="10"/>
      <c r="Q1735" s="10"/>
      <c r="R1735" s="10"/>
      <c r="S1735" s="10"/>
      <c r="T1735" s="10"/>
      <c r="U1735" s="10"/>
      <c r="V1735" s="10"/>
    </row>
    <row r="1736" ht="22.5" customHeight="1">
      <c r="A1736" s="5">
        <v>2.04171561263E11</v>
      </c>
      <c r="B1736" s="5" t="s">
        <v>1666</v>
      </c>
      <c r="C1736" s="5">
        <v>5569993335445</v>
      </c>
      <c r="D1736" s="5" t="s">
        <v>22</v>
      </c>
      <c r="E1736" s="5">
        <v>7.9360573E7</v>
      </c>
      <c r="F1736" s="5" t="s">
        <v>39</v>
      </c>
      <c r="G1736" s="5" t="s">
        <v>44</v>
      </c>
      <c r="H1736" s="5" t="s">
        <v>80</v>
      </c>
      <c r="I1736" s="6" t="s">
        <v>17</v>
      </c>
      <c r="J1736" s="7" t="s">
        <v>34</v>
      </c>
      <c r="K1736" s="7"/>
      <c r="L1736" s="8">
        <v>1.771602546121E12</v>
      </c>
      <c r="M1736" s="9"/>
      <c r="N1736" s="10"/>
      <c r="O1736" s="10"/>
      <c r="P1736" s="10"/>
      <c r="Q1736" s="10"/>
      <c r="R1736" s="10"/>
      <c r="S1736" s="10"/>
      <c r="T1736" s="10"/>
      <c r="U1736" s="10"/>
      <c r="V1736" s="10"/>
    </row>
    <row r="1737" ht="22.5" customHeight="1">
      <c r="A1737" s="5">
        <v>2.04198857278E11</v>
      </c>
      <c r="B1737" s="5" t="s">
        <v>1667</v>
      </c>
      <c r="C1737" s="5">
        <v>525635787160</v>
      </c>
      <c r="D1737" s="5" t="s">
        <v>13</v>
      </c>
      <c r="E1737" s="5">
        <v>8.0566583E7</v>
      </c>
      <c r="F1737" s="5" t="s">
        <v>259</v>
      </c>
      <c r="G1737" s="5" t="s">
        <v>15</v>
      </c>
      <c r="H1737" s="5" t="s">
        <v>69</v>
      </c>
      <c r="I1737" s="6" t="s">
        <v>17</v>
      </c>
      <c r="J1737" s="7" t="s">
        <v>18</v>
      </c>
      <c r="K1737" s="7" t="s">
        <v>61</v>
      </c>
      <c r="L1737" s="8">
        <v>1.771604220883E12</v>
      </c>
      <c r="M1737" s="9"/>
      <c r="N1737" s="10"/>
      <c r="O1737" s="10"/>
      <c r="P1737" s="10"/>
      <c r="Q1737" s="10"/>
      <c r="R1737" s="10"/>
      <c r="S1737" s="10"/>
      <c r="T1737" s="10"/>
      <c r="U1737" s="10"/>
      <c r="V1737" s="10"/>
    </row>
    <row r="1738" ht="22.5" customHeight="1">
      <c r="A1738" s="5">
        <v>2.04171602315E11</v>
      </c>
      <c r="B1738" s="5" t="s">
        <v>1668</v>
      </c>
      <c r="C1738" s="5">
        <v>51900896884</v>
      </c>
      <c r="D1738" s="5" t="s">
        <v>103</v>
      </c>
      <c r="E1738" s="5">
        <v>8.7547393E7</v>
      </c>
      <c r="F1738" s="5" t="s">
        <v>259</v>
      </c>
      <c r="G1738" s="5" t="s">
        <v>79</v>
      </c>
      <c r="H1738" s="5" t="s">
        <v>48</v>
      </c>
      <c r="I1738" s="6" t="s">
        <v>17</v>
      </c>
      <c r="J1738" s="7" t="s">
        <v>34</v>
      </c>
      <c r="K1738" s="7"/>
      <c r="L1738" s="8">
        <v>1.771604613347E12</v>
      </c>
      <c r="M1738" s="9"/>
      <c r="N1738" s="10"/>
      <c r="O1738" s="10"/>
      <c r="P1738" s="10"/>
      <c r="Q1738" s="10"/>
      <c r="R1738" s="10"/>
      <c r="S1738" s="10"/>
      <c r="T1738" s="10"/>
      <c r="U1738" s="10"/>
      <c r="V1738" s="10"/>
    </row>
    <row r="1739" ht="22.5" customHeight="1">
      <c r="A1739" s="5">
        <v>2.02975455013E11</v>
      </c>
      <c r="B1739" s="5" t="s">
        <v>1669</v>
      </c>
      <c r="C1739" s="5">
        <v>51974116804</v>
      </c>
      <c r="D1739" s="5" t="s">
        <v>13</v>
      </c>
      <c r="E1739" s="5">
        <v>8.0566583E7</v>
      </c>
      <c r="F1739" s="5" t="s">
        <v>14</v>
      </c>
      <c r="G1739" s="5" t="s">
        <v>15</v>
      </c>
      <c r="H1739" s="5" t="s">
        <v>24</v>
      </c>
      <c r="I1739" s="6" t="s">
        <v>49</v>
      </c>
      <c r="J1739" s="7" t="s">
        <v>34</v>
      </c>
      <c r="K1739" s="7"/>
      <c r="L1739" s="8">
        <v>1.771606356228E12</v>
      </c>
      <c r="M1739" s="9"/>
      <c r="N1739" s="10"/>
      <c r="O1739" s="10"/>
      <c r="P1739" s="10"/>
      <c r="Q1739" s="10"/>
      <c r="R1739" s="10"/>
      <c r="S1739" s="10"/>
      <c r="T1739" s="10"/>
      <c r="U1739" s="10"/>
      <c r="V1739" s="10"/>
    </row>
    <row r="1740" ht="22.5" customHeight="1">
      <c r="A1740" s="5">
        <v>2.04197567397E11</v>
      </c>
      <c r="B1740" s="5" t="s">
        <v>1670</v>
      </c>
      <c r="C1740" s="5">
        <v>51932929746</v>
      </c>
      <c r="D1740" s="5" t="s">
        <v>13</v>
      </c>
      <c r="E1740" s="5">
        <v>8.0566583E7</v>
      </c>
      <c r="F1740" s="5" t="s">
        <v>259</v>
      </c>
      <c r="G1740" s="5" t="s">
        <v>32</v>
      </c>
      <c r="H1740" s="5" t="s">
        <v>33</v>
      </c>
      <c r="I1740" s="6" t="s">
        <v>49</v>
      </c>
      <c r="J1740" s="7" t="s">
        <v>34</v>
      </c>
      <c r="K1740" s="7"/>
      <c r="L1740" s="8">
        <v>1.771606620614E12</v>
      </c>
      <c r="M1740" s="9"/>
      <c r="N1740" s="10"/>
      <c r="O1740" s="10"/>
      <c r="P1740" s="10"/>
      <c r="Q1740" s="10"/>
      <c r="R1740" s="10"/>
      <c r="S1740" s="10"/>
      <c r="T1740" s="10"/>
      <c r="U1740" s="10"/>
      <c r="V1740" s="10"/>
    </row>
    <row r="1741" ht="22.5" customHeight="1">
      <c r="A1741" s="5">
        <v>2.04204019743E11</v>
      </c>
      <c r="B1741" s="5" t="s">
        <v>1671</v>
      </c>
      <c r="C1741" s="5">
        <v>523321641947</v>
      </c>
      <c r="D1741" s="5" t="s">
        <v>38</v>
      </c>
      <c r="E1741" s="5">
        <v>8.7547393E7</v>
      </c>
      <c r="F1741" s="5"/>
      <c r="G1741" s="5"/>
      <c r="H1741" s="5"/>
      <c r="I1741" s="6"/>
      <c r="J1741" s="7" t="s">
        <v>18</v>
      </c>
      <c r="K1741" s="7" t="s">
        <v>61</v>
      </c>
      <c r="L1741" s="8">
        <v>1.771607956499E12</v>
      </c>
      <c r="M1741" s="9"/>
      <c r="N1741" s="10"/>
      <c r="O1741" s="10"/>
      <c r="P1741" s="10"/>
      <c r="Q1741" s="10"/>
      <c r="R1741" s="10"/>
      <c r="S1741" s="10"/>
      <c r="T1741" s="10"/>
      <c r="U1741" s="10"/>
      <c r="V1741" s="10"/>
    </row>
    <row r="1742" ht="22.5" customHeight="1">
      <c r="A1742" s="5">
        <v>2.04184754964E11</v>
      </c>
      <c r="B1742" s="5" t="s">
        <v>1672</v>
      </c>
      <c r="C1742" s="5">
        <v>51902702615</v>
      </c>
      <c r="D1742" s="5" t="s">
        <v>13</v>
      </c>
      <c r="E1742" s="5">
        <v>8.7547393E7</v>
      </c>
      <c r="F1742" s="5" t="s">
        <v>39</v>
      </c>
      <c r="G1742" s="5" t="s">
        <v>15</v>
      </c>
      <c r="H1742" s="5" t="s">
        <v>29</v>
      </c>
      <c r="I1742" s="6" t="s">
        <v>17</v>
      </c>
      <c r="J1742" s="7" t="s">
        <v>25</v>
      </c>
      <c r="K1742" s="7" t="s">
        <v>501</v>
      </c>
      <c r="L1742" s="8">
        <v>1.771608986028E12</v>
      </c>
      <c r="M1742" s="9"/>
      <c r="N1742" s="10"/>
      <c r="O1742" s="10"/>
      <c r="P1742" s="10"/>
      <c r="Q1742" s="10"/>
      <c r="R1742" s="10"/>
      <c r="S1742" s="10"/>
      <c r="T1742" s="10"/>
      <c r="U1742" s="10"/>
      <c r="V1742" s="10"/>
    </row>
    <row r="1743" ht="22.5" customHeight="1">
      <c r="A1743" s="5">
        <v>2.03726500873E11</v>
      </c>
      <c r="B1743" s="5" t="s">
        <v>1416</v>
      </c>
      <c r="C1743" s="5">
        <v>5575988111574</v>
      </c>
      <c r="D1743" s="5" t="s">
        <v>13</v>
      </c>
      <c r="E1743" s="5">
        <v>7.9360573E7</v>
      </c>
      <c r="F1743" s="5" t="s">
        <v>28</v>
      </c>
      <c r="G1743" s="5" t="s">
        <v>15</v>
      </c>
      <c r="H1743" s="5" t="s">
        <v>51</v>
      </c>
      <c r="I1743" s="6" t="s">
        <v>36</v>
      </c>
      <c r="J1743" s="7" t="s">
        <v>34</v>
      </c>
      <c r="K1743" s="7"/>
      <c r="L1743" s="8">
        <v>1.771609090076E12</v>
      </c>
      <c r="M1743" s="9"/>
      <c r="N1743" s="10"/>
      <c r="O1743" s="10"/>
      <c r="P1743" s="10"/>
      <c r="Q1743" s="10"/>
      <c r="R1743" s="10"/>
      <c r="S1743" s="10"/>
      <c r="T1743" s="10"/>
      <c r="U1743" s="10"/>
      <c r="V1743" s="10"/>
    </row>
    <row r="1744" ht="22.5" customHeight="1">
      <c r="A1744" s="5">
        <v>2.02912174902E11</v>
      </c>
      <c r="B1744" s="5" t="s">
        <v>1217</v>
      </c>
      <c r="C1744" s="5">
        <v>5591987248427</v>
      </c>
      <c r="D1744" s="5" t="s">
        <v>13</v>
      </c>
      <c r="E1744" s="5">
        <v>7.9360573E7</v>
      </c>
      <c r="F1744" s="5" t="s">
        <v>28</v>
      </c>
      <c r="G1744" s="5" t="s">
        <v>15</v>
      </c>
      <c r="H1744" s="5" t="s">
        <v>16</v>
      </c>
      <c r="I1744" s="6" t="s">
        <v>17</v>
      </c>
      <c r="J1744" s="7" t="s">
        <v>34</v>
      </c>
      <c r="K1744" s="7"/>
      <c r="L1744" s="8">
        <v>1.771609090249E12</v>
      </c>
      <c r="M1744" s="9"/>
      <c r="N1744" s="10"/>
      <c r="O1744" s="10"/>
      <c r="P1744" s="10"/>
      <c r="Q1744" s="10"/>
      <c r="R1744" s="10"/>
      <c r="S1744" s="10"/>
      <c r="T1744" s="10"/>
      <c r="U1744" s="10"/>
      <c r="V1744" s="10"/>
    </row>
    <row r="1745" ht="22.5" customHeight="1">
      <c r="A1745" s="5">
        <v>2.01091509274E11</v>
      </c>
      <c r="B1745" s="5" t="s">
        <v>1673</v>
      </c>
      <c r="C1745" s="5">
        <v>5531998071067</v>
      </c>
      <c r="D1745" s="5" t="s">
        <v>13</v>
      </c>
      <c r="E1745" s="5">
        <v>7.9360573E7</v>
      </c>
      <c r="F1745" s="5" t="s">
        <v>691</v>
      </c>
      <c r="G1745" s="5" t="s">
        <v>15</v>
      </c>
      <c r="H1745" s="5" t="s">
        <v>33</v>
      </c>
      <c r="I1745" s="6" t="s">
        <v>17</v>
      </c>
      <c r="J1745" s="7" t="s">
        <v>34</v>
      </c>
      <c r="K1745" s="7"/>
      <c r="L1745" s="8">
        <v>1.771609091519E12</v>
      </c>
      <c r="M1745" s="9"/>
      <c r="N1745" s="10"/>
      <c r="O1745" s="10"/>
      <c r="P1745" s="10"/>
      <c r="Q1745" s="10"/>
      <c r="R1745" s="10"/>
      <c r="S1745" s="10"/>
      <c r="T1745" s="10"/>
      <c r="U1745" s="10"/>
      <c r="V1745" s="10"/>
    </row>
    <row r="1746" ht="22.5" customHeight="1">
      <c r="A1746" s="5">
        <v>2.04107630379E11</v>
      </c>
      <c r="B1746" s="5" t="s">
        <v>1658</v>
      </c>
      <c r="C1746" s="5">
        <v>5566996014944</v>
      </c>
      <c r="D1746" s="5" t="s">
        <v>22</v>
      </c>
      <c r="E1746" s="5">
        <v>7.9360573E7</v>
      </c>
      <c r="F1746" s="5" t="s">
        <v>93</v>
      </c>
      <c r="G1746" s="5" t="s">
        <v>32</v>
      </c>
      <c r="H1746" s="5" t="s">
        <v>24</v>
      </c>
      <c r="I1746" s="6" t="s">
        <v>17</v>
      </c>
      <c r="J1746" s="7" t="s">
        <v>34</v>
      </c>
      <c r="K1746" s="7"/>
      <c r="L1746" s="8">
        <v>1.771609090748E12</v>
      </c>
      <c r="M1746" s="9"/>
      <c r="N1746" s="10"/>
      <c r="O1746" s="10"/>
      <c r="P1746" s="10"/>
      <c r="Q1746" s="10"/>
      <c r="R1746" s="10"/>
      <c r="S1746" s="10"/>
      <c r="T1746" s="10"/>
      <c r="U1746" s="10"/>
      <c r="V1746" s="10"/>
    </row>
    <row r="1747" ht="22.5" customHeight="1">
      <c r="A1747" s="5">
        <v>2.04093424953E11</v>
      </c>
      <c r="B1747" s="5" t="s">
        <v>1646</v>
      </c>
      <c r="C1747" s="5">
        <v>5551996977524</v>
      </c>
      <c r="D1747" s="5" t="s">
        <v>103</v>
      </c>
      <c r="E1747" s="5">
        <v>7.9360573E7</v>
      </c>
      <c r="F1747" s="5" t="s">
        <v>93</v>
      </c>
      <c r="G1747" s="5" t="s">
        <v>44</v>
      </c>
      <c r="H1747" s="5" t="s">
        <v>74</v>
      </c>
      <c r="I1747" s="6" t="s">
        <v>17</v>
      </c>
      <c r="J1747" s="7" t="s">
        <v>34</v>
      </c>
      <c r="K1747" s="7"/>
      <c r="L1747" s="8">
        <v>1.771609091747E12</v>
      </c>
      <c r="M1747" s="9"/>
      <c r="N1747" s="10"/>
      <c r="O1747" s="10"/>
      <c r="P1747" s="10"/>
      <c r="Q1747" s="10"/>
      <c r="R1747" s="10"/>
      <c r="S1747" s="10"/>
      <c r="T1747" s="10"/>
      <c r="U1747" s="10"/>
      <c r="V1747" s="10"/>
    </row>
    <row r="1748" ht="22.5" customHeight="1">
      <c r="A1748" s="5">
        <v>2.00211052076E11</v>
      </c>
      <c r="B1748" s="5" t="s">
        <v>520</v>
      </c>
      <c r="C1748" s="5">
        <v>5548996856930</v>
      </c>
      <c r="D1748" s="5" t="s">
        <v>103</v>
      </c>
      <c r="E1748" s="5">
        <v>7.9360573E7</v>
      </c>
      <c r="F1748" s="5" t="s">
        <v>28</v>
      </c>
      <c r="G1748" s="5" t="s">
        <v>79</v>
      </c>
      <c r="H1748" s="5" t="s">
        <v>24</v>
      </c>
      <c r="I1748" s="6" t="s">
        <v>17</v>
      </c>
      <c r="J1748" s="7" t="s">
        <v>34</v>
      </c>
      <c r="K1748" s="7"/>
      <c r="L1748" s="8">
        <v>1.771609090315E12</v>
      </c>
      <c r="M1748" s="9"/>
      <c r="N1748" s="10"/>
      <c r="O1748" s="10"/>
      <c r="P1748" s="10"/>
      <c r="Q1748" s="10"/>
      <c r="R1748" s="10"/>
      <c r="S1748" s="10"/>
      <c r="T1748" s="10"/>
      <c r="U1748" s="10"/>
      <c r="V1748" s="10"/>
    </row>
    <row r="1749" ht="22.5" customHeight="1">
      <c r="A1749" s="5">
        <v>2.03864705702E11</v>
      </c>
      <c r="B1749" s="5" t="s">
        <v>1465</v>
      </c>
      <c r="C1749" s="5">
        <v>5511973320504</v>
      </c>
      <c r="D1749" s="5" t="s">
        <v>22</v>
      </c>
      <c r="E1749" s="5">
        <v>7.9360573E7</v>
      </c>
      <c r="F1749" s="5" t="s">
        <v>28</v>
      </c>
      <c r="G1749" s="5" t="s">
        <v>32</v>
      </c>
      <c r="H1749" s="5" t="s">
        <v>114</v>
      </c>
      <c r="I1749" s="6" t="s">
        <v>148</v>
      </c>
      <c r="J1749" s="7" t="s">
        <v>58</v>
      </c>
      <c r="K1749" s="11" t="s">
        <v>59</v>
      </c>
      <c r="L1749" s="8">
        <v>1.771609091241E12</v>
      </c>
      <c r="M1749" s="9"/>
      <c r="N1749" s="10"/>
      <c r="O1749" s="10"/>
      <c r="P1749" s="10"/>
      <c r="Q1749" s="10"/>
      <c r="R1749" s="10"/>
      <c r="S1749" s="10"/>
      <c r="T1749" s="10"/>
      <c r="U1749" s="10"/>
      <c r="V1749" s="10"/>
    </row>
    <row r="1750" ht="22.5" customHeight="1">
      <c r="A1750" s="5">
        <v>1.98375156635E11</v>
      </c>
      <c r="B1750" s="5" t="s">
        <v>90</v>
      </c>
      <c r="C1750" s="5">
        <v>5562992753805</v>
      </c>
      <c r="D1750" s="5" t="s">
        <v>38</v>
      </c>
      <c r="E1750" s="5">
        <v>7.9360573E7</v>
      </c>
      <c r="F1750" s="5"/>
      <c r="G1750" s="5"/>
      <c r="H1750" s="5"/>
      <c r="I1750" s="6"/>
      <c r="J1750" s="7" t="s">
        <v>34</v>
      </c>
      <c r="K1750" s="7"/>
      <c r="L1750" s="8">
        <v>1.771609090547E12</v>
      </c>
      <c r="M1750" s="9"/>
      <c r="N1750" s="10"/>
      <c r="O1750" s="10"/>
      <c r="P1750" s="10"/>
      <c r="Q1750" s="10"/>
      <c r="R1750" s="10"/>
      <c r="S1750" s="10"/>
      <c r="T1750" s="10"/>
      <c r="U1750" s="10"/>
      <c r="V1750" s="10"/>
    </row>
    <row r="1751" ht="22.5" customHeight="1">
      <c r="A1751" s="5">
        <v>1.99446566228E11</v>
      </c>
      <c r="B1751" s="5" t="s">
        <v>1674</v>
      </c>
      <c r="C1751" s="5">
        <v>51992284529</v>
      </c>
      <c r="D1751" s="5" t="s">
        <v>22</v>
      </c>
      <c r="E1751" s="5">
        <v>8.7547393E7</v>
      </c>
      <c r="F1751" s="5" t="s">
        <v>28</v>
      </c>
      <c r="G1751" s="5" t="s">
        <v>44</v>
      </c>
      <c r="H1751" s="5" t="s">
        <v>80</v>
      </c>
      <c r="I1751" s="6" t="s">
        <v>17</v>
      </c>
      <c r="J1751" s="7" t="s">
        <v>34</v>
      </c>
      <c r="K1751" s="7"/>
      <c r="L1751" s="8">
        <v>1.77160909126E12</v>
      </c>
      <c r="M1751" s="9"/>
      <c r="N1751" s="10"/>
      <c r="O1751" s="10"/>
      <c r="P1751" s="10"/>
      <c r="Q1751" s="10"/>
      <c r="R1751" s="10"/>
      <c r="S1751" s="10"/>
      <c r="T1751" s="10"/>
      <c r="U1751" s="10"/>
      <c r="V1751" s="10"/>
    </row>
    <row r="1752" ht="22.5" customHeight="1">
      <c r="A1752" s="5">
        <v>2.00165580984E11</v>
      </c>
      <c r="B1752" s="5" t="s">
        <v>486</v>
      </c>
      <c r="C1752" s="5">
        <v>5511912749534</v>
      </c>
      <c r="D1752" s="5" t="s">
        <v>22</v>
      </c>
      <c r="E1752" s="5">
        <v>7.9360573E7</v>
      </c>
      <c r="F1752" s="5" t="s">
        <v>93</v>
      </c>
      <c r="G1752" s="5" t="s">
        <v>44</v>
      </c>
      <c r="H1752" s="5" t="s">
        <v>24</v>
      </c>
      <c r="I1752" s="6" t="s">
        <v>17</v>
      </c>
      <c r="J1752" s="7" t="s">
        <v>34</v>
      </c>
      <c r="K1752" s="7"/>
      <c r="L1752" s="8">
        <v>1.771609091151E12</v>
      </c>
      <c r="M1752" s="9"/>
      <c r="N1752" s="10"/>
      <c r="O1752" s="10"/>
      <c r="P1752" s="10"/>
      <c r="Q1752" s="10"/>
      <c r="R1752" s="10"/>
      <c r="S1752" s="10"/>
      <c r="T1752" s="10"/>
      <c r="U1752" s="10"/>
      <c r="V1752" s="10"/>
    </row>
    <row r="1753" ht="22.5" customHeight="1">
      <c r="A1753" s="5">
        <v>2.04115935581E11</v>
      </c>
      <c r="B1753" s="5" t="s">
        <v>1664</v>
      </c>
      <c r="C1753" s="5">
        <v>5515997206395</v>
      </c>
      <c r="D1753" s="5" t="s">
        <v>13</v>
      </c>
      <c r="E1753" s="5">
        <v>7.9360573E7</v>
      </c>
      <c r="F1753" s="5" t="s">
        <v>714</v>
      </c>
      <c r="G1753" s="5">
        <v>50</v>
      </c>
      <c r="H1753" s="5" t="s">
        <v>16</v>
      </c>
      <c r="I1753" s="6" t="s">
        <v>17</v>
      </c>
      <c r="J1753" s="7" t="s">
        <v>34</v>
      </c>
      <c r="K1753" s="7"/>
      <c r="L1753" s="8">
        <v>1.771609092135E12</v>
      </c>
      <c r="M1753" s="9"/>
      <c r="N1753" s="10"/>
      <c r="O1753" s="10"/>
      <c r="P1753" s="10"/>
      <c r="Q1753" s="10"/>
      <c r="R1753" s="10"/>
      <c r="S1753" s="10"/>
      <c r="T1753" s="10"/>
      <c r="U1753" s="10"/>
      <c r="V1753" s="10"/>
    </row>
    <row r="1754" ht="22.5" customHeight="1">
      <c r="A1754" s="5">
        <v>1.98367815567E11</v>
      </c>
      <c r="B1754" s="5" t="s">
        <v>92</v>
      </c>
      <c r="C1754" s="5">
        <v>5541998193312</v>
      </c>
      <c r="D1754" s="5" t="s">
        <v>22</v>
      </c>
      <c r="E1754" s="5">
        <v>7.9360573E7</v>
      </c>
      <c r="F1754" s="5" t="s">
        <v>93</v>
      </c>
      <c r="G1754" s="5" t="s">
        <v>32</v>
      </c>
      <c r="H1754" s="5" t="s">
        <v>55</v>
      </c>
      <c r="I1754" s="6" t="s">
        <v>49</v>
      </c>
      <c r="J1754" s="7" t="s">
        <v>34</v>
      </c>
      <c r="K1754" s="7"/>
      <c r="L1754" s="8">
        <v>1.771609091928E12</v>
      </c>
      <c r="M1754" s="9"/>
      <c r="N1754" s="10"/>
      <c r="O1754" s="10"/>
      <c r="P1754" s="10"/>
      <c r="Q1754" s="10"/>
      <c r="R1754" s="10"/>
      <c r="S1754" s="10"/>
      <c r="T1754" s="10"/>
      <c r="U1754" s="10"/>
      <c r="V1754" s="10"/>
    </row>
    <row r="1755" ht="22.5" customHeight="1">
      <c r="A1755" s="5">
        <v>1.99426653311E11</v>
      </c>
      <c r="B1755" s="5" t="s">
        <v>314</v>
      </c>
      <c r="C1755" s="5">
        <v>5562984824810</v>
      </c>
      <c r="D1755" s="5" t="s">
        <v>13</v>
      </c>
      <c r="E1755" s="5">
        <v>7.9360573E7</v>
      </c>
      <c r="F1755" s="5" t="s">
        <v>28</v>
      </c>
      <c r="G1755" s="5" t="s">
        <v>15</v>
      </c>
      <c r="H1755" s="5" t="s">
        <v>86</v>
      </c>
      <c r="I1755" s="6" t="s">
        <v>36</v>
      </c>
      <c r="J1755" s="7" t="s">
        <v>18</v>
      </c>
      <c r="K1755" s="7" t="s">
        <v>45</v>
      </c>
      <c r="L1755" s="8">
        <v>1.771609091601E12</v>
      </c>
      <c r="M1755" s="9"/>
      <c r="N1755" s="10"/>
      <c r="O1755" s="10"/>
      <c r="P1755" s="10"/>
      <c r="Q1755" s="10"/>
      <c r="R1755" s="10"/>
      <c r="S1755" s="10"/>
      <c r="T1755" s="10"/>
      <c r="U1755" s="10"/>
      <c r="V1755" s="10"/>
    </row>
    <row r="1756" ht="22.5" customHeight="1">
      <c r="A1756" s="5">
        <v>1.7663820705E11</v>
      </c>
      <c r="B1756" s="5" t="s">
        <v>992</v>
      </c>
      <c r="C1756" s="5">
        <v>51907507743</v>
      </c>
      <c r="D1756" s="5" t="s">
        <v>22</v>
      </c>
      <c r="E1756" s="5">
        <v>8.0566583E7</v>
      </c>
      <c r="F1756" s="5" t="s">
        <v>39</v>
      </c>
      <c r="G1756" s="5" t="s">
        <v>44</v>
      </c>
      <c r="H1756" s="5" t="s">
        <v>24</v>
      </c>
      <c r="I1756" s="6" t="s">
        <v>17</v>
      </c>
      <c r="J1756" s="7" t="s">
        <v>34</v>
      </c>
      <c r="K1756" s="7"/>
      <c r="L1756" s="8">
        <v>1.771609091369E12</v>
      </c>
      <c r="M1756" s="9"/>
      <c r="N1756" s="10"/>
      <c r="O1756" s="10"/>
      <c r="P1756" s="10"/>
      <c r="Q1756" s="10"/>
      <c r="R1756" s="10"/>
      <c r="S1756" s="10"/>
      <c r="T1756" s="10"/>
      <c r="U1756" s="10"/>
      <c r="V1756" s="10"/>
    </row>
    <row r="1757" ht="22.5" customHeight="1">
      <c r="A1757" s="5">
        <v>1.99321785107E11</v>
      </c>
      <c r="B1757" s="5" t="s">
        <v>292</v>
      </c>
      <c r="C1757" s="5">
        <v>5575981604770</v>
      </c>
      <c r="D1757" s="5" t="s">
        <v>22</v>
      </c>
      <c r="E1757" s="5">
        <v>7.9360573E7</v>
      </c>
      <c r="F1757" s="5" t="s">
        <v>28</v>
      </c>
      <c r="G1757" s="5" t="s">
        <v>44</v>
      </c>
      <c r="H1757" s="5" t="s">
        <v>100</v>
      </c>
      <c r="I1757" s="6" t="s">
        <v>49</v>
      </c>
      <c r="J1757" s="7" t="s">
        <v>34</v>
      </c>
      <c r="K1757" s="7"/>
      <c r="L1757" s="8">
        <v>1.77160909105E12</v>
      </c>
      <c r="M1757" s="9"/>
      <c r="N1757" s="10"/>
      <c r="O1757" s="10"/>
      <c r="P1757" s="10"/>
      <c r="Q1757" s="10"/>
      <c r="R1757" s="10"/>
      <c r="S1757" s="10"/>
      <c r="T1757" s="10"/>
      <c r="U1757" s="10"/>
      <c r="V1757" s="10"/>
    </row>
    <row r="1758" ht="22.5" customHeight="1">
      <c r="A1758" s="5">
        <v>1.99873005842E11</v>
      </c>
      <c r="B1758" s="5" t="s">
        <v>421</v>
      </c>
      <c r="C1758" s="5">
        <v>5528999944139</v>
      </c>
      <c r="D1758" s="5" t="s">
        <v>22</v>
      </c>
      <c r="E1758" s="5">
        <v>7.9360573E7</v>
      </c>
      <c r="F1758" s="5" t="s">
        <v>93</v>
      </c>
      <c r="G1758" s="5" t="s">
        <v>32</v>
      </c>
      <c r="H1758" s="5" t="s">
        <v>66</v>
      </c>
      <c r="I1758" s="6" t="s">
        <v>148</v>
      </c>
      <c r="J1758" s="7" t="s">
        <v>34</v>
      </c>
      <c r="K1758" s="7"/>
      <c r="L1758" s="8">
        <v>1.771609092824E12</v>
      </c>
      <c r="M1758" s="9"/>
      <c r="N1758" s="10"/>
      <c r="O1758" s="10"/>
      <c r="P1758" s="10"/>
      <c r="Q1758" s="10"/>
      <c r="R1758" s="10"/>
      <c r="S1758" s="10"/>
      <c r="T1758" s="10"/>
      <c r="U1758" s="10"/>
      <c r="V1758" s="10"/>
    </row>
    <row r="1759" ht="22.5" customHeight="1">
      <c r="A1759" s="5">
        <v>2.01510065941E11</v>
      </c>
      <c r="B1759" s="5" t="s">
        <v>783</v>
      </c>
      <c r="C1759" s="5">
        <v>5599992025679</v>
      </c>
      <c r="D1759" s="5" t="s">
        <v>38</v>
      </c>
      <c r="E1759" s="5">
        <v>7.9360573E7</v>
      </c>
      <c r="F1759" s="5" t="s">
        <v>28</v>
      </c>
      <c r="G1759" s="5" t="s">
        <v>15</v>
      </c>
      <c r="H1759" s="5" t="s">
        <v>16</v>
      </c>
      <c r="I1759" s="6" t="s">
        <v>17</v>
      </c>
      <c r="J1759" s="7" t="s">
        <v>34</v>
      </c>
      <c r="K1759" s="7"/>
      <c r="L1759" s="8">
        <v>1.771609091091E12</v>
      </c>
      <c r="M1759" s="9"/>
      <c r="N1759" s="10"/>
      <c r="O1759" s="10"/>
      <c r="P1759" s="10"/>
      <c r="Q1759" s="10"/>
      <c r="R1759" s="10"/>
      <c r="S1759" s="10"/>
      <c r="T1759" s="10"/>
      <c r="U1759" s="10"/>
      <c r="V1759" s="10"/>
    </row>
    <row r="1760" ht="22.5" customHeight="1">
      <c r="A1760" s="5">
        <v>2.03002304677E11</v>
      </c>
      <c r="B1760" s="5" t="s">
        <v>1233</v>
      </c>
      <c r="C1760" s="5">
        <v>5521969690449</v>
      </c>
      <c r="D1760" s="5" t="s">
        <v>13</v>
      </c>
      <c r="E1760" s="5">
        <v>7.9360573E7</v>
      </c>
      <c r="F1760" s="5" t="s">
        <v>714</v>
      </c>
      <c r="G1760" s="5" t="s">
        <v>15</v>
      </c>
      <c r="H1760" s="5" t="s">
        <v>16</v>
      </c>
      <c r="I1760" s="6" t="s">
        <v>17</v>
      </c>
      <c r="J1760" s="7" t="s">
        <v>34</v>
      </c>
      <c r="K1760" s="7"/>
      <c r="L1760" s="8">
        <v>1.771609091427E12</v>
      </c>
      <c r="M1760" s="9"/>
      <c r="N1760" s="10"/>
      <c r="O1760" s="10"/>
      <c r="P1760" s="10"/>
      <c r="Q1760" s="10"/>
      <c r="R1760" s="10"/>
      <c r="S1760" s="10"/>
      <c r="T1760" s="10"/>
      <c r="U1760" s="10"/>
      <c r="V1760" s="10"/>
    </row>
    <row r="1761" ht="22.5" customHeight="1">
      <c r="A1761" s="5">
        <v>1.98600527165E11</v>
      </c>
      <c r="B1761" s="5" t="s">
        <v>152</v>
      </c>
      <c r="C1761" s="5">
        <v>5579991248951</v>
      </c>
      <c r="D1761" s="5" t="s">
        <v>13</v>
      </c>
      <c r="E1761" s="5">
        <v>7.9360573E7</v>
      </c>
      <c r="F1761" s="5" t="s">
        <v>23</v>
      </c>
      <c r="G1761" s="5" t="s">
        <v>44</v>
      </c>
      <c r="H1761" s="5" t="s">
        <v>24</v>
      </c>
      <c r="I1761" s="6" t="s">
        <v>17</v>
      </c>
      <c r="J1761" s="7" t="s">
        <v>34</v>
      </c>
      <c r="K1761" s="7"/>
      <c r="L1761" s="8">
        <v>1.771609092078E12</v>
      </c>
      <c r="M1761" s="9"/>
      <c r="N1761" s="10"/>
      <c r="O1761" s="10"/>
      <c r="P1761" s="10"/>
      <c r="Q1761" s="10"/>
      <c r="R1761" s="10"/>
      <c r="S1761" s="10"/>
      <c r="T1761" s="10"/>
      <c r="U1761" s="10"/>
      <c r="V1761" s="10"/>
    </row>
    <row r="1762" ht="22.5" customHeight="1">
      <c r="A1762" s="5">
        <v>1.05834638764E11</v>
      </c>
      <c r="B1762" s="5" t="s">
        <v>172</v>
      </c>
      <c r="C1762" s="5">
        <v>5511994639575</v>
      </c>
      <c r="D1762" s="5" t="s">
        <v>13</v>
      </c>
      <c r="E1762" s="5">
        <v>7.9360573E7</v>
      </c>
      <c r="F1762" s="5" t="s">
        <v>31</v>
      </c>
      <c r="G1762" s="5" t="s">
        <v>32</v>
      </c>
      <c r="H1762" s="5"/>
      <c r="I1762" s="6"/>
      <c r="J1762" s="7" t="s">
        <v>34</v>
      </c>
      <c r="K1762" s="7"/>
      <c r="L1762" s="8">
        <v>1.771609091554E12</v>
      </c>
      <c r="M1762" s="9"/>
      <c r="N1762" s="10"/>
      <c r="O1762" s="10"/>
      <c r="P1762" s="10"/>
      <c r="Q1762" s="10"/>
      <c r="R1762" s="10"/>
      <c r="S1762" s="10"/>
      <c r="T1762" s="10"/>
      <c r="U1762" s="10"/>
      <c r="V1762" s="10"/>
    </row>
    <row r="1763" ht="22.5" customHeight="1">
      <c r="A1763" s="5">
        <v>2.01923078656E11</v>
      </c>
      <c r="B1763" s="5" t="s">
        <v>934</v>
      </c>
      <c r="C1763" s="5">
        <v>5573981525816</v>
      </c>
      <c r="D1763" s="5" t="s">
        <v>13</v>
      </c>
      <c r="E1763" s="5">
        <v>7.9360573E7</v>
      </c>
      <c r="F1763" s="5" t="s">
        <v>510</v>
      </c>
      <c r="G1763" s="5">
        <v>50</v>
      </c>
      <c r="H1763" s="5" t="s">
        <v>24</v>
      </c>
      <c r="I1763" s="6" t="s">
        <v>36</v>
      </c>
      <c r="J1763" s="7" t="s">
        <v>34</v>
      </c>
      <c r="K1763" s="7"/>
      <c r="L1763" s="8">
        <v>1.771609094824E12</v>
      </c>
      <c r="M1763" s="9"/>
      <c r="N1763" s="10"/>
      <c r="O1763" s="10"/>
      <c r="P1763" s="10"/>
      <c r="Q1763" s="10"/>
      <c r="R1763" s="10"/>
      <c r="S1763" s="10"/>
      <c r="T1763" s="10"/>
      <c r="U1763" s="10"/>
      <c r="V1763" s="10"/>
    </row>
    <row r="1764" ht="22.5" customHeight="1">
      <c r="A1764" s="5">
        <v>2.00437882781E11</v>
      </c>
      <c r="B1764" s="5" t="s">
        <v>614</v>
      </c>
      <c r="C1764" s="5">
        <v>5521992539702</v>
      </c>
      <c r="D1764" s="5" t="s">
        <v>13</v>
      </c>
      <c r="E1764" s="5">
        <v>7.9360573E7</v>
      </c>
      <c r="F1764" s="5" t="s">
        <v>42</v>
      </c>
      <c r="G1764" s="5" t="s">
        <v>32</v>
      </c>
      <c r="H1764" s="5" t="s">
        <v>69</v>
      </c>
      <c r="I1764" s="6" t="s">
        <v>17</v>
      </c>
      <c r="J1764" s="7" t="s">
        <v>34</v>
      </c>
      <c r="K1764" s="7"/>
      <c r="L1764" s="8">
        <v>1.771609091203E12</v>
      </c>
      <c r="M1764" s="9"/>
      <c r="N1764" s="10"/>
      <c r="O1764" s="10"/>
      <c r="P1764" s="10"/>
      <c r="Q1764" s="10"/>
      <c r="R1764" s="10"/>
      <c r="S1764" s="10"/>
      <c r="T1764" s="10"/>
      <c r="U1764" s="10"/>
      <c r="V1764" s="10"/>
    </row>
    <row r="1765" ht="22.5" customHeight="1">
      <c r="A1765" s="5">
        <v>2.03725300015E11</v>
      </c>
      <c r="B1765" s="5" t="s">
        <v>1415</v>
      </c>
      <c r="C1765" s="5">
        <v>5521980352684</v>
      </c>
      <c r="D1765" s="5" t="s">
        <v>13</v>
      </c>
      <c r="E1765" s="5">
        <v>7.9360573E7</v>
      </c>
      <c r="F1765" s="5" t="s">
        <v>28</v>
      </c>
      <c r="G1765" s="5" t="s">
        <v>15</v>
      </c>
      <c r="H1765" s="5" t="s">
        <v>16</v>
      </c>
      <c r="I1765" s="6" t="s">
        <v>17</v>
      </c>
      <c r="J1765" s="7" t="s">
        <v>34</v>
      </c>
      <c r="K1765" s="7"/>
      <c r="L1765" s="8">
        <v>1.771609352365E12</v>
      </c>
      <c r="M1765" s="9"/>
      <c r="N1765" s="10"/>
      <c r="O1765" s="10"/>
      <c r="P1765" s="10"/>
      <c r="Q1765" s="10"/>
      <c r="R1765" s="10"/>
      <c r="S1765" s="10"/>
      <c r="T1765" s="10"/>
      <c r="U1765" s="10"/>
      <c r="V1765" s="10"/>
    </row>
    <row r="1766" ht="22.5" customHeight="1">
      <c r="A1766" s="5">
        <v>2.02712231049E11</v>
      </c>
      <c r="B1766" s="5" t="s">
        <v>1163</v>
      </c>
      <c r="C1766" s="5">
        <v>5511920742815</v>
      </c>
      <c r="D1766" s="5" t="s">
        <v>22</v>
      </c>
      <c r="E1766" s="5">
        <v>7.9360573E7</v>
      </c>
      <c r="F1766" s="5" t="s">
        <v>28</v>
      </c>
      <c r="G1766" s="5" t="s">
        <v>44</v>
      </c>
      <c r="H1766" s="5" t="s">
        <v>188</v>
      </c>
      <c r="I1766" s="6" t="s">
        <v>17</v>
      </c>
      <c r="J1766" s="7" t="s">
        <v>34</v>
      </c>
      <c r="K1766" s="7"/>
      <c r="L1766" s="8">
        <v>1.771609352284E12</v>
      </c>
      <c r="M1766" s="9"/>
      <c r="N1766" s="10"/>
      <c r="O1766" s="10"/>
      <c r="P1766" s="10"/>
      <c r="Q1766" s="10"/>
      <c r="R1766" s="10"/>
      <c r="S1766" s="10"/>
      <c r="T1766" s="10"/>
      <c r="U1766" s="10"/>
      <c r="V1766" s="10"/>
    </row>
    <row r="1767" ht="22.5" customHeight="1">
      <c r="A1767" s="5">
        <v>2.02134584662E11</v>
      </c>
      <c r="B1767" s="5" t="s">
        <v>1323</v>
      </c>
      <c r="C1767" s="5">
        <v>5528999818225</v>
      </c>
      <c r="D1767" s="5" t="s">
        <v>22</v>
      </c>
      <c r="E1767" s="5">
        <v>7.9360573E7</v>
      </c>
      <c r="F1767" s="5" t="s">
        <v>28</v>
      </c>
      <c r="G1767" s="5" t="s">
        <v>44</v>
      </c>
      <c r="H1767" s="5" t="s">
        <v>29</v>
      </c>
      <c r="I1767" s="6" t="s">
        <v>17</v>
      </c>
      <c r="J1767" s="7" t="s">
        <v>34</v>
      </c>
      <c r="K1767" s="7"/>
      <c r="L1767" s="8">
        <v>1.771609353563E12</v>
      </c>
      <c r="M1767" s="9"/>
      <c r="N1767" s="10"/>
      <c r="O1767" s="10"/>
      <c r="P1767" s="10"/>
      <c r="Q1767" s="10"/>
      <c r="R1767" s="10"/>
      <c r="S1767" s="10"/>
      <c r="T1767" s="10"/>
      <c r="U1767" s="10"/>
      <c r="V1767" s="10"/>
    </row>
    <row r="1768" ht="22.5" customHeight="1">
      <c r="A1768" s="5">
        <v>2.01630550693E11</v>
      </c>
      <c r="B1768" s="5" t="s">
        <v>1675</v>
      </c>
      <c r="C1768" s="5">
        <v>5581996544407</v>
      </c>
      <c r="D1768" s="5" t="s">
        <v>13</v>
      </c>
      <c r="E1768" s="5">
        <v>7.9360573E7</v>
      </c>
      <c r="F1768" s="5" t="s">
        <v>28</v>
      </c>
      <c r="G1768" s="5" t="s">
        <v>32</v>
      </c>
      <c r="H1768" s="5" t="s">
        <v>16</v>
      </c>
      <c r="I1768" s="6" t="s">
        <v>17</v>
      </c>
      <c r="J1768" s="7" t="s">
        <v>34</v>
      </c>
      <c r="K1768" s="7"/>
      <c r="L1768" s="8">
        <v>1.771609353543E12</v>
      </c>
      <c r="M1768" s="9"/>
      <c r="N1768" s="10"/>
      <c r="O1768" s="10"/>
      <c r="P1768" s="10"/>
      <c r="Q1768" s="10"/>
      <c r="R1768" s="10"/>
      <c r="S1768" s="10"/>
      <c r="T1768" s="10"/>
      <c r="U1768" s="10"/>
      <c r="V1768" s="10"/>
    </row>
    <row r="1769" ht="22.5" customHeight="1">
      <c r="A1769" s="5">
        <v>1.99559238556E11</v>
      </c>
      <c r="B1769" s="5" t="s">
        <v>348</v>
      </c>
      <c r="C1769" s="5">
        <v>5521997775987</v>
      </c>
      <c r="D1769" s="5" t="s">
        <v>13</v>
      </c>
      <c r="E1769" s="5">
        <v>7.9360573E7</v>
      </c>
      <c r="F1769" s="5" t="s">
        <v>28</v>
      </c>
      <c r="G1769" s="5" t="s">
        <v>32</v>
      </c>
      <c r="H1769" s="5" t="s">
        <v>74</v>
      </c>
      <c r="I1769" s="6" t="s">
        <v>17</v>
      </c>
      <c r="J1769" s="7" t="s">
        <v>18</v>
      </c>
      <c r="K1769" s="7" t="s">
        <v>45</v>
      </c>
      <c r="L1769" s="8">
        <v>1.77160935364E12</v>
      </c>
      <c r="M1769" s="9"/>
      <c r="N1769" s="10"/>
      <c r="O1769" s="10"/>
      <c r="P1769" s="10"/>
      <c r="Q1769" s="10"/>
      <c r="R1769" s="10"/>
      <c r="S1769" s="10"/>
      <c r="T1769" s="10"/>
      <c r="U1769" s="10"/>
      <c r="V1769" s="10"/>
    </row>
    <row r="1770" ht="22.5" customHeight="1">
      <c r="A1770" s="5">
        <v>2.03248805248E11</v>
      </c>
      <c r="B1770" s="5" t="s">
        <v>1296</v>
      </c>
      <c r="C1770" s="5">
        <v>5521959195083</v>
      </c>
      <c r="D1770" s="5" t="s">
        <v>13</v>
      </c>
      <c r="E1770" s="5">
        <v>7.9360573E7</v>
      </c>
      <c r="F1770" s="5" t="s">
        <v>28</v>
      </c>
      <c r="G1770" s="5" t="s">
        <v>15</v>
      </c>
      <c r="H1770" s="5" t="s">
        <v>66</v>
      </c>
      <c r="I1770" s="6" t="s">
        <v>17</v>
      </c>
      <c r="J1770" s="7" t="s">
        <v>34</v>
      </c>
      <c r="K1770" s="7"/>
      <c r="L1770" s="8">
        <v>1.771609353801E12</v>
      </c>
      <c r="M1770" s="9"/>
      <c r="N1770" s="10"/>
      <c r="O1770" s="10"/>
      <c r="P1770" s="10"/>
      <c r="Q1770" s="10"/>
      <c r="R1770" s="10"/>
      <c r="S1770" s="10"/>
      <c r="T1770" s="10"/>
      <c r="U1770" s="10"/>
      <c r="V1770" s="10"/>
    </row>
    <row r="1771" ht="22.5" customHeight="1">
      <c r="A1771" s="5">
        <v>2.01503005977E11</v>
      </c>
      <c r="B1771" s="5" t="s">
        <v>780</v>
      </c>
      <c r="C1771" s="5">
        <v>5598920007778</v>
      </c>
      <c r="D1771" s="5" t="s">
        <v>13</v>
      </c>
      <c r="E1771" s="5">
        <v>7.9360573E7</v>
      </c>
      <c r="F1771" s="5" t="s">
        <v>28</v>
      </c>
      <c r="G1771" s="5" t="s">
        <v>15</v>
      </c>
      <c r="H1771" s="5" t="s">
        <v>29</v>
      </c>
      <c r="I1771" s="6" t="s">
        <v>17</v>
      </c>
      <c r="J1771" s="7" t="s">
        <v>34</v>
      </c>
      <c r="K1771" s="7"/>
      <c r="L1771" s="8">
        <v>1.771609354064E12</v>
      </c>
      <c r="M1771" s="9"/>
      <c r="N1771" s="10"/>
      <c r="O1771" s="10"/>
      <c r="P1771" s="10"/>
      <c r="Q1771" s="10"/>
      <c r="R1771" s="10"/>
      <c r="S1771" s="10"/>
      <c r="T1771" s="10"/>
      <c r="U1771" s="10"/>
      <c r="V1771" s="10"/>
    </row>
    <row r="1772" ht="22.5" customHeight="1">
      <c r="A1772" s="5">
        <v>2.0202784212E11</v>
      </c>
      <c r="B1772" s="5" t="s">
        <v>968</v>
      </c>
      <c r="C1772" s="5">
        <v>5511989629857</v>
      </c>
      <c r="D1772" s="5" t="s">
        <v>22</v>
      </c>
      <c r="E1772" s="5">
        <v>7.9360573E7</v>
      </c>
      <c r="F1772" s="5" t="s">
        <v>28</v>
      </c>
      <c r="G1772" s="5" t="s">
        <v>32</v>
      </c>
      <c r="H1772" s="5" t="s">
        <v>16</v>
      </c>
      <c r="I1772" s="6" t="s">
        <v>17</v>
      </c>
      <c r="J1772" s="7" t="s">
        <v>34</v>
      </c>
      <c r="K1772" s="7"/>
      <c r="L1772" s="8">
        <v>1.771609353003E12</v>
      </c>
      <c r="M1772" s="9"/>
      <c r="N1772" s="10"/>
      <c r="O1772" s="10"/>
      <c r="P1772" s="10"/>
      <c r="Q1772" s="10"/>
      <c r="R1772" s="10"/>
      <c r="S1772" s="10"/>
      <c r="T1772" s="10"/>
      <c r="U1772" s="10"/>
      <c r="V1772" s="10"/>
    </row>
    <row r="1773" ht="22.5" customHeight="1">
      <c r="A1773" s="5">
        <v>2.02445028188E11</v>
      </c>
      <c r="B1773" s="5" t="s">
        <v>1071</v>
      </c>
      <c r="C1773" s="5">
        <v>5573998443054</v>
      </c>
      <c r="D1773" s="5" t="s">
        <v>22</v>
      </c>
      <c r="E1773" s="5">
        <v>7.9360573E7</v>
      </c>
      <c r="F1773" s="5" t="s">
        <v>28</v>
      </c>
      <c r="G1773" s="5" t="s">
        <v>44</v>
      </c>
      <c r="H1773" s="5" t="s">
        <v>51</v>
      </c>
      <c r="I1773" s="6" t="s">
        <v>36</v>
      </c>
      <c r="J1773" s="7" t="s">
        <v>34</v>
      </c>
      <c r="K1773" s="7"/>
      <c r="L1773" s="8">
        <v>1.77160935352E12</v>
      </c>
      <c r="M1773" s="9"/>
      <c r="N1773" s="10"/>
      <c r="O1773" s="10"/>
      <c r="P1773" s="10"/>
      <c r="Q1773" s="10"/>
      <c r="R1773" s="10"/>
      <c r="S1773" s="10"/>
      <c r="T1773" s="10"/>
      <c r="U1773" s="10"/>
      <c r="V1773" s="10"/>
    </row>
    <row r="1774" ht="22.5" customHeight="1">
      <c r="A1774" s="5">
        <v>1.99843691075E11</v>
      </c>
      <c r="B1774" s="5" t="s">
        <v>416</v>
      </c>
      <c r="C1774" s="5">
        <v>5551995220473</v>
      </c>
      <c r="D1774" s="5" t="s">
        <v>22</v>
      </c>
      <c r="E1774" s="5">
        <v>7.9360573E7</v>
      </c>
      <c r="F1774" s="5" t="s">
        <v>65</v>
      </c>
      <c r="G1774" s="5" t="s">
        <v>44</v>
      </c>
      <c r="H1774" s="5" t="s">
        <v>24</v>
      </c>
      <c r="I1774" s="6"/>
      <c r="J1774" s="7" t="s">
        <v>58</v>
      </c>
      <c r="K1774" s="11" t="s">
        <v>59</v>
      </c>
      <c r="L1774" s="8">
        <v>1.771609354065E12</v>
      </c>
      <c r="M1774" s="9"/>
      <c r="N1774" s="10"/>
      <c r="O1774" s="10"/>
      <c r="P1774" s="10"/>
      <c r="Q1774" s="10"/>
      <c r="R1774" s="10"/>
      <c r="S1774" s="10"/>
      <c r="T1774" s="10"/>
      <c r="U1774" s="10"/>
      <c r="V1774" s="10"/>
    </row>
    <row r="1775" ht="22.5" customHeight="1">
      <c r="A1775" s="5">
        <v>1.9886129959E11</v>
      </c>
      <c r="B1775" s="5" t="s">
        <v>185</v>
      </c>
      <c r="C1775" s="5">
        <v>5538999743720</v>
      </c>
      <c r="D1775" s="5" t="s">
        <v>13</v>
      </c>
      <c r="E1775" s="5">
        <v>7.9360573E7</v>
      </c>
      <c r="F1775" s="5" t="s">
        <v>28</v>
      </c>
      <c r="G1775" s="5" t="s">
        <v>15</v>
      </c>
      <c r="H1775" s="5" t="s">
        <v>24</v>
      </c>
      <c r="I1775" s="6" t="s">
        <v>17</v>
      </c>
      <c r="J1775" s="7" t="s">
        <v>34</v>
      </c>
      <c r="K1775" s="7"/>
      <c r="L1775" s="8">
        <v>1.771609353581E12</v>
      </c>
      <c r="M1775" s="9"/>
      <c r="N1775" s="10"/>
      <c r="O1775" s="10"/>
      <c r="P1775" s="10"/>
      <c r="Q1775" s="10"/>
      <c r="R1775" s="10"/>
      <c r="S1775" s="10"/>
      <c r="T1775" s="10"/>
      <c r="U1775" s="10"/>
      <c r="V1775" s="10"/>
    </row>
    <row r="1776" ht="22.5" customHeight="1">
      <c r="A1776" s="5">
        <v>2.00896627094E11</v>
      </c>
      <c r="B1776" s="5" t="s">
        <v>1676</v>
      </c>
      <c r="C1776" s="5">
        <v>5582988983448</v>
      </c>
      <c r="D1776" s="5" t="s">
        <v>13</v>
      </c>
      <c r="E1776" s="5">
        <v>7.9360573E7</v>
      </c>
      <c r="F1776" s="5" t="s">
        <v>673</v>
      </c>
      <c r="G1776" s="5" t="s">
        <v>32</v>
      </c>
      <c r="H1776" s="5" t="s">
        <v>29</v>
      </c>
      <c r="I1776" s="6" t="s">
        <v>17</v>
      </c>
      <c r="J1776" s="7" t="s">
        <v>34</v>
      </c>
      <c r="K1776" s="7"/>
      <c r="L1776" s="8">
        <v>1.771609353295E12</v>
      </c>
      <c r="M1776" s="9"/>
      <c r="N1776" s="10"/>
      <c r="O1776" s="10"/>
      <c r="P1776" s="10"/>
      <c r="Q1776" s="10"/>
      <c r="R1776" s="10"/>
      <c r="S1776" s="10"/>
      <c r="T1776" s="10"/>
      <c r="U1776" s="10"/>
      <c r="V1776" s="10"/>
    </row>
    <row r="1777" ht="22.5" customHeight="1">
      <c r="A1777" s="5">
        <v>2.00417424986E11</v>
      </c>
      <c r="B1777" s="5" t="s">
        <v>604</v>
      </c>
      <c r="C1777" s="5">
        <v>5511960697767</v>
      </c>
      <c r="D1777" s="5" t="s">
        <v>22</v>
      </c>
      <c r="E1777" s="5">
        <v>7.9360573E7</v>
      </c>
      <c r="F1777" s="5" t="s">
        <v>28</v>
      </c>
      <c r="G1777" s="5" t="s">
        <v>44</v>
      </c>
      <c r="H1777" s="5" t="s">
        <v>24</v>
      </c>
      <c r="I1777" s="6" t="s">
        <v>17</v>
      </c>
      <c r="J1777" s="7" t="s">
        <v>34</v>
      </c>
      <c r="K1777" s="7"/>
      <c r="L1777" s="8">
        <v>1.77160935386E12</v>
      </c>
      <c r="M1777" s="9"/>
      <c r="N1777" s="10"/>
      <c r="O1777" s="10"/>
      <c r="P1777" s="10"/>
      <c r="Q1777" s="10"/>
      <c r="R1777" s="10"/>
      <c r="S1777" s="10"/>
      <c r="T1777" s="10"/>
      <c r="U1777" s="10"/>
      <c r="V1777" s="10"/>
    </row>
    <row r="1778" ht="22.5" customHeight="1">
      <c r="A1778" s="5">
        <v>1.99013599579E11</v>
      </c>
      <c r="B1778" s="5" t="s">
        <v>220</v>
      </c>
      <c r="C1778" s="5">
        <v>5522998575420</v>
      </c>
      <c r="D1778" s="5" t="s">
        <v>38</v>
      </c>
      <c r="E1778" s="5">
        <v>7.9360573E7</v>
      </c>
      <c r="F1778" s="5" t="s">
        <v>93</v>
      </c>
      <c r="G1778" s="5" t="s">
        <v>15</v>
      </c>
      <c r="H1778" s="5" t="s">
        <v>16</v>
      </c>
      <c r="I1778" s="6" t="s">
        <v>17</v>
      </c>
      <c r="J1778" s="7" t="s">
        <v>34</v>
      </c>
      <c r="K1778" s="7"/>
      <c r="L1778" s="8">
        <v>1.771609354923E12</v>
      </c>
      <c r="M1778" s="9"/>
      <c r="N1778" s="10"/>
      <c r="O1778" s="10"/>
      <c r="P1778" s="10"/>
      <c r="Q1778" s="10"/>
      <c r="R1778" s="10"/>
      <c r="S1778" s="10"/>
      <c r="T1778" s="10"/>
      <c r="U1778" s="10"/>
      <c r="V1778" s="10"/>
    </row>
    <row r="1779" ht="22.5" customHeight="1">
      <c r="A1779" s="5">
        <v>2.0311522872E11</v>
      </c>
      <c r="B1779" s="5" t="s">
        <v>1267</v>
      </c>
      <c r="C1779" s="5">
        <v>5584996030087</v>
      </c>
      <c r="D1779" s="5" t="s">
        <v>38</v>
      </c>
      <c r="E1779" s="5">
        <v>7.9360573E7</v>
      </c>
      <c r="F1779" s="5"/>
      <c r="G1779" s="5"/>
      <c r="H1779" s="5"/>
      <c r="I1779" s="6"/>
      <c r="J1779" s="7" t="s">
        <v>34</v>
      </c>
      <c r="K1779" s="7"/>
      <c r="L1779" s="8">
        <v>1.771609353186E12</v>
      </c>
      <c r="M1779" s="9"/>
      <c r="N1779" s="10"/>
      <c r="O1779" s="10"/>
      <c r="P1779" s="10"/>
      <c r="Q1779" s="10"/>
      <c r="R1779" s="10"/>
      <c r="S1779" s="10"/>
      <c r="T1779" s="10"/>
      <c r="U1779" s="10"/>
      <c r="V1779" s="10"/>
    </row>
    <row r="1780" ht="22.5" customHeight="1">
      <c r="A1780" s="5">
        <v>2.03319271273E11</v>
      </c>
      <c r="B1780" s="5" t="s">
        <v>1317</v>
      </c>
      <c r="C1780" s="5">
        <v>5548988558609</v>
      </c>
      <c r="D1780" s="5" t="s">
        <v>22</v>
      </c>
      <c r="E1780" s="5">
        <v>7.9360573E7</v>
      </c>
      <c r="F1780" s="5" t="s">
        <v>28</v>
      </c>
      <c r="G1780" s="5" t="s">
        <v>32</v>
      </c>
      <c r="H1780" s="5" t="s">
        <v>16</v>
      </c>
      <c r="I1780" s="6" t="s">
        <v>17</v>
      </c>
      <c r="J1780" s="7" t="s">
        <v>34</v>
      </c>
      <c r="K1780" s="7"/>
      <c r="L1780" s="8">
        <v>1.771609353303E12</v>
      </c>
      <c r="M1780" s="9"/>
      <c r="N1780" s="10"/>
      <c r="O1780" s="10"/>
      <c r="P1780" s="10"/>
      <c r="Q1780" s="10"/>
      <c r="R1780" s="10"/>
      <c r="S1780" s="10"/>
      <c r="T1780" s="10"/>
      <c r="U1780" s="10"/>
      <c r="V1780" s="10"/>
    </row>
    <row r="1781" ht="22.5" customHeight="1">
      <c r="A1781" s="5">
        <v>2.01833023386E11</v>
      </c>
      <c r="B1781" s="5" t="s">
        <v>893</v>
      </c>
      <c r="C1781" s="5">
        <v>5527996417375</v>
      </c>
      <c r="D1781" s="5" t="s">
        <v>22</v>
      </c>
      <c r="E1781" s="5">
        <v>7.9360573E7</v>
      </c>
      <c r="F1781" s="5" t="s">
        <v>39</v>
      </c>
      <c r="G1781" s="5" t="s">
        <v>44</v>
      </c>
      <c r="H1781" s="5" t="s">
        <v>80</v>
      </c>
      <c r="I1781" s="6" t="s">
        <v>89</v>
      </c>
      <c r="J1781" s="7" t="s">
        <v>34</v>
      </c>
      <c r="K1781" s="7"/>
      <c r="L1781" s="8">
        <v>1.771609353403E12</v>
      </c>
      <c r="M1781" s="9"/>
      <c r="N1781" s="10"/>
      <c r="O1781" s="10"/>
      <c r="P1781" s="10"/>
      <c r="Q1781" s="10"/>
      <c r="R1781" s="10"/>
      <c r="S1781" s="10"/>
      <c r="T1781" s="10"/>
      <c r="U1781" s="10"/>
      <c r="V1781" s="10"/>
    </row>
    <row r="1782" ht="22.5" customHeight="1">
      <c r="A1782" s="5">
        <v>2.01300894823E11</v>
      </c>
      <c r="B1782" s="5" t="s">
        <v>716</v>
      </c>
      <c r="C1782" s="5">
        <v>5531986725280</v>
      </c>
      <c r="D1782" s="5" t="s">
        <v>22</v>
      </c>
      <c r="E1782" s="5">
        <v>7.9360573E7</v>
      </c>
      <c r="F1782" s="5" t="s">
        <v>39</v>
      </c>
      <c r="G1782" s="5" t="s">
        <v>44</v>
      </c>
      <c r="H1782" s="5" t="s">
        <v>114</v>
      </c>
      <c r="I1782" s="6" t="s">
        <v>63</v>
      </c>
      <c r="J1782" s="7" t="s">
        <v>34</v>
      </c>
      <c r="K1782" s="7"/>
      <c r="L1782" s="8">
        <v>1.771609353005E12</v>
      </c>
      <c r="M1782" s="9"/>
      <c r="N1782" s="10"/>
      <c r="O1782" s="10"/>
      <c r="P1782" s="10"/>
      <c r="Q1782" s="10"/>
      <c r="R1782" s="10"/>
      <c r="S1782" s="10"/>
      <c r="T1782" s="10"/>
      <c r="U1782" s="10"/>
      <c r="V1782" s="10"/>
    </row>
    <row r="1783" ht="22.5" customHeight="1">
      <c r="A1783" s="5">
        <v>2.03270518419E11</v>
      </c>
      <c r="B1783" s="5" t="s">
        <v>1293</v>
      </c>
      <c r="C1783" s="5">
        <v>5532984839330</v>
      </c>
      <c r="D1783" s="5" t="s">
        <v>13</v>
      </c>
      <c r="E1783" s="5">
        <v>7.9360573E7</v>
      </c>
      <c r="F1783" s="5" t="s">
        <v>42</v>
      </c>
      <c r="G1783" s="5" t="s">
        <v>15</v>
      </c>
      <c r="H1783" s="5" t="s">
        <v>16</v>
      </c>
      <c r="I1783" s="6" t="s">
        <v>63</v>
      </c>
      <c r="J1783" s="7" t="s">
        <v>124</v>
      </c>
      <c r="K1783" s="7" t="s">
        <v>1256</v>
      </c>
      <c r="L1783" s="8">
        <v>1.771609354076E12</v>
      </c>
      <c r="M1783" s="9"/>
      <c r="N1783" s="10"/>
      <c r="O1783" s="10"/>
      <c r="P1783" s="10"/>
      <c r="Q1783" s="10"/>
      <c r="R1783" s="10"/>
      <c r="S1783" s="10"/>
      <c r="T1783" s="10"/>
      <c r="U1783" s="10"/>
      <c r="V1783" s="10"/>
    </row>
    <row r="1784" ht="22.5" customHeight="1">
      <c r="A1784" s="5">
        <v>1.92312980149E11</v>
      </c>
      <c r="B1784" s="5" t="s">
        <v>277</v>
      </c>
      <c r="C1784" s="5">
        <v>51945912581</v>
      </c>
      <c r="D1784" s="5" t="s">
        <v>13</v>
      </c>
      <c r="E1784" s="5"/>
      <c r="F1784" s="5" t="s">
        <v>65</v>
      </c>
      <c r="G1784" s="5" t="s">
        <v>15</v>
      </c>
      <c r="H1784" s="5" t="s">
        <v>100</v>
      </c>
      <c r="I1784" s="6" t="s">
        <v>17</v>
      </c>
      <c r="J1784" s="7" t="s">
        <v>34</v>
      </c>
      <c r="K1784" s="7"/>
      <c r="L1784" s="8">
        <v>1.771609354094E12</v>
      </c>
      <c r="M1784" s="9"/>
      <c r="N1784" s="10"/>
      <c r="O1784" s="10"/>
      <c r="P1784" s="10"/>
      <c r="Q1784" s="10"/>
      <c r="R1784" s="10"/>
      <c r="S1784" s="10"/>
      <c r="T1784" s="10"/>
      <c r="U1784" s="10"/>
      <c r="V1784" s="10"/>
    </row>
    <row r="1785" ht="22.5" customHeight="1">
      <c r="A1785" s="5">
        <v>2.02279422905E11</v>
      </c>
      <c r="B1785" s="5" t="s">
        <v>1025</v>
      </c>
      <c r="C1785" s="5">
        <v>5535998632886</v>
      </c>
      <c r="D1785" s="5" t="s">
        <v>13</v>
      </c>
      <c r="E1785" s="5">
        <v>7.9360573E7</v>
      </c>
      <c r="F1785" s="5" t="s">
        <v>259</v>
      </c>
      <c r="G1785" s="5" t="s">
        <v>15</v>
      </c>
      <c r="H1785" s="5" t="s">
        <v>16</v>
      </c>
      <c r="I1785" s="6" t="s">
        <v>17</v>
      </c>
      <c r="J1785" s="7" t="s">
        <v>34</v>
      </c>
      <c r="K1785" s="7"/>
      <c r="L1785" s="8">
        <v>1.771609353405E12</v>
      </c>
      <c r="M1785" s="9"/>
      <c r="N1785" s="10"/>
      <c r="O1785" s="10"/>
      <c r="P1785" s="10"/>
      <c r="Q1785" s="10"/>
      <c r="R1785" s="10"/>
      <c r="S1785" s="10"/>
      <c r="T1785" s="10"/>
      <c r="U1785" s="10"/>
      <c r="V1785" s="10"/>
    </row>
    <row r="1786" ht="22.5" customHeight="1">
      <c r="A1786" s="5">
        <v>2.00179307036E11</v>
      </c>
      <c r="B1786" s="5" t="s">
        <v>498</v>
      </c>
      <c r="C1786" s="5">
        <v>5547997675858</v>
      </c>
      <c r="D1786" s="5" t="s">
        <v>13</v>
      </c>
      <c r="E1786" s="5">
        <v>7.9360573E7</v>
      </c>
      <c r="F1786" s="5" t="s">
        <v>31</v>
      </c>
      <c r="G1786" s="5" t="s">
        <v>15</v>
      </c>
      <c r="H1786" s="5" t="s">
        <v>51</v>
      </c>
      <c r="I1786" s="6" t="s">
        <v>17</v>
      </c>
      <c r="J1786" s="7" t="s">
        <v>34</v>
      </c>
      <c r="K1786" s="7"/>
      <c r="L1786" s="8">
        <v>1.771609354289E12</v>
      </c>
      <c r="M1786" s="9"/>
      <c r="N1786" s="10"/>
      <c r="O1786" s="10"/>
      <c r="P1786" s="10"/>
      <c r="Q1786" s="10"/>
      <c r="R1786" s="10"/>
      <c r="S1786" s="10"/>
      <c r="T1786" s="10"/>
      <c r="U1786" s="10"/>
      <c r="V1786" s="10"/>
    </row>
    <row r="1787" ht="22.5" customHeight="1">
      <c r="A1787" s="5">
        <v>2.02614399617E11</v>
      </c>
      <c r="B1787" s="5" t="s">
        <v>1115</v>
      </c>
      <c r="C1787" s="5">
        <v>5527988793047</v>
      </c>
      <c r="D1787" s="5" t="s">
        <v>22</v>
      </c>
      <c r="E1787" s="5">
        <v>7.9360573E7</v>
      </c>
      <c r="F1787" s="5" t="s">
        <v>28</v>
      </c>
      <c r="G1787" s="5" t="s">
        <v>44</v>
      </c>
      <c r="H1787" s="5" t="s">
        <v>396</v>
      </c>
      <c r="I1787" s="6" t="s">
        <v>17</v>
      </c>
      <c r="J1787" s="7" t="s">
        <v>34</v>
      </c>
      <c r="K1787" s="7"/>
      <c r="L1787" s="8">
        <v>1.771609353658E12</v>
      </c>
      <c r="M1787" s="9"/>
      <c r="N1787" s="10"/>
      <c r="O1787" s="10"/>
      <c r="P1787" s="10"/>
      <c r="Q1787" s="10"/>
      <c r="R1787" s="10"/>
      <c r="S1787" s="10"/>
      <c r="T1787" s="10"/>
      <c r="U1787" s="10"/>
      <c r="V1787" s="10"/>
    </row>
    <row r="1788" ht="22.5" customHeight="1">
      <c r="A1788" s="5">
        <v>2.03868634539E11</v>
      </c>
      <c r="B1788" s="5" t="s">
        <v>1463</v>
      </c>
      <c r="C1788" s="5">
        <v>5561996122743</v>
      </c>
      <c r="D1788" s="5" t="s">
        <v>13</v>
      </c>
      <c r="E1788" s="5">
        <v>7.9360573E7</v>
      </c>
      <c r="F1788" s="5" t="s">
        <v>28</v>
      </c>
      <c r="G1788" s="5" t="s">
        <v>32</v>
      </c>
      <c r="H1788" s="5" t="s">
        <v>24</v>
      </c>
      <c r="I1788" s="6" t="s">
        <v>17</v>
      </c>
      <c r="J1788" s="7" t="s">
        <v>34</v>
      </c>
      <c r="K1788" s="7"/>
      <c r="L1788" s="8">
        <v>1.77160935465E12</v>
      </c>
      <c r="M1788" s="9"/>
      <c r="N1788" s="10"/>
      <c r="O1788" s="10"/>
      <c r="P1788" s="10"/>
      <c r="Q1788" s="10"/>
      <c r="R1788" s="10"/>
      <c r="S1788" s="10"/>
      <c r="T1788" s="10"/>
      <c r="U1788" s="10"/>
      <c r="V1788" s="10"/>
    </row>
    <row r="1789" ht="22.5" customHeight="1">
      <c r="A1789" s="5">
        <v>2.00570265233E11</v>
      </c>
      <c r="B1789" s="5" t="s">
        <v>649</v>
      </c>
      <c r="C1789" s="5">
        <v>5571993382767</v>
      </c>
      <c r="D1789" s="5" t="s">
        <v>13</v>
      </c>
      <c r="E1789" s="5">
        <v>7.9360573E7</v>
      </c>
      <c r="F1789" s="5" t="s">
        <v>28</v>
      </c>
      <c r="G1789" s="5" t="s">
        <v>32</v>
      </c>
      <c r="H1789" s="5" t="s">
        <v>24</v>
      </c>
      <c r="I1789" s="6" t="s">
        <v>17</v>
      </c>
      <c r="J1789" s="7" t="s">
        <v>18</v>
      </c>
      <c r="K1789" s="7" t="s">
        <v>45</v>
      </c>
      <c r="L1789" s="8">
        <v>1.771609353151E12</v>
      </c>
      <c r="M1789" s="9"/>
      <c r="N1789" s="10"/>
      <c r="O1789" s="10"/>
      <c r="P1789" s="10"/>
      <c r="Q1789" s="10"/>
      <c r="R1789" s="10"/>
      <c r="S1789" s="10"/>
      <c r="T1789" s="10"/>
      <c r="U1789" s="10"/>
      <c r="V1789" s="10"/>
    </row>
    <row r="1790" ht="22.5" customHeight="1">
      <c r="A1790" s="5">
        <v>2.02638830397E11</v>
      </c>
      <c r="B1790" s="5" t="s">
        <v>1138</v>
      </c>
      <c r="C1790" s="5">
        <v>5577981512944</v>
      </c>
      <c r="D1790" s="5" t="s">
        <v>103</v>
      </c>
      <c r="E1790" s="5">
        <v>7.9360573E7</v>
      </c>
      <c r="F1790" s="5" t="s">
        <v>28</v>
      </c>
      <c r="G1790" s="5" t="s">
        <v>79</v>
      </c>
      <c r="H1790" s="5" t="s">
        <v>24</v>
      </c>
      <c r="I1790" s="6" t="s">
        <v>17</v>
      </c>
      <c r="J1790" s="7" t="s">
        <v>34</v>
      </c>
      <c r="K1790" s="7"/>
      <c r="L1790" s="8">
        <v>1.771609353837E12</v>
      </c>
      <c r="M1790" s="9"/>
      <c r="N1790" s="10"/>
      <c r="O1790" s="10"/>
      <c r="P1790" s="10"/>
      <c r="Q1790" s="10"/>
      <c r="R1790" s="10"/>
      <c r="S1790" s="10"/>
      <c r="T1790" s="10"/>
      <c r="U1790" s="10"/>
      <c r="V1790" s="10"/>
    </row>
    <row r="1791" ht="22.5" customHeight="1">
      <c r="A1791" s="5">
        <v>2.00868339578E11</v>
      </c>
      <c r="B1791" s="5" t="s">
        <v>1677</v>
      </c>
      <c r="C1791" s="5">
        <v>5534998173015</v>
      </c>
      <c r="D1791" s="5"/>
      <c r="E1791" s="5">
        <v>7.9360573E7</v>
      </c>
      <c r="F1791" s="5" t="s">
        <v>1572</v>
      </c>
      <c r="G1791" s="5" t="s">
        <v>15</v>
      </c>
      <c r="H1791" s="5" t="s">
        <v>24</v>
      </c>
      <c r="I1791" s="6" t="s">
        <v>36</v>
      </c>
      <c r="J1791" s="7" t="s">
        <v>177</v>
      </c>
      <c r="K1791" s="7" t="s">
        <v>36</v>
      </c>
      <c r="L1791" s="8">
        <v>1.771609352973E12</v>
      </c>
      <c r="M1791" s="9"/>
      <c r="N1791" s="10"/>
      <c r="O1791" s="10"/>
      <c r="P1791" s="10"/>
      <c r="Q1791" s="10"/>
      <c r="R1791" s="10"/>
      <c r="S1791" s="10"/>
      <c r="T1791" s="10"/>
      <c r="U1791" s="10"/>
      <c r="V1791" s="10"/>
    </row>
    <row r="1792" ht="22.5" customHeight="1">
      <c r="A1792" s="5">
        <v>1.99791327122E11</v>
      </c>
      <c r="B1792" s="5" t="s">
        <v>400</v>
      </c>
      <c r="C1792" s="5">
        <v>5584991910151</v>
      </c>
      <c r="D1792" s="5" t="s">
        <v>13</v>
      </c>
      <c r="E1792" s="5">
        <v>7.9360573E7</v>
      </c>
      <c r="F1792" s="5" t="s">
        <v>31</v>
      </c>
      <c r="G1792" s="5" t="s">
        <v>32</v>
      </c>
      <c r="H1792" s="5" t="s">
        <v>16</v>
      </c>
      <c r="I1792" s="6" t="s">
        <v>17</v>
      </c>
      <c r="J1792" s="7" t="s">
        <v>34</v>
      </c>
      <c r="K1792" s="7"/>
      <c r="L1792" s="8">
        <v>1.771609353891E12</v>
      </c>
      <c r="M1792" s="9"/>
      <c r="N1792" s="10"/>
      <c r="O1792" s="10"/>
      <c r="P1792" s="10"/>
      <c r="Q1792" s="10"/>
      <c r="R1792" s="10"/>
      <c r="S1792" s="10"/>
      <c r="T1792" s="10"/>
      <c r="U1792" s="10"/>
      <c r="V1792" s="10"/>
    </row>
    <row r="1793" ht="22.5" customHeight="1">
      <c r="A1793" s="5">
        <v>2.0272701392E11</v>
      </c>
      <c r="B1793" s="5" t="s">
        <v>1184</v>
      </c>
      <c r="C1793" s="5">
        <v>522296926943</v>
      </c>
      <c r="D1793" s="5" t="s">
        <v>13</v>
      </c>
      <c r="E1793" s="5">
        <v>8.7547393E7</v>
      </c>
      <c r="F1793" s="5" t="s">
        <v>65</v>
      </c>
      <c r="G1793" s="5" t="s">
        <v>15</v>
      </c>
      <c r="H1793" s="5" t="s">
        <v>51</v>
      </c>
      <c r="I1793" s="6" t="s">
        <v>17</v>
      </c>
      <c r="J1793" s="7" t="s">
        <v>34</v>
      </c>
      <c r="K1793" s="7"/>
      <c r="L1793" s="8">
        <v>1.771609353664E12</v>
      </c>
      <c r="M1793" s="9"/>
      <c r="N1793" s="10"/>
      <c r="O1793" s="10"/>
      <c r="P1793" s="10"/>
      <c r="Q1793" s="10"/>
      <c r="R1793" s="10"/>
      <c r="S1793" s="10"/>
      <c r="T1793" s="10"/>
      <c r="U1793" s="10"/>
      <c r="V1793" s="10"/>
    </row>
    <row r="1794" ht="22.5" customHeight="1">
      <c r="A1794" s="5">
        <v>2.00196433072E11</v>
      </c>
      <c r="B1794" s="5" t="s">
        <v>1678</v>
      </c>
      <c r="C1794" s="5">
        <v>51992000182</v>
      </c>
      <c r="D1794" s="5" t="s">
        <v>13</v>
      </c>
      <c r="E1794" s="5">
        <v>8.7547393E7</v>
      </c>
      <c r="F1794" s="5" t="s">
        <v>39</v>
      </c>
      <c r="G1794" s="5" t="s">
        <v>32</v>
      </c>
      <c r="H1794" s="5" t="s">
        <v>16</v>
      </c>
      <c r="I1794" s="6" t="s">
        <v>17</v>
      </c>
      <c r="J1794" s="7" t="s">
        <v>25</v>
      </c>
      <c r="K1794" s="7"/>
      <c r="L1794" s="8">
        <v>1.771609353973E12</v>
      </c>
      <c r="M1794" s="9"/>
      <c r="N1794" s="10"/>
      <c r="O1794" s="10"/>
      <c r="P1794" s="10"/>
      <c r="Q1794" s="10"/>
      <c r="R1794" s="10"/>
      <c r="S1794" s="10"/>
      <c r="T1794" s="10"/>
      <c r="U1794" s="10"/>
      <c r="V1794" s="10"/>
    </row>
    <row r="1795" ht="22.5" customHeight="1">
      <c r="A1795" s="5">
        <v>2.03197361958E11</v>
      </c>
      <c r="B1795" s="5" t="s">
        <v>1263</v>
      </c>
      <c r="C1795" s="5">
        <v>5599981488718</v>
      </c>
      <c r="D1795" s="5" t="s">
        <v>13</v>
      </c>
      <c r="E1795" s="5">
        <v>7.9360573E7</v>
      </c>
      <c r="F1795" s="5" t="s">
        <v>65</v>
      </c>
      <c r="G1795" s="5" t="s">
        <v>15</v>
      </c>
      <c r="H1795" s="5" t="s">
        <v>100</v>
      </c>
      <c r="I1795" s="6" t="s">
        <v>17</v>
      </c>
      <c r="J1795" s="7" t="s">
        <v>34</v>
      </c>
      <c r="K1795" s="7"/>
      <c r="L1795" s="8">
        <v>1.771609353798E12</v>
      </c>
      <c r="M1795" s="9"/>
      <c r="N1795" s="10"/>
      <c r="O1795" s="10"/>
      <c r="P1795" s="10"/>
      <c r="Q1795" s="10"/>
      <c r="R1795" s="10"/>
      <c r="S1795" s="10"/>
      <c r="T1795" s="10"/>
      <c r="U1795" s="10"/>
      <c r="V1795" s="10"/>
    </row>
    <row r="1796" ht="22.5" customHeight="1">
      <c r="A1796" s="5">
        <v>1.98980064265E11</v>
      </c>
      <c r="B1796" s="5" t="s">
        <v>217</v>
      </c>
      <c r="C1796" s="5">
        <v>5511973140730</v>
      </c>
      <c r="D1796" s="5" t="s">
        <v>22</v>
      </c>
      <c r="E1796" s="5">
        <v>7.9360573E7</v>
      </c>
      <c r="F1796" s="5" t="s">
        <v>28</v>
      </c>
      <c r="G1796" s="5" t="s">
        <v>44</v>
      </c>
      <c r="H1796" s="5" t="s">
        <v>16</v>
      </c>
      <c r="I1796" s="6" t="s">
        <v>17</v>
      </c>
      <c r="J1796" s="7" t="s">
        <v>34</v>
      </c>
      <c r="K1796" s="7"/>
      <c r="L1796" s="8">
        <v>1.77160935376E12</v>
      </c>
      <c r="M1796" s="9"/>
      <c r="N1796" s="10"/>
      <c r="O1796" s="10"/>
      <c r="P1796" s="10"/>
      <c r="Q1796" s="10"/>
      <c r="R1796" s="10"/>
      <c r="S1796" s="10"/>
      <c r="T1796" s="10"/>
      <c r="U1796" s="10"/>
      <c r="V1796" s="10"/>
    </row>
    <row r="1797" ht="22.5" customHeight="1">
      <c r="A1797" s="5">
        <v>1.99483157323E11</v>
      </c>
      <c r="B1797" s="5" t="s">
        <v>329</v>
      </c>
      <c r="C1797" s="5">
        <v>5545991021613</v>
      </c>
      <c r="D1797" s="5" t="s">
        <v>13</v>
      </c>
      <c r="E1797" s="5">
        <v>7.9360573E7</v>
      </c>
      <c r="F1797" s="5" t="s">
        <v>31</v>
      </c>
      <c r="G1797" s="5" t="s">
        <v>44</v>
      </c>
      <c r="H1797" s="5" t="s">
        <v>16</v>
      </c>
      <c r="I1797" s="6" t="s">
        <v>49</v>
      </c>
      <c r="J1797" s="7" t="s">
        <v>34</v>
      </c>
      <c r="K1797" s="7"/>
      <c r="L1797" s="8">
        <v>1.771609353725E12</v>
      </c>
      <c r="M1797" s="9"/>
      <c r="N1797" s="10"/>
      <c r="O1797" s="10"/>
      <c r="P1797" s="10"/>
      <c r="Q1797" s="10"/>
      <c r="R1797" s="10"/>
      <c r="S1797" s="10"/>
      <c r="T1797" s="10"/>
      <c r="U1797" s="10"/>
      <c r="V1797" s="10"/>
    </row>
    <row r="1798" ht="22.5" customHeight="1">
      <c r="A1798" s="5">
        <v>2.03464871246E11</v>
      </c>
      <c r="B1798" s="5" t="s">
        <v>1354</v>
      </c>
      <c r="C1798" s="5">
        <v>5527988499505</v>
      </c>
      <c r="D1798" s="5" t="s">
        <v>13</v>
      </c>
      <c r="E1798" s="5">
        <v>7.9360573E7</v>
      </c>
      <c r="F1798" s="5" t="s">
        <v>28</v>
      </c>
      <c r="G1798" s="5" t="s">
        <v>15</v>
      </c>
      <c r="H1798" s="5" t="s">
        <v>114</v>
      </c>
      <c r="I1798" s="6" t="s">
        <v>17</v>
      </c>
      <c r="J1798" s="7" t="s">
        <v>34</v>
      </c>
      <c r="K1798" s="7"/>
      <c r="L1798" s="8">
        <v>1.771609354189E12</v>
      </c>
      <c r="M1798" s="9"/>
      <c r="N1798" s="10"/>
      <c r="O1798" s="10"/>
      <c r="P1798" s="10"/>
      <c r="Q1798" s="10"/>
      <c r="R1798" s="10"/>
      <c r="S1798" s="10"/>
      <c r="T1798" s="10"/>
      <c r="U1798" s="10"/>
      <c r="V1798" s="10"/>
    </row>
    <row r="1799" ht="22.5" customHeight="1">
      <c r="A1799" s="5">
        <v>2.00432267394E11</v>
      </c>
      <c r="B1799" s="5" t="s">
        <v>612</v>
      </c>
      <c r="C1799" s="5">
        <v>5545991241459</v>
      </c>
      <c r="D1799" s="5" t="s">
        <v>103</v>
      </c>
      <c r="E1799" s="5">
        <v>7.9360573E7</v>
      </c>
      <c r="F1799" s="5" t="s">
        <v>28</v>
      </c>
      <c r="G1799" s="5" t="s">
        <v>104</v>
      </c>
      <c r="H1799" s="5" t="s">
        <v>128</v>
      </c>
      <c r="I1799" s="6" t="s">
        <v>148</v>
      </c>
      <c r="J1799" s="7" t="s">
        <v>34</v>
      </c>
      <c r="K1799" s="7"/>
      <c r="L1799" s="8">
        <v>1.771609354996E12</v>
      </c>
      <c r="M1799" s="9"/>
      <c r="N1799" s="10"/>
      <c r="O1799" s="10"/>
      <c r="P1799" s="10"/>
      <c r="Q1799" s="10"/>
      <c r="R1799" s="10"/>
      <c r="S1799" s="10"/>
      <c r="T1799" s="10"/>
      <c r="U1799" s="10"/>
      <c r="V1799" s="10"/>
    </row>
    <row r="1800" ht="22.5" customHeight="1">
      <c r="A1800" s="5">
        <v>2.03120766503E11</v>
      </c>
      <c r="B1800" s="5" t="s">
        <v>1273</v>
      </c>
      <c r="C1800" s="5">
        <v>5544984064459</v>
      </c>
      <c r="D1800" s="5" t="s">
        <v>22</v>
      </c>
      <c r="E1800" s="5">
        <v>7.9360573E7</v>
      </c>
      <c r="F1800" s="5" t="s">
        <v>42</v>
      </c>
      <c r="G1800" s="5" t="s">
        <v>32</v>
      </c>
      <c r="H1800" s="5" t="s">
        <v>1005</v>
      </c>
      <c r="I1800" s="6" t="s">
        <v>17</v>
      </c>
      <c r="J1800" s="7" t="s">
        <v>124</v>
      </c>
      <c r="K1800" s="7" t="s">
        <v>1256</v>
      </c>
      <c r="L1800" s="8">
        <v>1.771609353541E12</v>
      </c>
      <c r="M1800" s="9"/>
      <c r="N1800" s="10"/>
      <c r="O1800" s="10"/>
      <c r="P1800" s="10"/>
      <c r="Q1800" s="10"/>
      <c r="R1800" s="10"/>
      <c r="S1800" s="10"/>
      <c r="T1800" s="10"/>
      <c r="U1800" s="10"/>
      <c r="V1800" s="10"/>
    </row>
    <row r="1801" ht="22.5" customHeight="1">
      <c r="A1801" s="5">
        <v>1.98888333676E11</v>
      </c>
      <c r="B1801" s="5" t="s">
        <v>194</v>
      </c>
      <c r="C1801" s="5">
        <v>5582987222496</v>
      </c>
      <c r="D1801" s="5" t="s">
        <v>22</v>
      </c>
      <c r="E1801" s="5">
        <v>8.0566583E7</v>
      </c>
      <c r="F1801" s="5" t="s">
        <v>93</v>
      </c>
      <c r="G1801" s="5" t="s">
        <v>32</v>
      </c>
      <c r="H1801" s="5" t="s">
        <v>29</v>
      </c>
      <c r="I1801" s="6" t="s">
        <v>17</v>
      </c>
      <c r="J1801" s="7" t="s">
        <v>34</v>
      </c>
      <c r="K1801" s="7"/>
      <c r="L1801" s="8">
        <v>1.771609352898E12</v>
      </c>
      <c r="M1801" s="9"/>
      <c r="N1801" s="10"/>
      <c r="O1801" s="10"/>
      <c r="P1801" s="10"/>
      <c r="Q1801" s="10"/>
      <c r="R1801" s="10"/>
      <c r="S1801" s="10"/>
      <c r="T1801" s="10"/>
      <c r="U1801" s="10"/>
      <c r="V1801" s="10"/>
    </row>
    <row r="1802" ht="22.5" customHeight="1">
      <c r="A1802" s="5">
        <v>2.01884982957E11</v>
      </c>
      <c r="B1802" s="5" t="s">
        <v>908</v>
      </c>
      <c r="C1802" s="5">
        <v>5534999747117</v>
      </c>
      <c r="D1802" s="5" t="s">
        <v>13</v>
      </c>
      <c r="E1802" s="5">
        <v>7.9360573E7</v>
      </c>
      <c r="F1802" s="5" t="s">
        <v>65</v>
      </c>
      <c r="G1802" s="5" t="s">
        <v>15</v>
      </c>
      <c r="H1802" s="5" t="s">
        <v>16</v>
      </c>
      <c r="I1802" s="6" t="s">
        <v>17</v>
      </c>
      <c r="J1802" s="7" t="s">
        <v>34</v>
      </c>
      <c r="K1802" s="7"/>
      <c r="L1802" s="8">
        <v>1.771609354268E12</v>
      </c>
      <c r="M1802" s="9"/>
      <c r="N1802" s="10"/>
      <c r="O1802" s="10"/>
      <c r="P1802" s="10"/>
      <c r="Q1802" s="10"/>
      <c r="R1802" s="10"/>
      <c r="S1802" s="10"/>
      <c r="T1802" s="10"/>
      <c r="U1802" s="10"/>
      <c r="V1802" s="10"/>
    </row>
    <row r="1803" ht="22.5" customHeight="1">
      <c r="A1803" s="5">
        <v>1.99087257139E11</v>
      </c>
      <c r="B1803" s="5" t="s">
        <v>1679</v>
      </c>
      <c r="C1803" s="5">
        <v>5592991359860</v>
      </c>
      <c r="D1803" s="5" t="s">
        <v>13</v>
      </c>
      <c r="E1803" s="5">
        <v>7.9360573E7</v>
      </c>
      <c r="F1803" s="5" t="s">
        <v>1568</v>
      </c>
      <c r="G1803" s="5" t="s">
        <v>15</v>
      </c>
      <c r="H1803" s="5" t="s">
        <v>16</v>
      </c>
      <c r="I1803" s="6" t="s">
        <v>17</v>
      </c>
      <c r="J1803" s="7" t="s">
        <v>34</v>
      </c>
      <c r="K1803" s="7"/>
      <c r="L1803" s="8">
        <v>1.771609353375E12</v>
      </c>
      <c r="M1803" s="9"/>
      <c r="N1803" s="10"/>
      <c r="O1803" s="10"/>
      <c r="P1803" s="10"/>
      <c r="Q1803" s="10"/>
      <c r="R1803" s="10"/>
      <c r="S1803" s="10"/>
      <c r="T1803" s="10"/>
      <c r="U1803" s="10"/>
      <c r="V1803" s="10"/>
    </row>
    <row r="1804" ht="22.5" customHeight="1">
      <c r="A1804" s="5">
        <v>2.04093019032E11</v>
      </c>
      <c r="B1804" s="5" t="s">
        <v>1647</v>
      </c>
      <c r="C1804" s="5">
        <v>5577981374488</v>
      </c>
      <c r="D1804" s="5" t="s">
        <v>103</v>
      </c>
      <c r="E1804" s="5">
        <v>7.9360573E7</v>
      </c>
      <c r="F1804" s="5" t="s">
        <v>93</v>
      </c>
      <c r="G1804" s="5" t="s">
        <v>79</v>
      </c>
      <c r="H1804" s="5" t="s">
        <v>24</v>
      </c>
      <c r="I1804" s="6" t="s">
        <v>148</v>
      </c>
      <c r="J1804" s="7" t="s">
        <v>58</v>
      </c>
      <c r="K1804" s="11" t="s">
        <v>59</v>
      </c>
      <c r="L1804" s="8">
        <v>1.771609354674E12</v>
      </c>
      <c r="M1804" s="9"/>
      <c r="N1804" s="10"/>
      <c r="O1804" s="10"/>
      <c r="P1804" s="10"/>
      <c r="Q1804" s="10"/>
      <c r="R1804" s="10"/>
      <c r="S1804" s="10"/>
      <c r="T1804" s="10"/>
      <c r="U1804" s="10"/>
      <c r="V1804" s="10"/>
    </row>
    <row r="1805" ht="22.5" customHeight="1">
      <c r="A1805" s="5">
        <v>1.9978525764E11</v>
      </c>
      <c r="B1805" s="5" t="s">
        <v>395</v>
      </c>
      <c r="C1805" s="5">
        <v>5551983119390</v>
      </c>
      <c r="D1805" s="5" t="s">
        <v>22</v>
      </c>
      <c r="E1805" s="5">
        <v>7.9360573E7</v>
      </c>
      <c r="F1805" s="5" t="s">
        <v>28</v>
      </c>
      <c r="G1805" s="5" t="s">
        <v>44</v>
      </c>
      <c r="H1805" s="5" t="s">
        <v>396</v>
      </c>
      <c r="I1805" s="6" t="s">
        <v>49</v>
      </c>
      <c r="J1805" s="7" t="s">
        <v>34</v>
      </c>
      <c r="K1805" s="7"/>
      <c r="L1805" s="8">
        <v>1.77160935458E12</v>
      </c>
      <c r="M1805" s="9"/>
      <c r="N1805" s="10"/>
      <c r="O1805" s="10"/>
      <c r="P1805" s="10"/>
      <c r="Q1805" s="10"/>
      <c r="R1805" s="10"/>
      <c r="S1805" s="10"/>
      <c r="T1805" s="10"/>
      <c r="U1805" s="10"/>
      <c r="V1805" s="10"/>
    </row>
    <row r="1806" ht="22.5" customHeight="1">
      <c r="A1806" s="5">
        <v>2.0387432872E11</v>
      </c>
      <c r="B1806" s="5" t="s">
        <v>1470</v>
      </c>
      <c r="C1806" s="5">
        <v>5548991917560</v>
      </c>
      <c r="D1806" s="5" t="s">
        <v>22</v>
      </c>
      <c r="E1806" s="5">
        <v>7.9360573E7</v>
      </c>
      <c r="F1806" s="5" t="s">
        <v>28</v>
      </c>
      <c r="G1806" s="5" t="s">
        <v>44</v>
      </c>
      <c r="H1806" s="5" t="s">
        <v>24</v>
      </c>
      <c r="I1806" s="6" t="s">
        <v>17</v>
      </c>
      <c r="J1806" s="7" t="s">
        <v>34</v>
      </c>
      <c r="K1806" s="7"/>
      <c r="L1806" s="8">
        <v>1.771609355159E12</v>
      </c>
      <c r="M1806" s="9"/>
      <c r="N1806" s="10"/>
      <c r="O1806" s="10"/>
      <c r="P1806" s="10"/>
      <c r="Q1806" s="10"/>
      <c r="R1806" s="10"/>
      <c r="S1806" s="10"/>
      <c r="T1806" s="10"/>
      <c r="U1806" s="10"/>
      <c r="V1806" s="10"/>
    </row>
    <row r="1807" ht="22.5" customHeight="1">
      <c r="A1807" s="5">
        <v>2.01463294881E11</v>
      </c>
      <c r="B1807" s="5" t="s">
        <v>761</v>
      </c>
      <c r="C1807" s="5">
        <v>5581996769615</v>
      </c>
      <c r="D1807" s="5" t="s">
        <v>13</v>
      </c>
      <c r="E1807" s="5">
        <v>7.9360573E7</v>
      </c>
      <c r="F1807" s="5" t="s">
        <v>28</v>
      </c>
      <c r="G1807" s="5" t="s">
        <v>32</v>
      </c>
      <c r="H1807" s="5" t="s">
        <v>16</v>
      </c>
      <c r="I1807" s="6" t="s">
        <v>17</v>
      </c>
      <c r="J1807" s="7" t="s">
        <v>34</v>
      </c>
      <c r="K1807" s="7"/>
      <c r="L1807" s="8">
        <v>1.77160935463E12</v>
      </c>
      <c r="M1807" s="9"/>
      <c r="N1807" s="10"/>
      <c r="O1807" s="10"/>
      <c r="P1807" s="10"/>
      <c r="Q1807" s="10"/>
      <c r="R1807" s="10"/>
      <c r="S1807" s="10"/>
      <c r="T1807" s="10"/>
      <c r="U1807" s="10"/>
      <c r="V1807" s="10"/>
    </row>
    <row r="1808" ht="22.5" customHeight="1">
      <c r="A1808" s="5">
        <v>2.0356984255E11</v>
      </c>
      <c r="B1808" s="5" t="s">
        <v>1379</v>
      </c>
      <c r="C1808" s="5">
        <v>5599984987667</v>
      </c>
      <c r="D1808" s="5" t="s">
        <v>38</v>
      </c>
      <c r="E1808" s="5">
        <v>7.9360573E7</v>
      </c>
      <c r="F1808" s="5"/>
      <c r="G1808" s="5"/>
      <c r="H1808" s="5"/>
      <c r="I1808" s="6"/>
      <c r="J1808" s="7" t="s">
        <v>34</v>
      </c>
      <c r="K1808" s="7"/>
      <c r="L1808" s="8">
        <v>1.771609354655E12</v>
      </c>
      <c r="M1808" s="9"/>
      <c r="N1808" s="10"/>
      <c r="O1808" s="10"/>
      <c r="P1808" s="10"/>
      <c r="Q1808" s="10"/>
      <c r="R1808" s="10"/>
      <c r="S1808" s="10"/>
      <c r="T1808" s="10"/>
      <c r="U1808" s="10"/>
      <c r="V1808" s="10"/>
    </row>
    <row r="1809" ht="22.5" customHeight="1">
      <c r="A1809" s="5">
        <v>1.99325846965E11</v>
      </c>
      <c r="B1809" s="5" t="s">
        <v>297</v>
      </c>
      <c r="C1809" s="5">
        <v>5516981819083</v>
      </c>
      <c r="D1809" s="5" t="s">
        <v>13</v>
      </c>
      <c r="E1809" s="5">
        <v>7.9360573E7</v>
      </c>
      <c r="F1809" s="5" t="s">
        <v>93</v>
      </c>
      <c r="G1809" s="5" t="s">
        <v>15</v>
      </c>
      <c r="H1809" s="5" t="s">
        <v>51</v>
      </c>
      <c r="I1809" s="6" t="s">
        <v>17</v>
      </c>
      <c r="J1809" s="7" t="s">
        <v>34</v>
      </c>
      <c r="K1809" s="7"/>
      <c r="L1809" s="8">
        <v>1.7716093534E12</v>
      </c>
      <c r="M1809" s="9"/>
      <c r="N1809" s="10"/>
      <c r="O1809" s="10"/>
      <c r="P1809" s="10"/>
      <c r="Q1809" s="10"/>
      <c r="R1809" s="10"/>
      <c r="S1809" s="10"/>
      <c r="T1809" s="10"/>
      <c r="U1809" s="10"/>
      <c r="V1809" s="10"/>
    </row>
    <row r="1810" ht="22.5" customHeight="1">
      <c r="A1810" s="5">
        <v>1.84537193382E11</v>
      </c>
      <c r="B1810" s="5" t="s">
        <v>446</v>
      </c>
      <c r="C1810" s="5">
        <v>5527999416545</v>
      </c>
      <c r="D1810" s="5" t="s">
        <v>22</v>
      </c>
      <c r="E1810" s="5">
        <v>7.9360573E7</v>
      </c>
      <c r="F1810" s="5" t="s">
        <v>28</v>
      </c>
      <c r="G1810" s="5">
        <v>50</v>
      </c>
      <c r="H1810" s="5" t="s">
        <v>55</v>
      </c>
      <c r="I1810" s="6" t="s">
        <v>17</v>
      </c>
      <c r="J1810" s="7" t="s">
        <v>34</v>
      </c>
      <c r="K1810" s="7"/>
      <c r="L1810" s="8">
        <v>1.771609353455E12</v>
      </c>
      <c r="M1810" s="9"/>
      <c r="N1810" s="10"/>
      <c r="O1810" s="10"/>
      <c r="P1810" s="10"/>
      <c r="Q1810" s="10"/>
      <c r="R1810" s="10"/>
      <c r="S1810" s="10"/>
      <c r="T1810" s="10"/>
      <c r="U1810" s="10"/>
      <c r="V1810" s="10"/>
    </row>
    <row r="1811" ht="22.5" customHeight="1">
      <c r="A1811" s="5">
        <v>2.00750296396E11</v>
      </c>
      <c r="B1811" s="5" t="s">
        <v>670</v>
      </c>
      <c r="C1811" s="5">
        <v>5511978980553</v>
      </c>
      <c r="D1811" s="5" t="s">
        <v>22</v>
      </c>
      <c r="E1811" s="5">
        <v>7.9360573E7</v>
      </c>
      <c r="F1811" s="5" t="s">
        <v>28</v>
      </c>
      <c r="G1811" s="5">
        <v>50</v>
      </c>
      <c r="H1811" s="5" t="s">
        <v>66</v>
      </c>
      <c r="I1811" s="6"/>
      <c r="J1811" s="7" t="s">
        <v>34</v>
      </c>
      <c r="K1811" s="7"/>
      <c r="L1811" s="8">
        <v>1.771609353514E12</v>
      </c>
      <c r="M1811" s="9"/>
      <c r="N1811" s="10"/>
      <c r="O1811" s="10"/>
      <c r="P1811" s="10"/>
      <c r="Q1811" s="10"/>
      <c r="R1811" s="10"/>
      <c r="S1811" s="10"/>
      <c r="T1811" s="10"/>
      <c r="U1811" s="10"/>
      <c r="V1811" s="10"/>
    </row>
    <row r="1812" ht="22.5" customHeight="1">
      <c r="A1812" s="5">
        <v>1.98529483372E11</v>
      </c>
      <c r="B1812" s="5" t="s">
        <v>136</v>
      </c>
      <c r="C1812" s="5">
        <v>51902616030</v>
      </c>
      <c r="D1812" s="5" t="s">
        <v>13</v>
      </c>
      <c r="E1812" s="5"/>
      <c r="F1812" s="5" t="s">
        <v>31</v>
      </c>
      <c r="G1812" s="5" t="s">
        <v>15</v>
      </c>
      <c r="H1812" s="5" t="s">
        <v>66</v>
      </c>
      <c r="I1812" s="6" t="s">
        <v>17</v>
      </c>
      <c r="J1812" s="7" t="s">
        <v>18</v>
      </c>
      <c r="K1812" s="7" t="s">
        <v>116</v>
      </c>
      <c r="L1812" s="8">
        <v>1.771609354632E12</v>
      </c>
      <c r="M1812" s="9"/>
      <c r="N1812" s="10"/>
      <c r="O1812" s="10"/>
      <c r="P1812" s="10"/>
      <c r="Q1812" s="10"/>
      <c r="R1812" s="10"/>
      <c r="S1812" s="10"/>
      <c r="T1812" s="10"/>
      <c r="U1812" s="10"/>
      <c r="V1812" s="10"/>
    </row>
    <row r="1813" ht="22.5" customHeight="1">
      <c r="A1813" s="5">
        <v>2.03015930007E11</v>
      </c>
      <c r="B1813" s="5" t="s">
        <v>1243</v>
      </c>
      <c r="C1813" s="5">
        <v>5547999889730</v>
      </c>
      <c r="D1813" s="5" t="s">
        <v>13</v>
      </c>
      <c r="E1813" s="5">
        <v>7.9360573E7</v>
      </c>
      <c r="F1813" s="5" t="s">
        <v>259</v>
      </c>
      <c r="G1813" s="5" t="s">
        <v>15</v>
      </c>
      <c r="H1813" s="5" t="s">
        <v>24</v>
      </c>
      <c r="I1813" s="6" t="s">
        <v>17</v>
      </c>
      <c r="J1813" s="7" t="s">
        <v>34</v>
      </c>
      <c r="K1813" s="7"/>
      <c r="L1813" s="8">
        <v>1.77160935322E12</v>
      </c>
      <c r="M1813" s="9"/>
      <c r="N1813" s="10"/>
      <c r="O1813" s="10"/>
      <c r="P1813" s="10"/>
      <c r="Q1813" s="10"/>
      <c r="R1813" s="10"/>
      <c r="S1813" s="10"/>
      <c r="T1813" s="10"/>
      <c r="U1813" s="10"/>
      <c r="V1813" s="10"/>
    </row>
    <row r="1814" ht="22.5" customHeight="1">
      <c r="A1814" s="5">
        <v>2.01575659627E11</v>
      </c>
      <c r="B1814" s="5" t="s">
        <v>800</v>
      </c>
      <c r="C1814" s="5">
        <v>5514997793079</v>
      </c>
      <c r="D1814" s="5" t="s">
        <v>13</v>
      </c>
      <c r="E1814" s="5">
        <v>7.9360573E7</v>
      </c>
      <c r="F1814" s="5" t="s">
        <v>65</v>
      </c>
      <c r="G1814" s="5"/>
      <c r="H1814" s="5" t="s">
        <v>24</v>
      </c>
      <c r="I1814" s="6" t="s">
        <v>17</v>
      </c>
      <c r="J1814" s="7" t="s">
        <v>34</v>
      </c>
      <c r="K1814" s="7"/>
      <c r="L1814" s="8">
        <v>1.771609354483E12</v>
      </c>
      <c r="M1814" s="9"/>
      <c r="N1814" s="10"/>
      <c r="O1814" s="10"/>
      <c r="P1814" s="10"/>
      <c r="Q1814" s="10"/>
      <c r="R1814" s="10"/>
      <c r="S1814" s="10"/>
      <c r="T1814" s="10"/>
      <c r="U1814" s="10"/>
      <c r="V1814" s="10"/>
    </row>
    <row r="1815" ht="22.5" customHeight="1">
      <c r="A1815" s="5">
        <v>2.0267525394E11</v>
      </c>
      <c r="B1815" s="5" t="s">
        <v>1154</v>
      </c>
      <c r="C1815" s="5">
        <v>5598987314146</v>
      </c>
      <c r="D1815" s="5" t="s">
        <v>22</v>
      </c>
      <c r="E1815" s="5">
        <v>7.9360573E7</v>
      </c>
      <c r="F1815" s="5" t="s">
        <v>28</v>
      </c>
      <c r="G1815" s="5" t="s">
        <v>44</v>
      </c>
      <c r="H1815" s="5" t="s">
        <v>112</v>
      </c>
      <c r="I1815" s="6" t="s">
        <v>17</v>
      </c>
      <c r="J1815" s="7" t="s">
        <v>34</v>
      </c>
      <c r="K1815" s="7"/>
      <c r="L1815" s="8">
        <v>1.77160935564E12</v>
      </c>
      <c r="M1815" s="9"/>
      <c r="N1815" s="10"/>
      <c r="O1815" s="10"/>
      <c r="P1815" s="10"/>
      <c r="Q1815" s="10"/>
      <c r="R1815" s="10"/>
      <c r="S1815" s="10"/>
      <c r="T1815" s="10"/>
      <c r="U1815" s="10"/>
      <c r="V1815" s="10"/>
    </row>
    <row r="1816" ht="22.5" customHeight="1">
      <c r="A1816" s="5">
        <v>1.99875659381E11</v>
      </c>
      <c r="B1816" s="5" t="s">
        <v>423</v>
      </c>
      <c r="C1816" s="5">
        <v>5524993209745</v>
      </c>
      <c r="D1816" s="5" t="s">
        <v>22</v>
      </c>
      <c r="E1816" s="5">
        <v>7.9360573E7</v>
      </c>
      <c r="F1816" s="5" t="s">
        <v>28</v>
      </c>
      <c r="G1816" s="5" t="s">
        <v>44</v>
      </c>
      <c r="H1816" s="5" t="s">
        <v>24</v>
      </c>
      <c r="I1816" s="6" t="s">
        <v>17</v>
      </c>
      <c r="J1816" s="7" t="s">
        <v>34</v>
      </c>
      <c r="K1816" s="7"/>
      <c r="L1816" s="8">
        <v>1.77160935435E12</v>
      </c>
      <c r="M1816" s="9"/>
      <c r="N1816" s="10"/>
      <c r="O1816" s="10"/>
      <c r="P1816" s="10"/>
      <c r="Q1816" s="10"/>
      <c r="R1816" s="10"/>
      <c r="S1816" s="10"/>
      <c r="T1816" s="10"/>
      <c r="U1816" s="10"/>
      <c r="V1816" s="10"/>
    </row>
    <row r="1817" ht="22.5" customHeight="1">
      <c r="A1817" s="5">
        <v>2.02731258205E11</v>
      </c>
      <c r="B1817" s="5" t="s">
        <v>1180</v>
      </c>
      <c r="C1817" s="5">
        <v>5521980879767</v>
      </c>
      <c r="D1817" s="5" t="s">
        <v>13</v>
      </c>
      <c r="E1817" s="5">
        <v>7.9360573E7</v>
      </c>
      <c r="F1817" s="5" t="s">
        <v>510</v>
      </c>
      <c r="G1817" s="5" t="s">
        <v>32</v>
      </c>
      <c r="H1817" s="5" t="s">
        <v>16</v>
      </c>
      <c r="I1817" s="6" t="s">
        <v>17</v>
      </c>
      <c r="J1817" s="7" t="s">
        <v>34</v>
      </c>
      <c r="K1817" s="7"/>
      <c r="L1817" s="8">
        <v>1.771609354149E12</v>
      </c>
      <c r="M1817" s="9"/>
      <c r="N1817" s="10"/>
      <c r="O1817" s="10"/>
      <c r="P1817" s="10"/>
      <c r="Q1817" s="10"/>
      <c r="R1817" s="10"/>
      <c r="S1817" s="10"/>
      <c r="T1817" s="10"/>
      <c r="U1817" s="10"/>
      <c r="V1817" s="10"/>
    </row>
    <row r="1818" ht="22.5" customHeight="1">
      <c r="A1818" s="5">
        <v>2.03321430029E11</v>
      </c>
      <c r="B1818" s="5" t="s">
        <v>1315</v>
      </c>
      <c r="C1818" s="5">
        <v>5511962421386</v>
      </c>
      <c r="D1818" s="5" t="s">
        <v>22</v>
      </c>
      <c r="E1818" s="5">
        <v>7.9360573E7</v>
      </c>
      <c r="F1818" s="5" t="s">
        <v>28</v>
      </c>
      <c r="G1818" s="5" t="s">
        <v>44</v>
      </c>
      <c r="H1818" s="5" t="s">
        <v>24</v>
      </c>
      <c r="I1818" s="6" t="s">
        <v>17</v>
      </c>
      <c r="J1818" s="7" t="s">
        <v>34</v>
      </c>
      <c r="K1818" s="7"/>
      <c r="L1818" s="8">
        <v>1.771609355874E12</v>
      </c>
      <c r="M1818" s="9"/>
      <c r="N1818" s="10"/>
      <c r="O1818" s="10"/>
      <c r="P1818" s="10"/>
      <c r="Q1818" s="10"/>
      <c r="R1818" s="10"/>
      <c r="S1818" s="10"/>
      <c r="T1818" s="10"/>
      <c r="U1818" s="10"/>
      <c r="V1818" s="10"/>
    </row>
    <row r="1819" ht="22.5" customHeight="1">
      <c r="A1819" s="5">
        <v>2.01318029981E11</v>
      </c>
      <c r="B1819" s="5" t="s">
        <v>717</v>
      </c>
      <c r="C1819" s="5">
        <v>5527998726927</v>
      </c>
      <c r="D1819" s="5" t="s">
        <v>22</v>
      </c>
      <c r="E1819" s="5">
        <v>7.9360573E7</v>
      </c>
      <c r="F1819" s="5" t="s">
        <v>93</v>
      </c>
      <c r="G1819" s="5" t="s">
        <v>44</v>
      </c>
      <c r="H1819" s="5" t="s">
        <v>24</v>
      </c>
      <c r="I1819" s="6" t="s">
        <v>148</v>
      </c>
      <c r="J1819" s="7" t="s">
        <v>34</v>
      </c>
      <c r="K1819" s="7"/>
      <c r="L1819" s="8">
        <v>1.771609354673E12</v>
      </c>
      <c r="M1819" s="9"/>
      <c r="N1819" s="10"/>
      <c r="O1819" s="10"/>
      <c r="P1819" s="10"/>
      <c r="Q1819" s="10"/>
      <c r="R1819" s="10"/>
      <c r="S1819" s="10"/>
      <c r="T1819" s="10"/>
      <c r="U1819" s="10"/>
      <c r="V1819" s="10"/>
    </row>
    <row r="1820" ht="22.5" customHeight="1">
      <c r="A1820" s="5">
        <v>2.0387301641E11</v>
      </c>
      <c r="B1820" s="5" t="s">
        <v>1469</v>
      </c>
      <c r="C1820" s="5">
        <v>5511919237383</v>
      </c>
      <c r="D1820" s="5" t="s">
        <v>13</v>
      </c>
      <c r="E1820" s="5">
        <v>7.9360573E7</v>
      </c>
      <c r="F1820" s="5" t="s">
        <v>510</v>
      </c>
      <c r="G1820" s="5" t="s">
        <v>15</v>
      </c>
      <c r="H1820" s="5" t="s">
        <v>16</v>
      </c>
      <c r="I1820" s="6" t="s">
        <v>17</v>
      </c>
      <c r="J1820" s="7" t="s">
        <v>34</v>
      </c>
      <c r="K1820" s="7"/>
      <c r="L1820" s="8">
        <v>1.771609353932E12</v>
      </c>
      <c r="M1820" s="9"/>
      <c r="N1820" s="10"/>
      <c r="O1820" s="10"/>
      <c r="P1820" s="10"/>
      <c r="Q1820" s="10"/>
      <c r="R1820" s="10"/>
      <c r="S1820" s="10"/>
      <c r="T1820" s="10"/>
      <c r="U1820" s="10"/>
      <c r="V1820" s="10"/>
    </row>
    <row r="1821" ht="22.5" customHeight="1">
      <c r="A1821" s="5">
        <v>2.00593745038E11</v>
      </c>
      <c r="B1821" s="5" t="s">
        <v>658</v>
      </c>
      <c r="C1821" s="5">
        <v>5521969166613</v>
      </c>
      <c r="D1821" s="5" t="s">
        <v>13</v>
      </c>
      <c r="E1821" s="5">
        <v>7.9360573E7</v>
      </c>
      <c r="F1821" s="5" t="s">
        <v>28</v>
      </c>
      <c r="G1821" s="5" t="s">
        <v>32</v>
      </c>
      <c r="H1821" s="5" t="s">
        <v>24</v>
      </c>
      <c r="I1821" s="6" t="s">
        <v>17</v>
      </c>
      <c r="J1821" s="7" t="s">
        <v>34</v>
      </c>
      <c r="K1821" s="7"/>
      <c r="L1821" s="8">
        <v>1.771609355372E12</v>
      </c>
      <c r="M1821" s="9"/>
      <c r="N1821" s="10"/>
      <c r="O1821" s="10"/>
      <c r="P1821" s="10"/>
      <c r="Q1821" s="10"/>
      <c r="R1821" s="10"/>
      <c r="S1821" s="10"/>
      <c r="T1821" s="10"/>
      <c r="U1821" s="10"/>
      <c r="V1821" s="10"/>
    </row>
    <row r="1822" ht="22.5" customHeight="1">
      <c r="A1822" s="5">
        <v>1.99012323095E11</v>
      </c>
      <c r="B1822" s="5" t="s">
        <v>221</v>
      </c>
      <c r="C1822" s="5">
        <v>5551991953678</v>
      </c>
      <c r="D1822" s="5" t="s">
        <v>13</v>
      </c>
      <c r="E1822" s="5">
        <v>7.9360573E7</v>
      </c>
      <c r="F1822" s="5" t="s">
        <v>28</v>
      </c>
      <c r="G1822" s="5" t="s">
        <v>15</v>
      </c>
      <c r="H1822" s="5" t="s">
        <v>24</v>
      </c>
      <c r="I1822" s="6" t="s">
        <v>63</v>
      </c>
      <c r="J1822" s="7" t="s">
        <v>34</v>
      </c>
      <c r="K1822" s="7"/>
      <c r="L1822" s="8">
        <v>1.771609356284E12</v>
      </c>
      <c r="M1822" s="9"/>
      <c r="N1822" s="10"/>
      <c r="O1822" s="10"/>
      <c r="P1822" s="10"/>
      <c r="Q1822" s="10"/>
      <c r="R1822" s="10"/>
      <c r="S1822" s="10"/>
      <c r="T1822" s="10"/>
      <c r="U1822" s="10"/>
      <c r="V1822" s="10"/>
    </row>
    <row r="1823" ht="22.5" customHeight="1">
      <c r="A1823" s="5">
        <v>2.04088279421E11</v>
      </c>
      <c r="B1823" s="5" t="s">
        <v>1642</v>
      </c>
      <c r="C1823" s="5">
        <v>5511992828162</v>
      </c>
      <c r="D1823" s="5" t="s">
        <v>13</v>
      </c>
      <c r="E1823" s="5">
        <v>7.9360573E7</v>
      </c>
      <c r="F1823" s="5" t="s">
        <v>28</v>
      </c>
      <c r="G1823" s="5" t="s">
        <v>15</v>
      </c>
      <c r="H1823" s="5" t="s">
        <v>29</v>
      </c>
      <c r="I1823" s="6" t="s">
        <v>17</v>
      </c>
      <c r="J1823" s="7" t="s">
        <v>34</v>
      </c>
      <c r="K1823" s="7"/>
      <c r="L1823" s="8">
        <v>1.771609353254E12</v>
      </c>
      <c r="M1823" s="9"/>
      <c r="N1823" s="10"/>
      <c r="O1823" s="10"/>
      <c r="P1823" s="10"/>
      <c r="Q1823" s="10"/>
      <c r="R1823" s="10"/>
      <c r="S1823" s="10"/>
      <c r="T1823" s="10"/>
      <c r="U1823" s="10"/>
      <c r="V1823" s="10"/>
    </row>
    <row r="1824" ht="22.5" customHeight="1">
      <c r="A1824" s="5">
        <v>2.0410464619E11</v>
      </c>
      <c r="B1824" s="5" t="s">
        <v>1656</v>
      </c>
      <c r="C1824" s="5">
        <v>5575998749098</v>
      </c>
      <c r="D1824" s="5" t="s">
        <v>13</v>
      </c>
      <c r="E1824" s="5">
        <v>7.9360573E7</v>
      </c>
      <c r="F1824" s="5" t="s">
        <v>28</v>
      </c>
      <c r="G1824" s="5" t="s">
        <v>15</v>
      </c>
      <c r="H1824" s="5" t="s">
        <v>16</v>
      </c>
      <c r="I1824" s="6" t="s">
        <v>17</v>
      </c>
      <c r="J1824" s="7" t="s">
        <v>34</v>
      </c>
      <c r="K1824" s="7"/>
      <c r="L1824" s="8">
        <v>1.771609355358E12</v>
      </c>
      <c r="M1824" s="9"/>
      <c r="N1824" s="10"/>
      <c r="O1824" s="10"/>
      <c r="P1824" s="10"/>
      <c r="Q1824" s="10"/>
      <c r="R1824" s="10"/>
      <c r="S1824" s="10"/>
      <c r="T1824" s="10"/>
      <c r="U1824" s="10"/>
      <c r="V1824" s="10"/>
    </row>
    <row r="1825" ht="22.5" customHeight="1">
      <c r="A1825" s="5">
        <v>1.98384791336E11</v>
      </c>
      <c r="B1825" s="5" t="s">
        <v>102</v>
      </c>
      <c r="C1825" s="5">
        <v>51923401012</v>
      </c>
      <c r="D1825" s="5" t="s">
        <v>103</v>
      </c>
      <c r="E1825" s="5"/>
      <c r="F1825" s="5" t="s">
        <v>93</v>
      </c>
      <c r="G1825" s="5" t="s">
        <v>104</v>
      </c>
      <c r="H1825" s="5" t="s">
        <v>55</v>
      </c>
      <c r="I1825" s="6" t="s">
        <v>49</v>
      </c>
      <c r="J1825" s="7" t="s">
        <v>34</v>
      </c>
      <c r="K1825" s="7"/>
      <c r="L1825" s="8">
        <v>1.771609357242E12</v>
      </c>
      <c r="M1825" s="9"/>
      <c r="N1825" s="10"/>
      <c r="O1825" s="10"/>
      <c r="P1825" s="10"/>
      <c r="Q1825" s="10"/>
      <c r="R1825" s="10"/>
      <c r="S1825" s="10"/>
      <c r="T1825" s="10"/>
      <c r="U1825" s="10"/>
      <c r="V1825" s="10"/>
    </row>
    <row r="1826" ht="22.5" customHeight="1">
      <c r="A1826" s="5">
        <v>2.00874209921E11</v>
      </c>
      <c r="B1826" s="5" t="s">
        <v>1680</v>
      </c>
      <c r="C1826" s="5">
        <v>5512981292399</v>
      </c>
      <c r="D1826" s="5" t="s">
        <v>13</v>
      </c>
      <c r="E1826" s="5">
        <v>7.9360573E7</v>
      </c>
      <c r="F1826" s="5" t="s">
        <v>1681</v>
      </c>
      <c r="G1826" s="5" t="s">
        <v>15</v>
      </c>
      <c r="H1826" s="5" t="s">
        <v>55</v>
      </c>
      <c r="I1826" s="6" t="s">
        <v>17</v>
      </c>
      <c r="J1826" s="7" t="s">
        <v>34</v>
      </c>
      <c r="K1826" s="7"/>
      <c r="L1826" s="8">
        <v>1.771609353374E12</v>
      </c>
      <c r="M1826" s="9"/>
      <c r="N1826" s="10"/>
      <c r="O1826" s="10"/>
      <c r="P1826" s="10"/>
      <c r="Q1826" s="10"/>
      <c r="R1826" s="10"/>
      <c r="S1826" s="10"/>
      <c r="T1826" s="10"/>
      <c r="U1826" s="10"/>
      <c r="V1826" s="10"/>
    </row>
    <row r="1827" ht="22.5" customHeight="1">
      <c r="A1827" s="5">
        <v>2.03738779746E11</v>
      </c>
      <c r="B1827" s="5" t="s">
        <v>1419</v>
      </c>
      <c r="C1827" s="5">
        <v>5562981094955</v>
      </c>
      <c r="D1827" s="5" t="s">
        <v>13</v>
      </c>
      <c r="E1827" s="5">
        <v>7.9360573E7</v>
      </c>
      <c r="F1827" s="5" t="s">
        <v>510</v>
      </c>
      <c r="G1827" s="5" t="s">
        <v>15</v>
      </c>
      <c r="H1827" s="5" t="s">
        <v>51</v>
      </c>
      <c r="I1827" s="6" t="s">
        <v>36</v>
      </c>
      <c r="J1827" s="7" t="s">
        <v>34</v>
      </c>
      <c r="K1827" s="7"/>
      <c r="L1827" s="8">
        <v>1.771609353925E12</v>
      </c>
      <c r="M1827" s="9"/>
      <c r="N1827" s="10"/>
      <c r="O1827" s="10"/>
      <c r="P1827" s="10"/>
      <c r="Q1827" s="10"/>
      <c r="R1827" s="10"/>
      <c r="S1827" s="10"/>
      <c r="T1827" s="10"/>
      <c r="U1827" s="10"/>
      <c r="V1827" s="10"/>
    </row>
    <row r="1828" ht="22.5" customHeight="1">
      <c r="A1828" s="5">
        <v>2.03305261849E11</v>
      </c>
      <c r="B1828" s="5" t="s">
        <v>1305</v>
      </c>
      <c r="C1828" s="5">
        <v>5521975509662</v>
      </c>
      <c r="D1828" s="5" t="s">
        <v>22</v>
      </c>
      <c r="E1828" s="5">
        <v>7.9360573E7</v>
      </c>
      <c r="F1828" s="5" t="s">
        <v>28</v>
      </c>
      <c r="G1828" s="5" t="s">
        <v>44</v>
      </c>
      <c r="H1828" s="5" t="s">
        <v>66</v>
      </c>
      <c r="I1828" s="6" t="s">
        <v>89</v>
      </c>
      <c r="J1828" s="7" t="s">
        <v>34</v>
      </c>
      <c r="K1828" s="7"/>
      <c r="L1828" s="8">
        <v>1.771609356652E12</v>
      </c>
      <c r="M1828" s="9"/>
      <c r="N1828" s="10"/>
      <c r="O1828" s="10"/>
      <c r="P1828" s="10"/>
      <c r="Q1828" s="10"/>
      <c r="R1828" s="10"/>
      <c r="S1828" s="10"/>
      <c r="T1828" s="10"/>
      <c r="U1828" s="10"/>
      <c r="V1828" s="10"/>
    </row>
    <row r="1829" ht="22.5" customHeight="1">
      <c r="A1829" s="5">
        <v>2.03415875761E11</v>
      </c>
      <c r="B1829" s="5" t="s">
        <v>1340</v>
      </c>
      <c r="C1829" s="5">
        <v>5545999175741</v>
      </c>
      <c r="D1829" s="5" t="s">
        <v>13</v>
      </c>
      <c r="E1829" s="5">
        <v>7.9360573E7</v>
      </c>
      <c r="F1829" s="5" t="s">
        <v>28</v>
      </c>
      <c r="G1829" s="5" t="s">
        <v>32</v>
      </c>
      <c r="H1829" s="5" t="s">
        <v>114</v>
      </c>
      <c r="I1829" s="6" t="s">
        <v>17</v>
      </c>
      <c r="J1829" s="7" t="s">
        <v>34</v>
      </c>
      <c r="K1829" s="7"/>
      <c r="L1829" s="8">
        <v>1.771609356578E12</v>
      </c>
      <c r="M1829" s="9"/>
      <c r="N1829" s="10"/>
      <c r="O1829" s="10"/>
      <c r="P1829" s="10"/>
      <c r="Q1829" s="10"/>
      <c r="R1829" s="10"/>
      <c r="S1829" s="10"/>
      <c r="T1829" s="10"/>
      <c r="U1829" s="10"/>
      <c r="V1829" s="10"/>
    </row>
    <row r="1830" ht="22.5" customHeight="1">
      <c r="A1830" s="5">
        <v>1.99467551041E11</v>
      </c>
      <c r="B1830" s="5" t="s">
        <v>325</v>
      </c>
      <c r="C1830" s="5">
        <v>5511984026622</v>
      </c>
      <c r="D1830" s="5" t="s">
        <v>13</v>
      </c>
      <c r="E1830" s="5">
        <v>7.9360573E7</v>
      </c>
      <c r="F1830" s="5" t="s">
        <v>23</v>
      </c>
      <c r="G1830" s="5" t="s">
        <v>44</v>
      </c>
      <c r="H1830" s="5" t="s">
        <v>326</v>
      </c>
      <c r="I1830" s="6" t="s">
        <v>49</v>
      </c>
      <c r="J1830" s="7" t="s">
        <v>34</v>
      </c>
      <c r="K1830" s="7"/>
      <c r="L1830" s="8">
        <v>1.771609355354E12</v>
      </c>
      <c r="M1830" s="9"/>
      <c r="N1830" s="10"/>
      <c r="O1830" s="10"/>
      <c r="P1830" s="10"/>
      <c r="Q1830" s="10"/>
      <c r="R1830" s="10"/>
      <c r="S1830" s="10"/>
      <c r="T1830" s="10"/>
      <c r="U1830" s="10"/>
      <c r="V1830" s="10"/>
    </row>
    <row r="1831" ht="22.5" customHeight="1">
      <c r="A1831" s="5">
        <v>2.02228300953E11</v>
      </c>
      <c r="B1831" s="5" t="s">
        <v>995</v>
      </c>
      <c r="C1831" s="5">
        <v>5585992573207</v>
      </c>
      <c r="D1831" s="5" t="s">
        <v>13</v>
      </c>
      <c r="E1831" s="5">
        <v>7.9360573E7</v>
      </c>
      <c r="F1831" s="5" t="s">
        <v>28</v>
      </c>
      <c r="G1831" s="5"/>
      <c r="H1831" s="5" t="s">
        <v>16</v>
      </c>
      <c r="I1831" s="6" t="s">
        <v>17</v>
      </c>
      <c r="J1831" s="7" t="s">
        <v>34</v>
      </c>
      <c r="K1831" s="7"/>
      <c r="L1831" s="8">
        <v>1.771609353582E12</v>
      </c>
      <c r="M1831" s="9"/>
      <c r="N1831" s="10"/>
      <c r="O1831" s="10"/>
      <c r="P1831" s="10"/>
      <c r="Q1831" s="10"/>
      <c r="R1831" s="10"/>
      <c r="S1831" s="10"/>
      <c r="T1831" s="10"/>
      <c r="U1831" s="10"/>
      <c r="V1831" s="10"/>
    </row>
    <row r="1832" ht="22.5" customHeight="1">
      <c r="A1832" s="5">
        <v>2.00691016605E11</v>
      </c>
      <c r="B1832" s="5" t="s">
        <v>1682</v>
      </c>
      <c r="C1832" s="5">
        <v>5521969606018</v>
      </c>
      <c r="D1832" s="5" t="s">
        <v>13</v>
      </c>
      <c r="E1832" s="5">
        <v>7.9360573E7</v>
      </c>
      <c r="F1832" s="5" t="s">
        <v>691</v>
      </c>
      <c r="G1832" s="5" t="s">
        <v>32</v>
      </c>
      <c r="H1832" s="5" t="s">
        <v>165</v>
      </c>
      <c r="I1832" s="6" t="s">
        <v>17</v>
      </c>
      <c r="J1832" s="7" t="s">
        <v>34</v>
      </c>
      <c r="K1832" s="7"/>
      <c r="L1832" s="8">
        <v>1.771609354229E12</v>
      </c>
      <c r="M1832" s="9"/>
      <c r="N1832" s="10"/>
      <c r="O1832" s="10"/>
      <c r="P1832" s="10"/>
      <c r="Q1832" s="10"/>
      <c r="R1832" s="10"/>
      <c r="S1832" s="10"/>
      <c r="T1832" s="10"/>
      <c r="U1832" s="10"/>
      <c r="V1832" s="10"/>
    </row>
    <row r="1833" ht="22.5" customHeight="1">
      <c r="A1833" s="5">
        <v>2.03908351324E11</v>
      </c>
      <c r="B1833" s="5" t="s">
        <v>1495</v>
      </c>
      <c r="C1833" s="5">
        <v>5571988391404</v>
      </c>
      <c r="D1833" s="5" t="s">
        <v>103</v>
      </c>
      <c r="E1833" s="5">
        <v>7.9360573E7</v>
      </c>
      <c r="F1833" s="5" t="s">
        <v>28</v>
      </c>
      <c r="G1833" s="5" t="s">
        <v>79</v>
      </c>
      <c r="H1833" s="5" t="s">
        <v>16</v>
      </c>
      <c r="I1833" s="6" t="s">
        <v>148</v>
      </c>
      <c r="J1833" s="7" t="s">
        <v>34</v>
      </c>
      <c r="K1833" s="7"/>
      <c r="L1833" s="8">
        <v>1.771609354656E12</v>
      </c>
      <c r="M1833" s="9"/>
      <c r="N1833" s="10"/>
      <c r="O1833" s="10"/>
      <c r="P1833" s="10"/>
      <c r="Q1833" s="10"/>
      <c r="R1833" s="10"/>
      <c r="S1833" s="10"/>
      <c r="T1833" s="10"/>
      <c r="U1833" s="10"/>
      <c r="V1833" s="10"/>
    </row>
    <row r="1834" ht="22.5" customHeight="1">
      <c r="A1834" s="5">
        <v>2.01533590316E11</v>
      </c>
      <c r="B1834" s="5" t="s">
        <v>789</v>
      </c>
      <c r="C1834" s="5">
        <v>5511992307635</v>
      </c>
      <c r="D1834" s="5" t="s">
        <v>13</v>
      </c>
      <c r="E1834" s="5">
        <v>7.9360573E7</v>
      </c>
      <c r="F1834" s="5" t="s">
        <v>714</v>
      </c>
      <c r="G1834" s="5" t="s">
        <v>15</v>
      </c>
      <c r="H1834" s="5" t="s">
        <v>24</v>
      </c>
      <c r="I1834" s="6" t="s">
        <v>17</v>
      </c>
      <c r="J1834" s="7" t="s">
        <v>18</v>
      </c>
      <c r="K1834" s="7" t="s">
        <v>45</v>
      </c>
      <c r="L1834" s="8">
        <v>1.771609357012E12</v>
      </c>
      <c r="M1834" s="9"/>
      <c r="N1834" s="10"/>
      <c r="O1834" s="10"/>
      <c r="P1834" s="10"/>
      <c r="Q1834" s="10"/>
      <c r="R1834" s="10"/>
      <c r="S1834" s="10"/>
      <c r="T1834" s="10"/>
      <c r="U1834" s="10"/>
      <c r="V1834" s="10"/>
    </row>
    <row r="1835" ht="22.5" customHeight="1">
      <c r="A1835" s="5">
        <v>2.03882609166E11</v>
      </c>
      <c r="B1835" s="5" t="s">
        <v>1683</v>
      </c>
      <c r="C1835" s="5">
        <v>51982520078</v>
      </c>
      <c r="D1835" s="5" t="s">
        <v>13</v>
      </c>
      <c r="E1835" s="5">
        <v>8.0566583E7</v>
      </c>
      <c r="F1835" s="5" t="s">
        <v>14</v>
      </c>
      <c r="G1835" s="5" t="s">
        <v>32</v>
      </c>
      <c r="H1835" s="5" t="s">
        <v>16</v>
      </c>
      <c r="I1835" s="6" t="s">
        <v>36</v>
      </c>
      <c r="J1835" s="7" t="s">
        <v>34</v>
      </c>
      <c r="K1835" s="7"/>
      <c r="L1835" s="8">
        <v>1.771610102674E12</v>
      </c>
      <c r="M1835" s="9"/>
      <c r="N1835" s="10"/>
      <c r="O1835" s="10"/>
      <c r="P1835" s="10"/>
      <c r="Q1835" s="10"/>
      <c r="R1835" s="10"/>
      <c r="S1835" s="10"/>
      <c r="T1835" s="10"/>
      <c r="U1835" s="10"/>
      <c r="V1835" s="10"/>
    </row>
    <row r="1836" ht="22.5" customHeight="1">
      <c r="A1836" s="5">
        <v>2.04211121804E11</v>
      </c>
      <c r="B1836" s="5" t="s">
        <v>1684</v>
      </c>
      <c r="C1836" s="5">
        <v>51908885899</v>
      </c>
      <c r="D1836" s="5" t="s">
        <v>13</v>
      </c>
      <c r="E1836" s="5">
        <v>8.7547393E7</v>
      </c>
      <c r="F1836" s="5" t="s">
        <v>28</v>
      </c>
      <c r="G1836" s="5" t="s">
        <v>15</v>
      </c>
      <c r="H1836" s="5" t="s">
        <v>24</v>
      </c>
      <c r="I1836" s="6" t="s">
        <v>17</v>
      </c>
      <c r="J1836" s="7" t="s">
        <v>34</v>
      </c>
      <c r="K1836" s="7"/>
      <c r="L1836" s="8">
        <v>1.771611375432E12</v>
      </c>
      <c r="M1836" s="9"/>
      <c r="N1836" s="10"/>
      <c r="O1836" s="10"/>
      <c r="P1836" s="10"/>
      <c r="Q1836" s="10"/>
      <c r="R1836" s="10"/>
      <c r="S1836" s="10"/>
      <c r="T1836" s="10"/>
      <c r="U1836" s="10"/>
      <c r="V1836" s="10"/>
    </row>
    <row r="1837" ht="22.5" customHeight="1">
      <c r="A1837" s="5">
        <v>2.04206315625E11</v>
      </c>
      <c r="B1837" s="5" t="s">
        <v>1685</v>
      </c>
      <c r="C1837" s="5">
        <v>5511997556679</v>
      </c>
      <c r="D1837" s="5" t="s">
        <v>103</v>
      </c>
      <c r="E1837" s="5">
        <v>7.9360573E7</v>
      </c>
      <c r="F1837" s="5" t="s">
        <v>39</v>
      </c>
      <c r="G1837" s="5" t="s">
        <v>79</v>
      </c>
      <c r="H1837" s="5" t="s">
        <v>80</v>
      </c>
      <c r="I1837" s="6" t="s">
        <v>17</v>
      </c>
      <c r="J1837" s="7" t="s">
        <v>177</v>
      </c>
      <c r="K1837" s="7" t="s">
        <v>36</v>
      </c>
      <c r="L1837" s="8">
        <v>1.771612002829E12</v>
      </c>
      <c r="M1837" s="9"/>
      <c r="N1837" s="10"/>
      <c r="O1837" s="10"/>
      <c r="P1837" s="10"/>
      <c r="Q1837" s="10"/>
      <c r="R1837" s="10"/>
      <c r="S1837" s="10"/>
      <c r="T1837" s="10"/>
      <c r="U1837" s="10"/>
      <c r="V1837" s="10"/>
    </row>
    <row r="1838" ht="22.5" customHeight="1">
      <c r="A1838" s="5">
        <v>2.04192235362E11</v>
      </c>
      <c r="B1838" s="5" t="s">
        <v>1686</v>
      </c>
      <c r="C1838" s="5">
        <v>5511947820318</v>
      </c>
      <c r="D1838" s="5" t="s">
        <v>13</v>
      </c>
      <c r="E1838" s="5">
        <v>7.9360573E7</v>
      </c>
      <c r="F1838" s="5" t="s">
        <v>39</v>
      </c>
      <c r="G1838" s="5" t="s">
        <v>15</v>
      </c>
      <c r="H1838" s="5" t="s">
        <v>51</v>
      </c>
      <c r="I1838" s="6" t="s">
        <v>17</v>
      </c>
      <c r="J1838" s="7" t="s">
        <v>34</v>
      </c>
      <c r="K1838" s="7"/>
      <c r="L1838" s="8">
        <v>1.771612598755E12</v>
      </c>
      <c r="M1838" s="9"/>
      <c r="N1838" s="10"/>
      <c r="O1838" s="10"/>
      <c r="P1838" s="10"/>
      <c r="Q1838" s="10"/>
      <c r="R1838" s="10"/>
      <c r="S1838" s="10"/>
      <c r="T1838" s="10"/>
      <c r="U1838" s="10"/>
      <c r="V1838" s="10"/>
    </row>
    <row r="1839" ht="22.5" customHeight="1">
      <c r="A1839" s="5">
        <v>2.04192780581E11</v>
      </c>
      <c r="B1839" s="5" t="s">
        <v>1687</v>
      </c>
      <c r="C1839" s="5">
        <v>51962767941</v>
      </c>
      <c r="D1839" s="5" t="s">
        <v>38</v>
      </c>
      <c r="E1839" s="5">
        <v>8.0566583E7</v>
      </c>
      <c r="F1839" s="5" t="s">
        <v>28</v>
      </c>
      <c r="G1839" s="5" t="s">
        <v>15</v>
      </c>
      <c r="H1839" s="5" t="s">
        <v>51</v>
      </c>
      <c r="I1839" s="6" t="s">
        <v>63</v>
      </c>
      <c r="J1839" s="7" t="s">
        <v>34</v>
      </c>
      <c r="K1839" s="7"/>
      <c r="L1839" s="8">
        <v>1.77161305997E12</v>
      </c>
      <c r="M1839" s="9"/>
      <c r="N1839" s="10"/>
      <c r="O1839" s="10"/>
      <c r="P1839" s="10"/>
      <c r="Q1839" s="10"/>
      <c r="R1839" s="10"/>
      <c r="S1839" s="10"/>
      <c r="T1839" s="10"/>
      <c r="U1839" s="10"/>
      <c r="V1839" s="10"/>
    </row>
    <row r="1840" ht="22.5" customHeight="1">
      <c r="A1840" s="5">
        <v>2.02422745625E11</v>
      </c>
      <c r="B1840" s="5" t="s">
        <v>1688</v>
      </c>
      <c r="C1840" s="5">
        <v>56987377128</v>
      </c>
      <c r="D1840" s="5" t="s">
        <v>22</v>
      </c>
      <c r="E1840" s="5">
        <v>8.7547393E7</v>
      </c>
      <c r="F1840" s="5" t="s">
        <v>39</v>
      </c>
      <c r="G1840" s="5" t="s">
        <v>32</v>
      </c>
      <c r="H1840" s="5" t="s">
        <v>29</v>
      </c>
      <c r="I1840" s="6" t="s">
        <v>36</v>
      </c>
      <c r="J1840" s="7" t="s">
        <v>177</v>
      </c>
      <c r="K1840" s="7" t="s">
        <v>36</v>
      </c>
      <c r="L1840" s="8">
        <v>1.771613850884E12</v>
      </c>
      <c r="M1840" s="9"/>
      <c r="N1840" s="10"/>
      <c r="O1840" s="10"/>
      <c r="P1840" s="10"/>
      <c r="Q1840" s="10"/>
      <c r="R1840" s="10"/>
      <c r="S1840" s="10"/>
      <c r="T1840" s="10"/>
      <c r="U1840" s="10"/>
      <c r="V1840" s="10"/>
    </row>
    <row r="1841" ht="22.5" customHeight="1">
      <c r="A1841" s="5">
        <v>2.04189231148E11</v>
      </c>
      <c r="B1841" s="5" t="s">
        <v>1689</v>
      </c>
      <c r="C1841" s="5">
        <v>51972970406</v>
      </c>
      <c r="D1841" s="5" t="s">
        <v>38</v>
      </c>
      <c r="E1841" s="5">
        <v>8.0566583E7</v>
      </c>
      <c r="F1841" s="5"/>
      <c r="G1841" s="5"/>
      <c r="H1841" s="5"/>
      <c r="I1841" s="6"/>
      <c r="J1841" s="7" t="s">
        <v>18</v>
      </c>
      <c r="K1841" s="7" t="s">
        <v>19</v>
      </c>
      <c r="L1841" s="8">
        <v>1.771613858911E12</v>
      </c>
      <c r="M1841" s="9"/>
      <c r="N1841" s="10"/>
      <c r="O1841" s="10"/>
      <c r="P1841" s="10"/>
      <c r="Q1841" s="10"/>
      <c r="R1841" s="10"/>
      <c r="S1841" s="10"/>
      <c r="T1841" s="10"/>
      <c r="U1841" s="10"/>
      <c r="V1841" s="10"/>
    </row>
    <row r="1842" ht="22.5" customHeight="1">
      <c r="A1842" s="5">
        <v>2.04193707011E11</v>
      </c>
      <c r="B1842" s="5" t="s">
        <v>1690</v>
      </c>
      <c r="C1842" s="5">
        <v>5573998375335</v>
      </c>
      <c r="D1842" s="5" t="s">
        <v>13</v>
      </c>
      <c r="E1842" s="5">
        <v>7.9360573E7</v>
      </c>
      <c r="F1842" s="5" t="s">
        <v>93</v>
      </c>
      <c r="G1842" s="5" t="s">
        <v>15</v>
      </c>
      <c r="H1842" s="5" t="s">
        <v>24</v>
      </c>
      <c r="I1842" s="6" t="s">
        <v>36</v>
      </c>
      <c r="J1842" s="7" t="s">
        <v>34</v>
      </c>
      <c r="K1842" s="7"/>
      <c r="L1842" s="8">
        <v>1.771614548926E12</v>
      </c>
      <c r="M1842" s="9"/>
      <c r="N1842" s="10"/>
      <c r="O1842" s="10"/>
      <c r="P1842" s="10"/>
      <c r="Q1842" s="10"/>
      <c r="R1842" s="10"/>
      <c r="S1842" s="10"/>
      <c r="T1842" s="10"/>
      <c r="U1842" s="10"/>
      <c r="V1842" s="10"/>
    </row>
    <row r="1843" ht="22.5" customHeight="1">
      <c r="A1843" s="5">
        <v>2.04207839773E11</v>
      </c>
      <c r="B1843" s="5" t="s">
        <v>1691</v>
      </c>
      <c r="C1843" s="5">
        <v>526311909874</v>
      </c>
      <c r="D1843" s="5" t="s">
        <v>13</v>
      </c>
      <c r="E1843" s="5">
        <v>8.7547393E7</v>
      </c>
      <c r="F1843" s="5" t="s">
        <v>259</v>
      </c>
      <c r="G1843" s="5" t="s">
        <v>15</v>
      </c>
      <c r="H1843" s="5" t="s">
        <v>51</v>
      </c>
      <c r="I1843" s="6" t="s">
        <v>17</v>
      </c>
      <c r="J1843" s="7" t="s">
        <v>18</v>
      </c>
      <c r="K1843" s="7" t="s">
        <v>61</v>
      </c>
      <c r="L1843" s="8">
        <v>1.771616496812E12</v>
      </c>
      <c r="M1843" s="9"/>
      <c r="N1843" s="10"/>
      <c r="O1843" s="10"/>
      <c r="P1843" s="10"/>
      <c r="Q1843" s="10"/>
      <c r="R1843" s="10"/>
      <c r="S1843" s="10"/>
      <c r="T1843" s="10"/>
      <c r="U1843" s="10"/>
      <c r="V1843" s="10"/>
    </row>
    <row r="1844" ht="22.5" customHeight="1">
      <c r="A1844" s="5">
        <v>2.04195938958E11</v>
      </c>
      <c r="B1844" s="5" t="s">
        <v>1692</v>
      </c>
      <c r="C1844" s="5">
        <v>5519982224198</v>
      </c>
      <c r="D1844" s="5" t="s">
        <v>13</v>
      </c>
      <c r="E1844" s="5">
        <v>7.9360573E7</v>
      </c>
      <c r="F1844" s="5" t="s">
        <v>14</v>
      </c>
      <c r="G1844" s="5" t="s">
        <v>15</v>
      </c>
      <c r="H1844" s="5" t="s">
        <v>51</v>
      </c>
      <c r="I1844" s="6" t="s">
        <v>148</v>
      </c>
      <c r="J1844" s="7" t="s">
        <v>34</v>
      </c>
      <c r="K1844" s="7"/>
      <c r="L1844" s="8">
        <v>1.771616542352E12</v>
      </c>
      <c r="M1844" s="9"/>
      <c r="N1844" s="10"/>
      <c r="O1844" s="10"/>
      <c r="P1844" s="10"/>
      <c r="Q1844" s="10"/>
      <c r="R1844" s="10"/>
      <c r="S1844" s="10"/>
      <c r="T1844" s="10"/>
      <c r="U1844" s="10"/>
      <c r="V1844" s="10"/>
    </row>
    <row r="1845" ht="22.5" customHeight="1">
      <c r="A1845" s="5">
        <v>2.0424129744E11</v>
      </c>
      <c r="B1845" s="5" t="s">
        <v>1693</v>
      </c>
      <c r="C1845" s="5">
        <v>5537999240069</v>
      </c>
      <c r="D1845" s="5" t="s">
        <v>38</v>
      </c>
      <c r="E1845" s="5">
        <v>7.9360573E7</v>
      </c>
      <c r="F1845" s="5" t="s">
        <v>28</v>
      </c>
      <c r="G1845" s="5" t="s">
        <v>44</v>
      </c>
      <c r="H1845" s="5" t="s">
        <v>188</v>
      </c>
      <c r="I1845" s="6" t="s">
        <v>63</v>
      </c>
      <c r="J1845" s="7" t="s">
        <v>34</v>
      </c>
      <c r="K1845" s="7"/>
      <c r="L1845" s="8">
        <v>1.771617860036E12</v>
      </c>
      <c r="M1845" s="9"/>
      <c r="N1845" s="10"/>
      <c r="O1845" s="10"/>
      <c r="P1845" s="10"/>
      <c r="Q1845" s="10"/>
      <c r="R1845" s="10"/>
      <c r="S1845" s="10"/>
      <c r="T1845" s="10"/>
      <c r="U1845" s="10"/>
      <c r="V1845" s="10"/>
    </row>
    <row r="1846" ht="22.5" customHeight="1">
      <c r="A1846" s="5">
        <v>2.04221130878E11</v>
      </c>
      <c r="B1846" s="5" t="s">
        <v>1694</v>
      </c>
      <c r="C1846" s="5">
        <v>51975637307</v>
      </c>
      <c r="D1846" s="5" t="s">
        <v>13</v>
      </c>
      <c r="E1846" s="5">
        <v>8.0566583E7</v>
      </c>
      <c r="F1846" s="5" t="s">
        <v>39</v>
      </c>
      <c r="G1846" s="5" t="s">
        <v>15</v>
      </c>
      <c r="H1846" s="5" t="s">
        <v>86</v>
      </c>
      <c r="I1846" s="6" t="s">
        <v>36</v>
      </c>
      <c r="J1846" s="7" t="s">
        <v>18</v>
      </c>
      <c r="K1846" s="7" t="s">
        <v>19</v>
      </c>
      <c r="L1846" s="8">
        <v>1.77162050661E12</v>
      </c>
      <c r="M1846" s="9"/>
      <c r="N1846" s="10"/>
      <c r="O1846" s="10"/>
      <c r="P1846" s="10"/>
      <c r="Q1846" s="10"/>
      <c r="R1846" s="10"/>
      <c r="S1846" s="10"/>
      <c r="T1846" s="10"/>
      <c r="U1846" s="10"/>
      <c r="V1846" s="10"/>
    </row>
    <row r="1847" ht="22.5" customHeight="1">
      <c r="A1847" s="5">
        <v>2.04248153714E11</v>
      </c>
      <c r="B1847" s="5" t="s">
        <v>1695</v>
      </c>
      <c r="C1847" s="5">
        <v>5567991697229</v>
      </c>
      <c r="D1847" s="5" t="s">
        <v>13</v>
      </c>
      <c r="E1847" s="5">
        <v>7.9360573E7</v>
      </c>
      <c r="F1847" s="5" t="s">
        <v>28</v>
      </c>
      <c r="G1847" s="5" t="s">
        <v>15</v>
      </c>
      <c r="H1847" s="5" t="s">
        <v>86</v>
      </c>
      <c r="I1847" s="6" t="s">
        <v>17</v>
      </c>
      <c r="J1847" s="7" t="s">
        <v>34</v>
      </c>
      <c r="K1847" s="7"/>
      <c r="L1847" s="8">
        <v>1.771622582607E12</v>
      </c>
      <c r="M1847" s="9"/>
      <c r="N1847" s="10"/>
      <c r="O1847" s="10"/>
      <c r="P1847" s="10"/>
      <c r="Q1847" s="10"/>
      <c r="R1847" s="10"/>
      <c r="S1847" s="10"/>
      <c r="T1847" s="10"/>
      <c r="U1847" s="10"/>
      <c r="V1847" s="10"/>
    </row>
    <row r="1848" ht="22.5" customHeight="1">
      <c r="A1848" s="5">
        <v>2.04248658762E11</v>
      </c>
      <c r="B1848" s="5" t="s">
        <v>1696</v>
      </c>
      <c r="C1848" s="5">
        <v>5537998056315</v>
      </c>
      <c r="D1848" s="5" t="s">
        <v>22</v>
      </c>
      <c r="E1848" s="5">
        <v>7.9360573E7</v>
      </c>
      <c r="F1848" s="5" t="s">
        <v>39</v>
      </c>
      <c r="G1848" s="5" t="s">
        <v>44</v>
      </c>
      <c r="H1848" s="5" t="s">
        <v>24</v>
      </c>
      <c r="I1848" s="6"/>
      <c r="J1848" s="7" t="s">
        <v>177</v>
      </c>
      <c r="K1848" s="7" t="s">
        <v>36</v>
      </c>
      <c r="L1848" s="8">
        <v>1.771622688764E12</v>
      </c>
      <c r="M1848" s="9"/>
      <c r="N1848" s="10"/>
      <c r="O1848" s="10"/>
      <c r="P1848" s="10"/>
      <c r="Q1848" s="10"/>
      <c r="R1848" s="10"/>
      <c r="S1848" s="10"/>
      <c r="T1848" s="10"/>
      <c r="U1848" s="10"/>
      <c r="V1848" s="10"/>
    </row>
    <row r="1849" ht="22.5" customHeight="1">
      <c r="A1849" s="5">
        <v>2.04228778502E11</v>
      </c>
      <c r="B1849" s="5" t="s">
        <v>1697</v>
      </c>
      <c r="C1849" s="5">
        <v>527202630032</v>
      </c>
      <c r="D1849" s="5" t="s">
        <v>13</v>
      </c>
      <c r="E1849" s="5">
        <v>8.0566583E7</v>
      </c>
      <c r="F1849" s="5" t="s">
        <v>259</v>
      </c>
      <c r="G1849" s="5" t="s">
        <v>32</v>
      </c>
      <c r="H1849" s="5" t="s">
        <v>69</v>
      </c>
      <c r="I1849" s="6" t="s">
        <v>17</v>
      </c>
      <c r="J1849" s="7" t="s">
        <v>34</v>
      </c>
      <c r="K1849" s="7"/>
      <c r="L1849" s="8">
        <v>1.77162308334E12</v>
      </c>
      <c r="M1849" s="9"/>
      <c r="N1849" s="10"/>
      <c r="O1849" s="10"/>
      <c r="P1849" s="10"/>
      <c r="Q1849" s="10"/>
      <c r="R1849" s="10"/>
      <c r="S1849" s="10"/>
      <c r="T1849" s="10"/>
      <c r="U1849" s="10"/>
      <c r="V1849" s="10"/>
    </row>
    <row r="1850" ht="22.5" customHeight="1">
      <c r="A1850" s="5">
        <v>2.0423005521E11</v>
      </c>
      <c r="B1850" s="5" t="s">
        <v>1698</v>
      </c>
      <c r="C1850" s="5">
        <v>51912712888</v>
      </c>
      <c r="D1850" s="5" t="s">
        <v>13</v>
      </c>
      <c r="E1850" s="5">
        <v>8.7547393E7</v>
      </c>
      <c r="F1850" s="5" t="s">
        <v>28</v>
      </c>
      <c r="G1850" s="5" t="s">
        <v>15</v>
      </c>
      <c r="H1850" s="5" t="s">
        <v>24</v>
      </c>
      <c r="I1850" s="6" t="s">
        <v>17</v>
      </c>
      <c r="J1850" s="7" t="s">
        <v>25</v>
      </c>
      <c r="K1850" s="7" t="s">
        <v>501</v>
      </c>
      <c r="L1850" s="8">
        <v>1.77162417676E12</v>
      </c>
      <c r="M1850" s="9"/>
      <c r="N1850" s="10"/>
      <c r="O1850" s="10"/>
      <c r="P1850" s="10"/>
      <c r="Q1850" s="10"/>
      <c r="R1850" s="10"/>
      <c r="S1850" s="10"/>
      <c r="T1850" s="10"/>
      <c r="U1850" s="10"/>
      <c r="V1850" s="10"/>
    </row>
    <row r="1851" ht="22.5" customHeight="1">
      <c r="A1851" s="5">
        <v>2.04289138861E11</v>
      </c>
      <c r="B1851" s="5" t="s">
        <v>1699</v>
      </c>
      <c r="C1851" s="5">
        <v>5577999743926</v>
      </c>
      <c r="D1851" s="5" t="s">
        <v>13</v>
      </c>
      <c r="E1851" s="5">
        <v>7.9360573E7</v>
      </c>
      <c r="F1851" s="5" t="s">
        <v>65</v>
      </c>
      <c r="G1851" s="5" t="s">
        <v>15</v>
      </c>
      <c r="H1851" s="5" t="s">
        <v>51</v>
      </c>
      <c r="I1851" s="6" t="s">
        <v>17</v>
      </c>
      <c r="J1851" s="7" t="s">
        <v>34</v>
      </c>
      <c r="K1851" s="7"/>
      <c r="L1851" s="8">
        <v>1.771627807277E12</v>
      </c>
      <c r="M1851" s="9"/>
      <c r="N1851" s="10"/>
      <c r="O1851" s="10"/>
      <c r="P1851" s="10"/>
      <c r="Q1851" s="10"/>
      <c r="R1851" s="10"/>
      <c r="S1851" s="10"/>
      <c r="T1851" s="10"/>
      <c r="U1851" s="10"/>
      <c r="V1851" s="10"/>
    </row>
    <row r="1852" ht="22.5" customHeight="1">
      <c r="A1852" s="5">
        <v>5.6770819663E10</v>
      </c>
      <c r="B1852" s="5" t="s">
        <v>1700</v>
      </c>
      <c r="C1852" s="5">
        <v>51954446921</v>
      </c>
      <c r="D1852" s="5" t="s">
        <v>13</v>
      </c>
      <c r="E1852" s="5">
        <v>8.7547393E7</v>
      </c>
      <c r="F1852" s="5" t="s">
        <v>28</v>
      </c>
      <c r="G1852" s="5" t="s">
        <v>15</v>
      </c>
      <c r="H1852" s="5" t="s">
        <v>114</v>
      </c>
      <c r="I1852" s="6" t="s">
        <v>17</v>
      </c>
      <c r="J1852" s="7" t="s">
        <v>34</v>
      </c>
      <c r="K1852" s="7"/>
      <c r="L1852" s="8">
        <v>1.771628267694E12</v>
      </c>
      <c r="M1852" s="9"/>
      <c r="N1852" s="10"/>
      <c r="O1852" s="10"/>
      <c r="P1852" s="10"/>
      <c r="Q1852" s="10"/>
      <c r="R1852" s="10"/>
      <c r="S1852" s="10"/>
      <c r="T1852" s="10"/>
      <c r="U1852" s="10"/>
      <c r="V1852" s="10"/>
    </row>
    <row r="1853" ht="22.5" customHeight="1">
      <c r="A1853" s="5">
        <v>2.04267961369E11</v>
      </c>
      <c r="B1853" s="5" t="s">
        <v>1701</v>
      </c>
      <c r="C1853" s="5">
        <v>51956753221</v>
      </c>
      <c r="D1853" s="5" t="s">
        <v>38</v>
      </c>
      <c r="E1853" s="5">
        <v>8.0566583E7</v>
      </c>
      <c r="F1853" s="5" t="s">
        <v>28</v>
      </c>
      <c r="G1853" s="5" t="s">
        <v>15</v>
      </c>
      <c r="H1853" s="5" t="s">
        <v>66</v>
      </c>
      <c r="I1853" s="6" t="s">
        <v>17</v>
      </c>
      <c r="J1853" s="7" t="s">
        <v>34</v>
      </c>
      <c r="K1853" s="7"/>
      <c r="L1853" s="8">
        <v>1.771628293301E12</v>
      </c>
      <c r="M1853" s="9"/>
      <c r="N1853" s="10"/>
      <c r="O1853" s="10"/>
      <c r="P1853" s="10"/>
      <c r="Q1853" s="10"/>
      <c r="R1853" s="10"/>
      <c r="S1853" s="10"/>
      <c r="T1853" s="10"/>
      <c r="U1853" s="10"/>
      <c r="V1853" s="10"/>
    </row>
    <row r="1854" ht="22.5" customHeight="1">
      <c r="A1854" s="5">
        <v>2.04108387108E11</v>
      </c>
      <c r="B1854" s="5" t="s">
        <v>1702</v>
      </c>
      <c r="C1854" s="5">
        <v>51903268769</v>
      </c>
      <c r="D1854" s="5" t="s">
        <v>13</v>
      </c>
      <c r="E1854" s="5">
        <v>8.7547393E7</v>
      </c>
      <c r="F1854" s="5" t="s">
        <v>82</v>
      </c>
      <c r="G1854" s="5" t="s">
        <v>32</v>
      </c>
      <c r="H1854" s="5" t="s">
        <v>24</v>
      </c>
      <c r="I1854" s="6" t="s">
        <v>36</v>
      </c>
      <c r="J1854" s="7" t="s">
        <v>34</v>
      </c>
      <c r="K1854" s="7"/>
      <c r="L1854" s="8">
        <v>1.771628350182E12</v>
      </c>
      <c r="M1854" s="9"/>
      <c r="N1854" s="10"/>
      <c r="O1854" s="10"/>
      <c r="P1854" s="10"/>
      <c r="Q1854" s="10"/>
      <c r="R1854" s="10"/>
      <c r="S1854" s="10"/>
      <c r="T1854" s="10"/>
      <c r="U1854" s="10"/>
      <c r="V1854" s="10"/>
    </row>
    <row r="1855" ht="22.5" customHeight="1">
      <c r="A1855" s="5">
        <v>2.04267955752E11</v>
      </c>
      <c r="B1855" s="5" t="s">
        <v>1703</v>
      </c>
      <c r="C1855" s="5">
        <v>51972603206</v>
      </c>
      <c r="D1855" s="5" t="s">
        <v>13</v>
      </c>
      <c r="E1855" s="5">
        <v>8.0566583E7</v>
      </c>
      <c r="F1855" s="5" t="s">
        <v>714</v>
      </c>
      <c r="G1855" s="5" t="s">
        <v>15</v>
      </c>
      <c r="H1855" s="5" t="s">
        <v>51</v>
      </c>
      <c r="I1855" s="6" t="s">
        <v>17</v>
      </c>
      <c r="J1855" s="7" t="s">
        <v>18</v>
      </c>
      <c r="K1855" s="7" t="s">
        <v>19</v>
      </c>
      <c r="L1855" s="8">
        <v>1.771629414465E12</v>
      </c>
      <c r="M1855" s="9"/>
      <c r="N1855" s="10"/>
      <c r="O1855" s="10"/>
      <c r="P1855" s="10"/>
      <c r="Q1855" s="10"/>
      <c r="R1855" s="10"/>
      <c r="S1855" s="10"/>
      <c r="T1855" s="10"/>
      <c r="U1855" s="10"/>
      <c r="V1855" s="10"/>
    </row>
    <row r="1856" ht="22.5" customHeight="1">
      <c r="A1856" s="5">
        <v>2.04268844961E11</v>
      </c>
      <c r="B1856" s="5" t="s">
        <v>1704</v>
      </c>
      <c r="C1856" s="5">
        <v>5561992010192</v>
      </c>
      <c r="D1856" s="5" t="s">
        <v>13</v>
      </c>
      <c r="E1856" s="5">
        <v>7.9360573E7</v>
      </c>
      <c r="F1856" s="5" t="s">
        <v>28</v>
      </c>
      <c r="G1856" s="5" t="s">
        <v>15</v>
      </c>
      <c r="H1856" s="5" t="s">
        <v>51</v>
      </c>
      <c r="I1856" s="6" t="s">
        <v>17</v>
      </c>
      <c r="J1856" s="7" t="s">
        <v>34</v>
      </c>
      <c r="K1856" s="7"/>
      <c r="L1856" s="8">
        <v>1.771629481655E12</v>
      </c>
      <c r="M1856" s="9"/>
      <c r="N1856" s="10"/>
      <c r="O1856" s="10"/>
      <c r="P1856" s="10"/>
      <c r="Q1856" s="10"/>
      <c r="R1856" s="10"/>
      <c r="S1856" s="10"/>
      <c r="T1856" s="10"/>
      <c r="U1856" s="10"/>
      <c r="V1856" s="10"/>
    </row>
    <row r="1857" ht="22.5" customHeight="1">
      <c r="A1857" s="5">
        <v>2.04270391603E11</v>
      </c>
      <c r="B1857" s="5" t="s">
        <v>1705</v>
      </c>
      <c r="C1857" s="5">
        <v>529221057389</v>
      </c>
      <c r="D1857" s="5" t="s">
        <v>13</v>
      </c>
      <c r="E1857" s="5">
        <v>8.7547393E7</v>
      </c>
      <c r="F1857" s="5" t="s">
        <v>93</v>
      </c>
      <c r="G1857" s="5" t="s">
        <v>15</v>
      </c>
      <c r="H1857" s="5" t="s">
        <v>29</v>
      </c>
      <c r="I1857" s="6" t="s">
        <v>17</v>
      </c>
      <c r="J1857" s="7" t="s">
        <v>18</v>
      </c>
      <c r="K1857" s="7" t="s">
        <v>61</v>
      </c>
      <c r="L1857" s="8">
        <v>1.771629764543E12</v>
      </c>
      <c r="M1857" s="9"/>
      <c r="N1857" s="10"/>
      <c r="O1857" s="10"/>
      <c r="P1857" s="10"/>
      <c r="Q1857" s="10"/>
      <c r="R1857" s="10"/>
      <c r="S1857" s="10"/>
      <c r="T1857" s="10"/>
      <c r="U1857" s="10"/>
      <c r="V1857" s="10"/>
    </row>
    <row r="1858" ht="22.5" customHeight="1">
      <c r="A1858" s="5">
        <v>2.04270834187E11</v>
      </c>
      <c r="B1858" s="5" t="s">
        <v>1706</v>
      </c>
      <c r="C1858" s="5">
        <v>5566999965546</v>
      </c>
      <c r="D1858" s="5" t="s">
        <v>38</v>
      </c>
      <c r="E1858" s="5">
        <v>7.9360573E7</v>
      </c>
      <c r="F1858" s="5" t="s">
        <v>28</v>
      </c>
      <c r="G1858" s="5" t="s">
        <v>44</v>
      </c>
      <c r="H1858" s="5" t="s">
        <v>69</v>
      </c>
      <c r="I1858" s="6" t="s">
        <v>17</v>
      </c>
      <c r="J1858" s="7" t="s">
        <v>34</v>
      </c>
      <c r="K1858" s="7"/>
      <c r="L1858" s="8">
        <v>1.771630290161E12</v>
      </c>
      <c r="M1858" s="9"/>
      <c r="N1858" s="10"/>
      <c r="O1858" s="10"/>
      <c r="P1858" s="10"/>
      <c r="Q1858" s="10"/>
      <c r="R1858" s="10"/>
      <c r="S1858" s="10"/>
      <c r="T1858" s="10"/>
      <c r="U1858" s="10"/>
      <c r="V1858" s="10"/>
    </row>
    <row r="1859" ht="22.5" customHeight="1">
      <c r="A1859" s="5">
        <v>2.04269480004E11</v>
      </c>
      <c r="B1859" s="5" t="s">
        <v>1707</v>
      </c>
      <c r="C1859" s="5">
        <v>5548988435861</v>
      </c>
      <c r="D1859" s="5" t="s">
        <v>22</v>
      </c>
      <c r="E1859" s="5">
        <v>7.9360573E7</v>
      </c>
      <c r="F1859" s="5"/>
      <c r="G1859" s="5" t="s">
        <v>104</v>
      </c>
      <c r="H1859" s="5" t="s">
        <v>55</v>
      </c>
      <c r="I1859" s="6" t="s">
        <v>17</v>
      </c>
      <c r="J1859" s="7" t="s">
        <v>58</v>
      </c>
      <c r="K1859" s="11" t="s">
        <v>59</v>
      </c>
      <c r="L1859" s="8">
        <v>1.771630329617E12</v>
      </c>
      <c r="M1859" s="9"/>
      <c r="N1859" s="10"/>
      <c r="O1859" s="10"/>
      <c r="P1859" s="10"/>
      <c r="Q1859" s="10"/>
      <c r="R1859" s="10"/>
      <c r="S1859" s="10"/>
      <c r="T1859" s="10"/>
      <c r="U1859" s="10"/>
      <c r="V1859" s="10"/>
    </row>
    <row r="1860" ht="22.5" customHeight="1">
      <c r="A1860" s="5">
        <v>2.04288830587E11</v>
      </c>
      <c r="B1860" s="5" t="s">
        <v>1708</v>
      </c>
      <c r="C1860" s="5">
        <v>5566992422818</v>
      </c>
      <c r="D1860" s="5" t="s">
        <v>13</v>
      </c>
      <c r="E1860" s="5">
        <v>7.9360573E7</v>
      </c>
      <c r="F1860" s="5" t="s">
        <v>65</v>
      </c>
      <c r="G1860" s="5" t="s">
        <v>15</v>
      </c>
      <c r="H1860" s="5" t="s">
        <v>114</v>
      </c>
      <c r="I1860" s="6" t="s">
        <v>17</v>
      </c>
      <c r="J1860" s="7" t="s">
        <v>34</v>
      </c>
      <c r="K1860" s="7"/>
      <c r="L1860" s="8">
        <v>1.77163082394E12</v>
      </c>
      <c r="M1860" s="9"/>
      <c r="N1860" s="10"/>
      <c r="O1860" s="10"/>
      <c r="P1860" s="10"/>
      <c r="Q1860" s="10"/>
      <c r="R1860" s="10"/>
      <c r="S1860" s="10"/>
      <c r="T1860" s="10"/>
      <c r="U1860" s="10"/>
      <c r="V1860" s="10"/>
    </row>
    <row r="1861" ht="22.5" customHeight="1">
      <c r="A1861" s="5">
        <v>2.04295691298E11</v>
      </c>
      <c r="B1861" s="5" t="s">
        <v>1709</v>
      </c>
      <c r="C1861" s="5">
        <v>51920808779</v>
      </c>
      <c r="D1861" s="5" t="s">
        <v>38</v>
      </c>
      <c r="E1861" s="5">
        <v>8.7547393E7</v>
      </c>
      <c r="F1861" s="5" t="s">
        <v>28</v>
      </c>
      <c r="G1861" s="5" t="s">
        <v>15</v>
      </c>
      <c r="H1861" s="5" t="s">
        <v>51</v>
      </c>
      <c r="I1861" s="6" t="s">
        <v>17</v>
      </c>
      <c r="J1861" s="7" t="s">
        <v>34</v>
      </c>
      <c r="K1861" s="7"/>
      <c r="L1861" s="8">
        <v>1.771632989345E12</v>
      </c>
      <c r="M1861" s="9"/>
      <c r="N1861" s="10"/>
      <c r="O1861" s="10"/>
      <c r="P1861" s="10"/>
      <c r="Q1861" s="10"/>
      <c r="R1861" s="10"/>
      <c r="S1861" s="10"/>
      <c r="T1861" s="10"/>
      <c r="U1861" s="10"/>
      <c r="V1861" s="10"/>
    </row>
    <row r="1862" ht="22.5" customHeight="1">
      <c r="A1862" s="5">
        <v>2.0427664806E11</v>
      </c>
      <c r="B1862" s="5" t="s">
        <v>1710</v>
      </c>
      <c r="C1862" s="5">
        <v>5544991795790</v>
      </c>
      <c r="D1862" s="5" t="s">
        <v>13</v>
      </c>
      <c r="E1862" s="5">
        <v>7.9360573E7</v>
      </c>
      <c r="F1862" s="5" t="s">
        <v>14</v>
      </c>
      <c r="G1862" s="5" t="s">
        <v>15</v>
      </c>
      <c r="H1862" s="5" t="s">
        <v>24</v>
      </c>
      <c r="I1862" s="6" t="s">
        <v>17</v>
      </c>
      <c r="J1862" s="7" t="s">
        <v>124</v>
      </c>
      <c r="K1862" s="7" t="s">
        <v>1256</v>
      </c>
      <c r="L1862" s="8">
        <v>1.771634367005E12</v>
      </c>
      <c r="M1862" s="9"/>
      <c r="N1862" s="10"/>
      <c r="O1862" s="10"/>
      <c r="P1862" s="10"/>
      <c r="Q1862" s="10"/>
      <c r="R1862" s="10"/>
      <c r="S1862" s="10"/>
      <c r="T1862" s="10"/>
      <c r="U1862" s="10"/>
      <c r="V1862" s="10"/>
    </row>
    <row r="1863" ht="22.5" customHeight="1">
      <c r="A1863" s="5">
        <v>2.04278272406E11</v>
      </c>
      <c r="B1863" s="5" t="s">
        <v>1711</v>
      </c>
      <c r="C1863" s="5">
        <v>5541997165647</v>
      </c>
      <c r="D1863" s="5" t="s">
        <v>38</v>
      </c>
      <c r="E1863" s="5">
        <v>7.9360573E7</v>
      </c>
      <c r="F1863" s="5" t="s">
        <v>28</v>
      </c>
      <c r="G1863" s="5" t="s">
        <v>32</v>
      </c>
      <c r="H1863" s="5" t="s">
        <v>24</v>
      </c>
      <c r="I1863" s="6" t="s">
        <v>17</v>
      </c>
      <c r="J1863" s="7" t="s">
        <v>34</v>
      </c>
      <c r="K1863" s="7"/>
      <c r="L1863" s="8">
        <v>1.771635353512E12</v>
      </c>
      <c r="M1863" s="9"/>
      <c r="N1863" s="10"/>
      <c r="O1863" s="10"/>
      <c r="P1863" s="10"/>
      <c r="Q1863" s="10"/>
      <c r="R1863" s="10"/>
      <c r="S1863" s="10"/>
      <c r="T1863" s="10"/>
      <c r="U1863" s="10"/>
      <c r="V1863" s="10"/>
    </row>
    <row r="1864" ht="22.5" customHeight="1">
      <c r="A1864" s="5">
        <v>2.0429261839E11</v>
      </c>
      <c r="B1864" s="5" t="s">
        <v>1712</v>
      </c>
      <c r="C1864" s="5">
        <v>51955608338</v>
      </c>
      <c r="D1864" s="5" t="s">
        <v>38</v>
      </c>
      <c r="E1864" s="5">
        <v>8.7547393E7</v>
      </c>
      <c r="F1864" s="5"/>
      <c r="G1864" s="5"/>
      <c r="H1864" s="5"/>
      <c r="I1864" s="6"/>
      <c r="J1864" s="7" t="s">
        <v>34</v>
      </c>
      <c r="K1864" s="7"/>
      <c r="L1864" s="8">
        <v>1.771635870314E12</v>
      </c>
      <c r="M1864" s="9"/>
      <c r="N1864" s="10"/>
      <c r="O1864" s="10"/>
      <c r="P1864" s="10"/>
      <c r="Q1864" s="10"/>
      <c r="R1864" s="10"/>
      <c r="S1864" s="10"/>
      <c r="T1864" s="10"/>
      <c r="U1864" s="10"/>
      <c r="V1864" s="10"/>
    </row>
    <row r="1865" ht="22.5" customHeight="1">
      <c r="A1865" s="5">
        <v>2.04276436019E11</v>
      </c>
      <c r="B1865" s="5" t="s">
        <v>1713</v>
      </c>
      <c r="C1865" s="5">
        <v>5511934135688</v>
      </c>
      <c r="D1865" s="5" t="s">
        <v>13</v>
      </c>
      <c r="E1865" s="5">
        <v>7.9360573E7</v>
      </c>
      <c r="F1865" s="5" t="s">
        <v>714</v>
      </c>
      <c r="G1865" s="5" t="s">
        <v>32</v>
      </c>
      <c r="H1865" s="5" t="s">
        <v>16</v>
      </c>
      <c r="I1865" s="6" t="s">
        <v>17</v>
      </c>
      <c r="J1865" s="7" t="s">
        <v>34</v>
      </c>
      <c r="K1865" s="7"/>
      <c r="L1865" s="8">
        <v>1.771636161934E12</v>
      </c>
      <c r="M1865" s="9"/>
      <c r="N1865" s="10"/>
      <c r="O1865" s="10"/>
      <c r="P1865" s="10"/>
      <c r="Q1865" s="10"/>
      <c r="R1865" s="10"/>
      <c r="S1865" s="10"/>
      <c r="T1865" s="10"/>
      <c r="U1865" s="10"/>
      <c r="V1865" s="10"/>
    </row>
    <row r="1866" ht="22.5" customHeight="1">
      <c r="A1866" s="5">
        <v>2.0429618567E11</v>
      </c>
      <c r="B1866" s="5" t="s">
        <v>1714</v>
      </c>
      <c r="C1866" s="5">
        <v>51927529778</v>
      </c>
      <c r="D1866" s="5" t="s">
        <v>13</v>
      </c>
      <c r="E1866" s="5">
        <v>8.0566583E7</v>
      </c>
      <c r="F1866" s="5" t="s">
        <v>39</v>
      </c>
      <c r="G1866" s="5" t="s">
        <v>15</v>
      </c>
      <c r="H1866" s="5" t="s">
        <v>16</v>
      </c>
      <c r="I1866" s="6" t="s">
        <v>17</v>
      </c>
      <c r="J1866" s="7" t="s">
        <v>34</v>
      </c>
      <c r="K1866" s="7"/>
      <c r="L1866" s="8">
        <v>1.771637448524E12</v>
      </c>
      <c r="M1866" s="9"/>
      <c r="N1866" s="10"/>
      <c r="O1866" s="10"/>
      <c r="P1866" s="10"/>
      <c r="Q1866" s="10"/>
      <c r="R1866" s="10"/>
      <c r="S1866" s="10"/>
      <c r="T1866" s="10"/>
      <c r="U1866" s="10"/>
      <c r="V1866" s="10"/>
    </row>
    <row r="1867" ht="22.5" customHeight="1">
      <c r="A1867" s="5">
        <v>2.04296828453E11</v>
      </c>
      <c r="B1867" s="5" t="s">
        <v>1715</v>
      </c>
      <c r="C1867" s="5">
        <v>5519993601307</v>
      </c>
      <c r="D1867" s="5" t="s">
        <v>22</v>
      </c>
      <c r="E1867" s="5">
        <v>7.9360573E7</v>
      </c>
      <c r="F1867" s="5" t="s">
        <v>93</v>
      </c>
      <c r="G1867" s="5" t="s">
        <v>32</v>
      </c>
      <c r="H1867" s="5" t="s">
        <v>66</v>
      </c>
      <c r="I1867" s="6" t="s">
        <v>17</v>
      </c>
      <c r="J1867" s="7" t="s">
        <v>34</v>
      </c>
      <c r="K1867" s="7"/>
      <c r="L1867" s="8">
        <v>1.771638178137E12</v>
      </c>
      <c r="M1867" s="9"/>
      <c r="N1867" s="10"/>
      <c r="O1867" s="10"/>
      <c r="P1867" s="10"/>
      <c r="Q1867" s="10"/>
      <c r="R1867" s="10"/>
      <c r="S1867" s="10"/>
      <c r="T1867" s="10"/>
      <c r="U1867" s="10"/>
      <c r="V1867" s="10"/>
    </row>
    <row r="1868" ht="22.5" customHeight="1">
      <c r="A1868" s="5">
        <v>2.04302368611E11</v>
      </c>
      <c r="B1868" s="5" t="s">
        <v>1716</v>
      </c>
      <c r="C1868" s="5">
        <v>5561990001175</v>
      </c>
      <c r="D1868" s="5" t="s">
        <v>22</v>
      </c>
      <c r="E1868" s="5">
        <v>7.9360573E7</v>
      </c>
      <c r="F1868" s="5" t="s">
        <v>28</v>
      </c>
      <c r="G1868" s="5" t="s">
        <v>44</v>
      </c>
      <c r="H1868" s="5" t="s">
        <v>16</v>
      </c>
      <c r="I1868" s="6" t="s">
        <v>17</v>
      </c>
      <c r="J1868" s="7" t="s">
        <v>34</v>
      </c>
      <c r="K1868" s="7"/>
      <c r="L1868" s="8">
        <v>1.771638381071E12</v>
      </c>
      <c r="M1868" s="9"/>
      <c r="N1868" s="10"/>
      <c r="O1868" s="10"/>
      <c r="P1868" s="10"/>
      <c r="Q1868" s="10"/>
      <c r="R1868" s="10"/>
      <c r="S1868" s="10"/>
      <c r="T1868" s="10"/>
      <c r="U1868" s="10"/>
      <c r="V1868" s="10"/>
    </row>
    <row r="1869" ht="22.5" customHeight="1">
      <c r="A1869" s="5">
        <v>2.04301973301E11</v>
      </c>
      <c r="B1869" s="5" t="s">
        <v>1717</v>
      </c>
      <c r="C1869" s="5">
        <v>51955886969</v>
      </c>
      <c r="D1869" s="5" t="s">
        <v>38</v>
      </c>
      <c r="E1869" s="5">
        <v>8.7547393E7</v>
      </c>
      <c r="F1869" s="5" t="s">
        <v>39</v>
      </c>
      <c r="G1869" s="5" t="s">
        <v>15</v>
      </c>
      <c r="H1869" s="5" t="s">
        <v>16</v>
      </c>
      <c r="I1869" s="6" t="s">
        <v>17</v>
      </c>
      <c r="J1869" s="7" t="s">
        <v>18</v>
      </c>
      <c r="K1869" s="7" t="s">
        <v>19</v>
      </c>
      <c r="L1869" s="8">
        <v>1.771638736492E12</v>
      </c>
      <c r="M1869" s="9"/>
      <c r="N1869" s="10"/>
      <c r="O1869" s="10"/>
      <c r="P1869" s="10"/>
      <c r="Q1869" s="10"/>
      <c r="R1869" s="10"/>
      <c r="S1869" s="10"/>
      <c r="T1869" s="10"/>
      <c r="U1869" s="10"/>
      <c r="V1869" s="10"/>
    </row>
    <row r="1870" ht="22.5" customHeight="1">
      <c r="A1870" s="5">
        <v>2.04304142162E11</v>
      </c>
      <c r="B1870" s="5" t="s">
        <v>1718</v>
      </c>
      <c r="C1870" s="5">
        <v>51955524336</v>
      </c>
      <c r="D1870" s="5" t="s">
        <v>13</v>
      </c>
      <c r="E1870" s="5">
        <v>8.7547393E7</v>
      </c>
      <c r="F1870" s="5" t="s">
        <v>82</v>
      </c>
      <c r="G1870" s="5" t="s">
        <v>15</v>
      </c>
      <c r="H1870" s="5" t="s">
        <v>24</v>
      </c>
      <c r="I1870" s="6" t="s">
        <v>17</v>
      </c>
      <c r="J1870" s="7" t="s">
        <v>18</v>
      </c>
      <c r="K1870" s="7" t="s">
        <v>19</v>
      </c>
      <c r="L1870" s="8">
        <v>1.771639561693E12</v>
      </c>
      <c r="M1870" s="9"/>
      <c r="N1870" s="10"/>
      <c r="O1870" s="10"/>
      <c r="P1870" s="10"/>
      <c r="Q1870" s="10"/>
      <c r="R1870" s="10"/>
      <c r="S1870" s="10"/>
      <c r="T1870" s="10"/>
      <c r="U1870" s="10"/>
      <c r="V1870" s="10"/>
    </row>
    <row r="1871" ht="22.5" customHeight="1">
      <c r="A1871" s="5">
        <v>2.04298126772E11</v>
      </c>
      <c r="B1871" s="5" t="s">
        <v>1719</v>
      </c>
      <c r="C1871" s="5">
        <v>51938695389</v>
      </c>
      <c r="D1871" s="5" t="s">
        <v>13</v>
      </c>
      <c r="E1871" s="5">
        <v>8.0566583E7</v>
      </c>
      <c r="F1871" s="5" t="s">
        <v>28</v>
      </c>
      <c r="G1871" s="5" t="s">
        <v>15</v>
      </c>
      <c r="H1871" s="5" t="s">
        <v>51</v>
      </c>
      <c r="I1871" s="6" t="s">
        <v>17</v>
      </c>
      <c r="J1871" s="7" t="s">
        <v>18</v>
      </c>
      <c r="K1871" s="7" t="s">
        <v>19</v>
      </c>
      <c r="L1871" s="8">
        <v>1.771640163389E12</v>
      </c>
      <c r="M1871" s="9"/>
      <c r="N1871" s="10"/>
      <c r="O1871" s="10"/>
      <c r="P1871" s="10"/>
      <c r="Q1871" s="10"/>
      <c r="R1871" s="10"/>
      <c r="S1871" s="10"/>
      <c r="T1871" s="10"/>
      <c r="U1871" s="10"/>
      <c r="V1871" s="10"/>
    </row>
    <row r="1872" ht="22.5" customHeight="1">
      <c r="A1872" s="5">
        <v>2.04327890752E11</v>
      </c>
      <c r="B1872" s="5" t="s">
        <v>1720</v>
      </c>
      <c r="C1872" s="5">
        <v>51932398437</v>
      </c>
      <c r="D1872" s="5" t="s">
        <v>13</v>
      </c>
      <c r="E1872" s="5">
        <v>8.0566583E7</v>
      </c>
      <c r="F1872" s="5" t="s">
        <v>14</v>
      </c>
      <c r="G1872" s="5" t="s">
        <v>15</v>
      </c>
      <c r="H1872" s="5" t="s">
        <v>16</v>
      </c>
      <c r="I1872" s="6"/>
      <c r="J1872" s="7" t="s">
        <v>18</v>
      </c>
      <c r="K1872" s="7" t="s">
        <v>19</v>
      </c>
      <c r="L1872" s="8">
        <v>1.771640819854E12</v>
      </c>
      <c r="M1872" s="9"/>
      <c r="N1872" s="10"/>
      <c r="O1872" s="10"/>
      <c r="P1872" s="10"/>
      <c r="Q1872" s="10"/>
      <c r="R1872" s="10"/>
      <c r="S1872" s="10"/>
      <c r="T1872" s="10"/>
      <c r="U1872" s="10"/>
      <c r="V1872" s="10"/>
    </row>
    <row r="1873" ht="22.5" customHeight="1">
      <c r="A1873" s="5">
        <v>2.04307530672E11</v>
      </c>
      <c r="B1873" s="5" t="s">
        <v>1721</v>
      </c>
      <c r="C1873" s="5">
        <v>5524936180073</v>
      </c>
      <c r="D1873" s="5" t="s">
        <v>38</v>
      </c>
      <c r="E1873" s="5">
        <v>7.9360573E7</v>
      </c>
      <c r="F1873" s="5"/>
      <c r="G1873" s="5"/>
      <c r="H1873" s="5"/>
      <c r="I1873" s="6"/>
      <c r="J1873" s="7" t="s">
        <v>34</v>
      </c>
      <c r="K1873" s="7"/>
      <c r="L1873" s="8">
        <v>1.771642576318E12</v>
      </c>
      <c r="M1873" s="9"/>
      <c r="N1873" s="10"/>
      <c r="O1873" s="10"/>
      <c r="P1873" s="10"/>
      <c r="Q1873" s="10"/>
      <c r="R1873" s="10"/>
      <c r="S1873" s="10"/>
      <c r="T1873" s="10"/>
      <c r="U1873" s="10"/>
      <c r="V1873" s="10"/>
    </row>
    <row r="1874" ht="22.5" customHeight="1">
      <c r="A1874" s="5">
        <v>2.04331805212E11</v>
      </c>
      <c r="B1874" s="5" t="s">
        <v>1722</v>
      </c>
      <c r="C1874" s="5">
        <v>5551994470954</v>
      </c>
      <c r="D1874" s="5" t="s">
        <v>13</v>
      </c>
      <c r="E1874" s="5">
        <v>7.9360573E7</v>
      </c>
      <c r="F1874" s="5" t="s">
        <v>93</v>
      </c>
      <c r="G1874" s="5" t="s">
        <v>15</v>
      </c>
      <c r="H1874" s="5" t="s">
        <v>114</v>
      </c>
      <c r="I1874" s="6" t="s">
        <v>17</v>
      </c>
      <c r="J1874" s="7" t="s">
        <v>58</v>
      </c>
      <c r="K1874" s="11" t="s">
        <v>59</v>
      </c>
      <c r="L1874" s="8">
        <v>1.771643151186E12</v>
      </c>
      <c r="M1874" s="9"/>
      <c r="N1874" s="10"/>
      <c r="O1874" s="10"/>
      <c r="P1874" s="10"/>
      <c r="Q1874" s="10"/>
      <c r="R1874" s="10"/>
      <c r="S1874" s="10"/>
      <c r="T1874" s="10"/>
      <c r="U1874" s="10"/>
      <c r="V1874" s="10"/>
    </row>
    <row r="1875" ht="22.5" customHeight="1">
      <c r="A1875" s="5">
        <v>2.04306499482E11</v>
      </c>
      <c r="B1875" s="5" t="s">
        <v>1723</v>
      </c>
      <c r="C1875" s="5">
        <v>527716031444</v>
      </c>
      <c r="D1875" s="5" t="s">
        <v>13</v>
      </c>
      <c r="E1875" s="5">
        <v>8.7547393E7</v>
      </c>
      <c r="F1875" s="5" t="s">
        <v>259</v>
      </c>
      <c r="G1875" s="5" t="s">
        <v>15</v>
      </c>
      <c r="H1875" s="5" t="s">
        <v>114</v>
      </c>
      <c r="I1875" s="6" t="s">
        <v>17</v>
      </c>
      <c r="J1875" s="7" t="s">
        <v>34</v>
      </c>
      <c r="K1875" s="7"/>
      <c r="L1875" s="8">
        <v>1.771643490085E12</v>
      </c>
      <c r="M1875" s="9"/>
      <c r="N1875" s="10"/>
      <c r="O1875" s="10"/>
      <c r="P1875" s="10"/>
      <c r="Q1875" s="10"/>
      <c r="R1875" s="10"/>
      <c r="S1875" s="10"/>
      <c r="T1875" s="10"/>
      <c r="U1875" s="10"/>
      <c r="V1875" s="10"/>
    </row>
    <row r="1876" ht="22.5" customHeight="1">
      <c r="A1876" s="5">
        <v>2.04304987138E11</v>
      </c>
      <c r="B1876" s="5" t="s">
        <v>1724</v>
      </c>
      <c r="C1876" s="5">
        <v>5575999685264</v>
      </c>
      <c r="D1876" s="5" t="s">
        <v>13</v>
      </c>
      <c r="E1876" s="5">
        <v>7.9360573E7</v>
      </c>
      <c r="F1876" s="5" t="s">
        <v>510</v>
      </c>
      <c r="G1876" s="5" t="s">
        <v>32</v>
      </c>
      <c r="H1876" s="5" t="s">
        <v>24</v>
      </c>
      <c r="I1876" s="6" t="s">
        <v>17</v>
      </c>
      <c r="J1876" s="7" t="s">
        <v>34</v>
      </c>
      <c r="K1876" s="7"/>
      <c r="L1876" s="8">
        <v>1.771643643673E12</v>
      </c>
      <c r="M1876" s="9"/>
      <c r="N1876" s="10"/>
      <c r="O1876" s="10"/>
      <c r="P1876" s="10"/>
      <c r="Q1876" s="10"/>
      <c r="R1876" s="10"/>
      <c r="S1876" s="10"/>
      <c r="T1876" s="10"/>
      <c r="U1876" s="10"/>
      <c r="V1876" s="10"/>
    </row>
    <row r="1877" ht="22.5" customHeight="1">
      <c r="A1877" s="5">
        <v>1.41366821904E11</v>
      </c>
      <c r="B1877" s="5" t="s">
        <v>1725</v>
      </c>
      <c r="C1877" s="5">
        <v>51939144138</v>
      </c>
      <c r="D1877" s="5" t="s">
        <v>13</v>
      </c>
      <c r="E1877" s="5">
        <v>8.0566583E7</v>
      </c>
      <c r="F1877" s="5" t="s">
        <v>510</v>
      </c>
      <c r="G1877" s="5" t="s">
        <v>79</v>
      </c>
      <c r="H1877" s="5" t="s">
        <v>24</v>
      </c>
      <c r="I1877" s="6" t="s">
        <v>36</v>
      </c>
      <c r="J1877" s="7" t="s">
        <v>18</v>
      </c>
      <c r="K1877" s="7" t="s">
        <v>116</v>
      </c>
      <c r="L1877" s="8">
        <v>1.771644396785E12</v>
      </c>
      <c r="M1877" s="9"/>
      <c r="N1877" s="10"/>
      <c r="O1877" s="10"/>
      <c r="P1877" s="10"/>
      <c r="Q1877" s="10"/>
      <c r="R1877" s="10"/>
      <c r="S1877" s="10"/>
      <c r="T1877" s="10"/>
      <c r="U1877" s="10"/>
      <c r="V1877" s="10"/>
    </row>
    <row r="1878" ht="22.5" customHeight="1">
      <c r="A1878" s="5">
        <v>2.04305068839E11</v>
      </c>
      <c r="B1878" s="5" t="s">
        <v>1726</v>
      </c>
      <c r="C1878" s="5">
        <v>51971286235</v>
      </c>
      <c r="D1878" s="5" t="s">
        <v>103</v>
      </c>
      <c r="E1878" s="5">
        <v>8.0566583E7</v>
      </c>
      <c r="F1878" s="5" t="s">
        <v>28</v>
      </c>
      <c r="G1878" s="5" t="s">
        <v>79</v>
      </c>
      <c r="H1878" s="5" t="s">
        <v>16</v>
      </c>
      <c r="I1878" s="6" t="s">
        <v>63</v>
      </c>
      <c r="J1878" s="7" t="s">
        <v>18</v>
      </c>
      <c r="K1878" s="7" t="s">
        <v>19</v>
      </c>
      <c r="L1878" s="8">
        <v>1.771644837301E12</v>
      </c>
      <c r="M1878" s="9"/>
      <c r="N1878" s="10"/>
      <c r="O1878" s="10"/>
      <c r="P1878" s="10"/>
      <c r="Q1878" s="10"/>
      <c r="R1878" s="10"/>
      <c r="S1878" s="10"/>
      <c r="T1878" s="10"/>
      <c r="U1878" s="10"/>
      <c r="V1878" s="10"/>
    </row>
    <row r="1879" ht="22.5" customHeight="1">
      <c r="A1879" s="5">
        <v>2.04331092626E11</v>
      </c>
      <c r="B1879" s="5" t="s">
        <v>1727</v>
      </c>
      <c r="C1879" s="5">
        <v>51980504952</v>
      </c>
      <c r="D1879" s="5" t="s">
        <v>13</v>
      </c>
      <c r="E1879" s="5">
        <v>8.0566583E7</v>
      </c>
      <c r="F1879" s="5" t="s">
        <v>510</v>
      </c>
      <c r="G1879" s="5" t="s">
        <v>15</v>
      </c>
      <c r="H1879" s="5" t="s">
        <v>51</v>
      </c>
      <c r="I1879" s="6" t="s">
        <v>17</v>
      </c>
      <c r="J1879" s="7" t="s">
        <v>18</v>
      </c>
      <c r="K1879" s="7" t="s">
        <v>19</v>
      </c>
      <c r="L1879" s="8">
        <v>1.771644926432E12</v>
      </c>
      <c r="M1879" s="9"/>
      <c r="N1879" s="10"/>
      <c r="O1879" s="10"/>
      <c r="P1879" s="10"/>
      <c r="Q1879" s="10"/>
      <c r="R1879" s="10"/>
      <c r="S1879" s="10"/>
      <c r="T1879" s="10"/>
      <c r="U1879" s="10"/>
      <c r="V1879" s="10"/>
    </row>
    <row r="1880" ht="22.5" customHeight="1">
      <c r="A1880" s="5">
        <v>2.04331456133E11</v>
      </c>
      <c r="B1880" s="5" t="s">
        <v>1728</v>
      </c>
      <c r="C1880" s="5">
        <v>525562304109</v>
      </c>
      <c r="D1880" s="5" t="s">
        <v>13</v>
      </c>
      <c r="E1880" s="5">
        <v>8.0566583E7</v>
      </c>
      <c r="F1880" s="5" t="s">
        <v>259</v>
      </c>
      <c r="G1880" s="5" t="s">
        <v>15</v>
      </c>
      <c r="H1880" s="5" t="s">
        <v>51</v>
      </c>
      <c r="I1880" s="6" t="s">
        <v>17</v>
      </c>
      <c r="J1880" s="7" t="s">
        <v>18</v>
      </c>
      <c r="K1880" s="7" t="s">
        <v>61</v>
      </c>
      <c r="L1880" s="8">
        <v>1.77164534442E12</v>
      </c>
      <c r="M1880" s="9"/>
      <c r="N1880" s="10"/>
      <c r="O1880" s="10"/>
      <c r="P1880" s="10"/>
      <c r="Q1880" s="10"/>
      <c r="R1880" s="10"/>
      <c r="S1880" s="10"/>
      <c r="T1880" s="10"/>
      <c r="U1880" s="10"/>
      <c r="V1880" s="10"/>
    </row>
    <row r="1881" ht="22.5" customHeight="1">
      <c r="A1881" s="5">
        <v>2.04310294294E11</v>
      </c>
      <c r="B1881" s="5" t="s">
        <v>1729</v>
      </c>
      <c r="C1881" s="5">
        <v>51948444282</v>
      </c>
      <c r="D1881" s="5" t="s">
        <v>13</v>
      </c>
      <c r="E1881" s="5">
        <v>8.7547393E7</v>
      </c>
      <c r="F1881" s="5" t="s">
        <v>714</v>
      </c>
      <c r="G1881" s="5" t="s">
        <v>15</v>
      </c>
      <c r="H1881" s="5" t="s">
        <v>165</v>
      </c>
      <c r="I1881" s="6" t="s">
        <v>17</v>
      </c>
      <c r="J1881" s="7" t="s">
        <v>18</v>
      </c>
      <c r="K1881" s="7" t="s">
        <v>19</v>
      </c>
      <c r="L1881" s="8">
        <v>1.771646335295E12</v>
      </c>
      <c r="M1881" s="9"/>
      <c r="N1881" s="10"/>
      <c r="O1881" s="10"/>
      <c r="P1881" s="10"/>
      <c r="Q1881" s="10"/>
      <c r="R1881" s="10"/>
      <c r="S1881" s="10"/>
      <c r="T1881" s="10"/>
      <c r="U1881" s="10"/>
      <c r="V1881" s="10"/>
    </row>
    <row r="1882" ht="22.5" customHeight="1">
      <c r="A1882" s="5">
        <v>2.04111861262E11</v>
      </c>
      <c r="B1882" s="5" t="s">
        <v>1730</v>
      </c>
      <c r="C1882" s="5">
        <v>5511954328145</v>
      </c>
      <c r="D1882" s="5" t="s">
        <v>13</v>
      </c>
      <c r="E1882" s="5">
        <v>7.9360573E7</v>
      </c>
      <c r="F1882" s="5"/>
      <c r="G1882" s="5"/>
      <c r="H1882" s="5" t="s">
        <v>66</v>
      </c>
      <c r="I1882" s="6" t="s">
        <v>17</v>
      </c>
      <c r="J1882" s="7" t="s">
        <v>124</v>
      </c>
      <c r="K1882" s="7" t="s">
        <v>1256</v>
      </c>
      <c r="L1882" s="8">
        <v>1.771646926246E12</v>
      </c>
      <c r="M1882" s="9"/>
      <c r="N1882" s="10"/>
      <c r="O1882" s="10"/>
      <c r="P1882" s="10"/>
      <c r="Q1882" s="10"/>
      <c r="R1882" s="10"/>
      <c r="S1882" s="10"/>
      <c r="T1882" s="10"/>
      <c r="U1882" s="10"/>
      <c r="V1882" s="10"/>
    </row>
    <row r="1883" ht="22.5" customHeight="1">
      <c r="A1883" s="5">
        <v>2.04331390563E11</v>
      </c>
      <c r="B1883" s="5" t="s">
        <v>1731</v>
      </c>
      <c r="C1883" s="5">
        <v>51903098309</v>
      </c>
      <c r="D1883" s="5" t="s">
        <v>38</v>
      </c>
      <c r="E1883" s="5">
        <v>8.0566583E7</v>
      </c>
      <c r="F1883" s="5"/>
      <c r="G1883" s="5"/>
      <c r="H1883" s="5"/>
      <c r="I1883" s="6"/>
      <c r="J1883" s="7" t="s">
        <v>58</v>
      </c>
      <c r="K1883" s="11" t="s">
        <v>59</v>
      </c>
      <c r="L1883" s="8">
        <v>1.771647241749E12</v>
      </c>
      <c r="M1883" s="9"/>
      <c r="N1883" s="10"/>
      <c r="O1883" s="10"/>
      <c r="P1883" s="10"/>
      <c r="Q1883" s="10"/>
      <c r="R1883" s="10"/>
      <c r="S1883" s="10"/>
      <c r="T1883" s="10"/>
      <c r="U1883" s="10"/>
      <c r="V1883" s="10"/>
    </row>
    <row r="1884" ht="22.5" customHeight="1">
      <c r="A1884" s="5">
        <v>2.00886899228E11</v>
      </c>
      <c r="B1884" s="5" t="s">
        <v>1732</v>
      </c>
      <c r="C1884" s="5">
        <v>529991360226</v>
      </c>
      <c r="D1884" s="5" t="s">
        <v>13</v>
      </c>
      <c r="E1884" s="5">
        <v>8.7547393E7</v>
      </c>
      <c r="F1884" s="5" t="s">
        <v>259</v>
      </c>
      <c r="G1884" s="5" t="s">
        <v>15</v>
      </c>
      <c r="H1884" s="5" t="s">
        <v>24</v>
      </c>
      <c r="I1884" s="6" t="s">
        <v>63</v>
      </c>
      <c r="J1884" s="7" t="s">
        <v>18</v>
      </c>
      <c r="K1884" s="7" t="s">
        <v>61</v>
      </c>
      <c r="L1884" s="8">
        <v>1.771647241128E12</v>
      </c>
      <c r="M1884" s="9"/>
      <c r="N1884" s="10"/>
      <c r="O1884" s="10"/>
      <c r="P1884" s="10"/>
      <c r="Q1884" s="10"/>
      <c r="R1884" s="10"/>
      <c r="S1884" s="10"/>
      <c r="T1884" s="10"/>
      <c r="U1884" s="10"/>
      <c r="V1884" s="10"/>
    </row>
    <row r="1885" ht="22.5" customHeight="1">
      <c r="A1885" s="5">
        <v>1.90123599535E11</v>
      </c>
      <c r="B1885" s="5" t="s">
        <v>1733</v>
      </c>
      <c r="C1885" s="5">
        <v>5568992401106</v>
      </c>
      <c r="D1885" s="5" t="s">
        <v>13</v>
      </c>
      <c r="E1885" s="5">
        <v>7.9360573E7</v>
      </c>
      <c r="F1885" s="5" t="s">
        <v>28</v>
      </c>
      <c r="G1885" s="5" t="s">
        <v>15</v>
      </c>
      <c r="H1885" s="5" t="s">
        <v>29</v>
      </c>
      <c r="I1885" s="6" t="s">
        <v>17</v>
      </c>
      <c r="J1885" s="7" t="s">
        <v>34</v>
      </c>
      <c r="K1885" s="7"/>
      <c r="L1885" s="8">
        <v>1.771647747549E12</v>
      </c>
      <c r="M1885" s="9"/>
      <c r="N1885" s="10"/>
      <c r="O1885" s="10"/>
      <c r="P1885" s="10"/>
      <c r="Q1885" s="10"/>
      <c r="R1885" s="10"/>
      <c r="S1885" s="10"/>
      <c r="T1885" s="10"/>
      <c r="U1885" s="10"/>
      <c r="V1885" s="10"/>
    </row>
    <row r="1886" ht="22.5" customHeight="1">
      <c r="A1886" s="5">
        <v>2.04311312234E11</v>
      </c>
      <c r="B1886" s="5" t="s">
        <v>1734</v>
      </c>
      <c r="C1886" s="5">
        <v>51926579458</v>
      </c>
      <c r="D1886" s="5" t="s">
        <v>13</v>
      </c>
      <c r="E1886" s="5">
        <v>8.0566583E7</v>
      </c>
      <c r="F1886" s="5" t="s">
        <v>39</v>
      </c>
      <c r="G1886" s="5" t="s">
        <v>15</v>
      </c>
      <c r="H1886" s="5" t="s">
        <v>24</v>
      </c>
      <c r="I1886" s="6" t="s">
        <v>17</v>
      </c>
      <c r="J1886" s="7" t="s">
        <v>18</v>
      </c>
      <c r="K1886" s="7" t="s">
        <v>19</v>
      </c>
      <c r="L1886" s="8">
        <v>1.771649338061E12</v>
      </c>
      <c r="M1886" s="9"/>
      <c r="N1886" s="10"/>
      <c r="O1886" s="10"/>
      <c r="P1886" s="10"/>
      <c r="Q1886" s="10"/>
      <c r="R1886" s="10"/>
      <c r="S1886" s="10"/>
      <c r="T1886" s="10"/>
      <c r="U1886" s="10"/>
      <c r="V1886" s="10"/>
    </row>
    <row r="1887" ht="22.5" customHeight="1">
      <c r="A1887" s="5">
        <v>2.04315250574E11</v>
      </c>
      <c r="B1887" s="5" t="s">
        <v>1735</v>
      </c>
      <c r="C1887" s="5">
        <v>527712134297</v>
      </c>
      <c r="D1887" s="5" t="s">
        <v>13</v>
      </c>
      <c r="E1887" s="5">
        <v>8.7547393E7</v>
      </c>
      <c r="F1887" s="5" t="s">
        <v>42</v>
      </c>
      <c r="G1887" s="5" t="s">
        <v>15</v>
      </c>
      <c r="H1887" s="5" t="s">
        <v>51</v>
      </c>
      <c r="I1887" s="6" t="s">
        <v>17</v>
      </c>
      <c r="J1887" s="7" t="s">
        <v>18</v>
      </c>
      <c r="K1887" s="7" t="s">
        <v>61</v>
      </c>
      <c r="L1887" s="8">
        <v>1.771650922404E12</v>
      </c>
      <c r="M1887" s="9"/>
      <c r="N1887" s="10"/>
      <c r="O1887" s="10"/>
      <c r="P1887" s="10"/>
      <c r="Q1887" s="10"/>
      <c r="R1887" s="10"/>
      <c r="S1887" s="10"/>
      <c r="T1887" s="10"/>
      <c r="U1887" s="10"/>
      <c r="V1887" s="10"/>
    </row>
    <row r="1888" ht="22.5" customHeight="1">
      <c r="A1888" s="5">
        <v>2.04329629732E11</v>
      </c>
      <c r="B1888" s="5" t="s">
        <v>1736</v>
      </c>
      <c r="C1888" s="5">
        <v>529531221362</v>
      </c>
      <c r="D1888" s="5" t="s">
        <v>13</v>
      </c>
      <c r="E1888" s="5">
        <v>8.0566583E7</v>
      </c>
      <c r="F1888" s="5" t="s">
        <v>42</v>
      </c>
      <c r="G1888" s="5" t="s">
        <v>15</v>
      </c>
      <c r="H1888" s="5" t="s">
        <v>69</v>
      </c>
      <c r="I1888" s="6" t="s">
        <v>36</v>
      </c>
      <c r="J1888" s="7" t="s">
        <v>18</v>
      </c>
      <c r="K1888" s="7" t="s">
        <v>61</v>
      </c>
      <c r="L1888" s="8">
        <v>1.771651425314E12</v>
      </c>
      <c r="M1888" s="9"/>
      <c r="N1888" s="10"/>
      <c r="O1888" s="10"/>
      <c r="P1888" s="10"/>
      <c r="Q1888" s="10"/>
      <c r="R1888" s="10"/>
      <c r="S1888" s="10"/>
      <c r="T1888" s="10"/>
      <c r="U1888" s="10"/>
      <c r="V1888" s="10"/>
    </row>
    <row r="1889" ht="22.5" customHeight="1">
      <c r="A1889" s="5">
        <v>2.04328134295E11</v>
      </c>
      <c r="B1889" s="5" t="s">
        <v>1737</v>
      </c>
      <c r="C1889" s="5">
        <v>5514997379466</v>
      </c>
      <c r="D1889" s="5" t="s">
        <v>13</v>
      </c>
      <c r="E1889" s="5">
        <v>7.9360573E7</v>
      </c>
      <c r="F1889" s="5" t="s">
        <v>28</v>
      </c>
      <c r="G1889" s="5" t="s">
        <v>15</v>
      </c>
      <c r="H1889" s="5" t="s">
        <v>24</v>
      </c>
      <c r="I1889" s="6" t="s">
        <v>17</v>
      </c>
      <c r="J1889" s="7" t="s">
        <v>34</v>
      </c>
      <c r="K1889" s="7"/>
      <c r="L1889" s="8">
        <v>1.771651624683E12</v>
      </c>
      <c r="M1889" s="9"/>
      <c r="N1889" s="10"/>
      <c r="O1889" s="10"/>
      <c r="P1889" s="10"/>
      <c r="Q1889" s="10"/>
      <c r="R1889" s="10"/>
      <c r="S1889" s="10"/>
      <c r="T1889" s="10"/>
      <c r="U1889" s="10"/>
      <c r="V1889" s="10"/>
    </row>
    <row r="1890" ht="22.5" customHeight="1">
      <c r="A1890" s="5">
        <v>2.04339625732E11</v>
      </c>
      <c r="B1890" s="5" t="s">
        <v>1738</v>
      </c>
      <c r="C1890" s="5">
        <v>51929371467</v>
      </c>
      <c r="D1890" s="5" t="s">
        <v>13</v>
      </c>
      <c r="E1890" s="5">
        <v>8.7547393E7</v>
      </c>
      <c r="F1890" s="5" t="s">
        <v>259</v>
      </c>
      <c r="G1890" s="5" t="s">
        <v>32</v>
      </c>
      <c r="H1890" s="5" t="s">
        <v>24</v>
      </c>
      <c r="I1890" s="6" t="s">
        <v>17</v>
      </c>
      <c r="J1890" s="7" t="s">
        <v>25</v>
      </c>
      <c r="K1890" s="7" t="s">
        <v>26</v>
      </c>
      <c r="L1890" s="8">
        <v>1.771653225294E12</v>
      </c>
      <c r="M1890" s="9"/>
      <c r="N1890" s="10"/>
      <c r="O1890" s="10"/>
      <c r="P1890" s="10"/>
      <c r="Q1890" s="10"/>
      <c r="R1890" s="10"/>
      <c r="S1890" s="10"/>
      <c r="T1890" s="10"/>
      <c r="U1890" s="10"/>
      <c r="V1890" s="10"/>
    </row>
    <row r="1891" ht="22.5" customHeight="1">
      <c r="A1891" s="5">
        <v>2.04339477385E11</v>
      </c>
      <c r="B1891" s="5" t="s">
        <v>1739</v>
      </c>
      <c r="C1891" s="5">
        <v>51921331576</v>
      </c>
      <c r="D1891" s="5" t="s">
        <v>13</v>
      </c>
      <c r="E1891" s="5">
        <v>8.7547393E7</v>
      </c>
      <c r="F1891" s="5" t="s">
        <v>259</v>
      </c>
      <c r="G1891" s="5" t="s">
        <v>15</v>
      </c>
      <c r="H1891" s="5" t="s">
        <v>51</v>
      </c>
      <c r="I1891" s="6" t="s">
        <v>17</v>
      </c>
      <c r="J1891" s="7" t="s">
        <v>18</v>
      </c>
      <c r="K1891" s="7" t="s">
        <v>19</v>
      </c>
      <c r="L1891" s="8">
        <v>1.771653683673E12</v>
      </c>
      <c r="M1891" s="9"/>
      <c r="N1891" s="10"/>
      <c r="O1891" s="10"/>
      <c r="P1891" s="10"/>
      <c r="Q1891" s="10"/>
      <c r="R1891" s="10"/>
      <c r="S1891" s="10"/>
      <c r="T1891" s="10"/>
      <c r="U1891" s="10"/>
      <c r="V1891" s="10"/>
    </row>
    <row r="1892" ht="22.5" customHeight="1">
      <c r="A1892" s="5">
        <v>2.04315056268E11</v>
      </c>
      <c r="B1892" s="5" t="s">
        <v>1740</v>
      </c>
      <c r="C1892" s="5">
        <v>51993990119</v>
      </c>
      <c r="D1892" s="5" t="s">
        <v>13</v>
      </c>
      <c r="E1892" s="5">
        <v>8.7547393E7</v>
      </c>
      <c r="F1892" s="5" t="s">
        <v>42</v>
      </c>
      <c r="G1892" s="5" t="s">
        <v>15</v>
      </c>
      <c r="H1892" s="5" t="s">
        <v>24</v>
      </c>
      <c r="I1892" s="6" t="s">
        <v>17</v>
      </c>
      <c r="J1892" s="7" t="s">
        <v>18</v>
      </c>
      <c r="K1892" s="7" t="s">
        <v>19</v>
      </c>
      <c r="L1892" s="8">
        <v>1.771655029464E12</v>
      </c>
      <c r="M1892" s="9"/>
      <c r="N1892" s="10"/>
      <c r="O1892" s="10"/>
      <c r="P1892" s="10"/>
      <c r="Q1892" s="10"/>
      <c r="R1892" s="10"/>
      <c r="S1892" s="10"/>
      <c r="T1892" s="10"/>
      <c r="U1892" s="10"/>
      <c r="V1892" s="10"/>
    </row>
    <row r="1893" ht="22.5" customHeight="1">
      <c r="A1893" s="5">
        <v>2.04338537566E11</v>
      </c>
      <c r="B1893" s="5" t="s">
        <v>1741</v>
      </c>
      <c r="C1893" s="5">
        <v>526181103063</v>
      </c>
      <c r="D1893" s="5" t="s">
        <v>13</v>
      </c>
      <c r="E1893" s="5">
        <v>8.7547393E7</v>
      </c>
      <c r="F1893" s="5" t="s">
        <v>39</v>
      </c>
      <c r="G1893" s="5" t="s">
        <v>15</v>
      </c>
      <c r="H1893" s="5" t="s">
        <v>51</v>
      </c>
      <c r="I1893" s="6" t="s">
        <v>17</v>
      </c>
      <c r="J1893" s="7" t="s">
        <v>18</v>
      </c>
      <c r="K1893" s="7" t="s">
        <v>61</v>
      </c>
      <c r="L1893" s="8">
        <v>1.771660245418E12</v>
      </c>
      <c r="M1893" s="9"/>
      <c r="N1893" s="10"/>
      <c r="O1893" s="10"/>
      <c r="P1893" s="10"/>
      <c r="Q1893" s="10"/>
      <c r="R1893" s="10"/>
      <c r="S1893" s="10"/>
      <c r="T1893" s="10"/>
      <c r="U1893" s="10"/>
      <c r="V1893" s="10"/>
    </row>
    <row r="1894" ht="22.5" customHeight="1">
      <c r="A1894" s="5">
        <v>2.04320392791E11</v>
      </c>
      <c r="B1894" s="5" t="s">
        <v>1742</v>
      </c>
      <c r="C1894" s="5">
        <v>5568996018040</v>
      </c>
      <c r="D1894" s="5" t="s">
        <v>13</v>
      </c>
      <c r="E1894" s="5">
        <v>7.9360573E7</v>
      </c>
      <c r="F1894" s="5" t="s">
        <v>510</v>
      </c>
      <c r="G1894" s="5" t="s">
        <v>32</v>
      </c>
      <c r="H1894" s="5" t="s">
        <v>33</v>
      </c>
      <c r="I1894" s="6" t="s">
        <v>17</v>
      </c>
      <c r="J1894" s="7" t="s">
        <v>34</v>
      </c>
      <c r="K1894" s="7"/>
      <c r="L1894" s="8">
        <v>1.771660461335E12</v>
      </c>
      <c r="M1894" s="9"/>
      <c r="N1894" s="10"/>
      <c r="O1894" s="10"/>
      <c r="P1894" s="10"/>
      <c r="Q1894" s="10"/>
      <c r="R1894" s="10"/>
      <c r="S1894" s="10"/>
      <c r="T1894" s="10"/>
      <c r="U1894" s="10"/>
      <c r="V1894" s="10"/>
    </row>
    <row r="1895" ht="22.5" customHeight="1">
      <c r="A1895" s="5">
        <v>1.94192543844E11</v>
      </c>
      <c r="B1895" s="5" t="s">
        <v>1743</v>
      </c>
      <c r="C1895" s="5">
        <v>5585991408575</v>
      </c>
      <c r="D1895" s="5" t="s">
        <v>13</v>
      </c>
      <c r="E1895" s="5">
        <v>7.9360573E7</v>
      </c>
      <c r="F1895" s="5" t="s">
        <v>259</v>
      </c>
      <c r="G1895" s="5" t="s">
        <v>32</v>
      </c>
      <c r="H1895" s="5" t="s">
        <v>24</v>
      </c>
      <c r="I1895" s="6" t="s">
        <v>17</v>
      </c>
      <c r="J1895" s="7" t="s">
        <v>34</v>
      </c>
      <c r="K1895" s="7"/>
      <c r="L1895" s="8">
        <v>1.771667714176E12</v>
      </c>
      <c r="M1895" s="9"/>
      <c r="N1895" s="10"/>
      <c r="O1895" s="10"/>
      <c r="P1895" s="10"/>
      <c r="Q1895" s="10"/>
      <c r="R1895" s="10"/>
      <c r="S1895" s="10"/>
      <c r="T1895" s="10"/>
      <c r="U1895" s="10"/>
      <c r="V1895" s="10"/>
    </row>
    <row r="1896" ht="22.5" customHeight="1">
      <c r="A1896" s="5">
        <v>2.04345463354E11</v>
      </c>
      <c r="B1896" s="5" t="s">
        <v>1744</v>
      </c>
      <c r="C1896" s="5">
        <v>51998866393</v>
      </c>
      <c r="D1896" s="5" t="s">
        <v>13</v>
      </c>
      <c r="E1896" s="5">
        <v>8.0566583E7</v>
      </c>
      <c r="F1896" s="5" t="s">
        <v>42</v>
      </c>
      <c r="G1896" s="5" t="s">
        <v>15</v>
      </c>
      <c r="H1896" s="5" t="s">
        <v>16</v>
      </c>
      <c r="I1896" s="6" t="s">
        <v>17</v>
      </c>
      <c r="J1896" s="7" t="s">
        <v>18</v>
      </c>
      <c r="K1896" s="7" t="s">
        <v>19</v>
      </c>
      <c r="L1896" s="8">
        <v>1.77166790751E12</v>
      </c>
      <c r="M1896" s="9"/>
      <c r="N1896" s="10"/>
      <c r="O1896" s="10"/>
      <c r="P1896" s="10"/>
      <c r="Q1896" s="10"/>
      <c r="R1896" s="10"/>
      <c r="S1896" s="10"/>
      <c r="T1896" s="10"/>
      <c r="U1896" s="10"/>
      <c r="V1896" s="10"/>
    </row>
    <row r="1897" ht="22.5" customHeight="1">
      <c r="A1897" s="5">
        <v>1.89342749507E11</v>
      </c>
      <c r="B1897" s="5" t="s">
        <v>1745</v>
      </c>
      <c r="C1897" s="5">
        <v>51921311630</v>
      </c>
      <c r="D1897" s="5" t="s">
        <v>13</v>
      </c>
      <c r="E1897" s="5">
        <v>8.7547393E7</v>
      </c>
      <c r="F1897" s="5" t="s">
        <v>42</v>
      </c>
      <c r="G1897" s="5" t="s">
        <v>15</v>
      </c>
      <c r="H1897" s="5" t="s">
        <v>51</v>
      </c>
      <c r="I1897" s="6" t="s">
        <v>63</v>
      </c>
      <c r="J1897" s="7" t="s">
        <v>18</v>
      </c>
      <c r="K1897" s="7" t="s">
        <v>746</v>
      </c>
      <c r="L1897" s="8">
        <v>1.771669085916E12</v>
      </c>
      <c r="M1897" s="9"/>
      <c r="N1897" s="10"/>
      <c r="O1897" s="10"/>
      <c r="P1897" s="10"/>
      <c r="Q1897" s="10"/>
      <c r="R1897" s="10"/>
      <c r="S1897" s="10"/>
      <c r="T1897" s="10"/>
      <c r="U1897" s="10"/>
      <c r="V1897" s="10"/>
    </row>
    <row r="1898" ht="22.5" customHeight="1">
      <c r="A1898" s="5">
        <v>2.04325919614E11</v>
      </c>
      <c r="B1898" s="5" t="s">
        <v>1746</v>
      </c>
      <c r="C1898" s="5">
        <v>51986342687</v>
      </c>
      <c r="D1898" s="5" t="s">
        <v>38</v>
      </c>
      <c r="E1898" s="5">
        <v>8.0566583E7</v>
      </c>
      <c r="F1898" s="5" t="s">
        <v>259</v>
      </c>
      <c r="G1898" s="5" t="s">
        <v>15</v>
      </c>
      <c r="H1898" s="5" t="s">
        <v>51</v>
      </c>
      <c r="I1898" s="6" t="s">
        <v>17</v>
      </c>
      <c r="J1898" s="7" t="s">
        <v>18</v>
      </c>
      <c r="K1898" s="7" t="s">
        <v>19</v>
      </c>
      <c r="L1898" s="8">
        <v>1.77167038826E12</v>
      </c>
      <c r="M1898" s="9"/>
      <c r="N1898" s="10"/>
      <c r="O1898" s="10"/>
      <c r="P1898" s="10"/>
      <c r="Q1898" s="10"/>
      <c r="R1898" s="10"/>
      <c r="S1898" s="10"/>
      <c r="T1898" s="10"/>
      <c r="U1898" s="10"/>
      <c r="V1898" s="10"/>
    </row>
    <row r="1899" ht="22.5" customHeight="1">
      <c r="A1899" s="5">
        <v>2.04365737017E11</v>
      </c>
      <c r="B1899" s="5" t="s">
        <v>1747</v>
      </c>
      <c r="C1899" s="5">
        <v>5534984403419</v>
      </c>
      <c r="D1899" s="5" t="s">
        <v>103</v>
      </c>
      <c r="E1899" s="5">
        <v>7.9360573E7</v>
      </c>
      <c r="F1899" s="5" t="s">
        <v>259</v>
      </c>
      <c r="G1899" s="5" t="s">
        <v>79</v>
      </c>
      <c r="H1899" s="5" t="s">
        <v>80</v>
      </c>
      <c r="I1899" s="6" t="s">
        <v>36</v>
      </c>
      <c r="J1899" s="7" t="s">
        <v>34</v>
      </c>
      <c r="K1899" s="7"/>
      <c r="L1899" s="8">
        <v>1.771671719959E12</v>
      </c>
      <c r="M1899" s="9"/>
      <c r="N1899" s="10"/>
      <c r="O1899" s="10"/>
      <c r="P1899" s="10"/>
      <c r="Q1899" s="10"/>
      <c r="R1899" s="10"/>
      <c r="S1899" s="10"/>
      <c r="T1899" s="10"/>
      <c r="U1899" s="10"/>
      <c r="V1899" s="10"/>
    </row>
    <row r="1900" ht="22.5" customHeight="1">
      <c r="A1900" s="5">
        <v>2.04366220147E11</v>
      </c>
      <c r="B1900" s="5" t="s">
        <v>1748</v>
      </c>
      <c r="C1900" s="5">
        <v>522225541754</v>
      </c>
      <c r="D1900" s="5" t="s">
        <v>22</v>
      </c>
      <c r="E1900" s="5">
        <v>8.0566583E7</v>
      </c>
      <c r="F1900" s="5" t="s">
        <v>93</v>
      </c>
      <c r="G1900" s="5" t="s">
        <v>32</v>
      </c>
      <c r="H1900" s="5" t="s">
        <v>33</v>
      </c>
      <c r="I1900" s="6" t="s">
        <v>17</v>
      </c>
      <c r="J1900" s="7" t="s">
        <v>34</v>
      </c>
      <c r="K1900" s="7"/>
      <c r="L1900" s="8">
        <v>1.771672055891E12</v>
      </c>
      <c r="M1900" s="9"/>
      <c r="N1900" s="10"/>
      <c r="O1900" s="10"/>
      <c r="P1900" s="10"/>
      <c r="Q1900" s="10"/>
      <c r="R1900" s="10"/>
      <c r="S1900" s="10"/>
      <c r="T1900" s="10"/>
      <c r="U1900" s="10"/>
      <c r="V1900" s="10"/>
    </row>
    <row r="1901" ht="22.5" customHeight="1">
      <c r="A1901" s="5">
        <v>2.04366631489E11</v>
      </c>
      <c r="B1901" s="5" t="s">
        <v>1749</v>
      </c>
      <c r="C1901" s="5">
        <v>5561984579557</v>
      </c>
      <c r="D1901" s="5" t="s">
        <v>13</v>
      </c>
      <c r="E1901" s="5">
        <v>7.9360573E7</v>
      </c>
      <c r="F1901" s="5" t="s">
        <v>93</v>
      </c>
      <c r="G1901" s="5" t="s">
        <v>15</v>
      </c>
      <c r="H1901" s="5" t="s">
        <v>51</v>
      </c>
      <c r="I1901" s="6" t="s">
        <v>17</v>
      </c>
      <c r="J1901" s="7" t="s">
        <v>34</v>
      </c>
      <c r="K1901" s="7"/>
      <c r="L1901" s="8">
        <v>1.771673987057E12</v>
      </c>
      <c r="M1901" s="9"/>
      <c r="N1901" s="10"/>
      <c r="O1901" s="10"/>
      <c r="P1901" s="10"/>
      <c r="Q1901" s="10"/>
      <c r="R1901" s="10"/>
      <c r="S1901" s="10"/>
      <c r="T1901" s="10"/>
      <c r="U1901" s="10"/>
      <c r="V1901" s="10"/>
    </row>
    <row r="1902" ht="22.5" customHeight="1">
      <c r="A1902" s="5">
        <v>2.04368518548E11</v>
      </c>
      <c r="B1902" s="5" t="s">
        <v>1750</v>
      </c>
      <c r="C1902" s="5">
        <v>5582998336123</v>
      </c>
      <c r="D1902" s="5" t="s">
        <v>13</v>
      </c>
      <c r="E1902" s="5">
        <v>7.9360573E7</v>
      </c>
      <c r="F1902" s="5" t="s">
        <v>28</v>
      </c>
      <c r="G1902" s="5" t="s">
        <v>15</v>
      </c>
      <c r="H1902" s="5" t="s">
        <v>24</v>
      </c>
      <c r="I1902" s="6" t="s">
        <v>17</v>
      </c>
      <c r="J1902" s="7" t="s">
        <v>34</v>
      </c>
      <c r="K1902" s="7"/>
      <c r="L1902" s="8">
        <v>1.771675710436E12</v>
      </c>
      <c r="M1902" s="9"/>
      <c r="N1902" s="10"/>
      <c r="O1902" s="10"/>
      <c r="P1902" s="10"/>
      <c r="Q1902" s="10"/>
      <c r="R1902" s="10"/>
      <c r="S1902" s="10"/>
      <c r="T1902" s="10"/>
      <c r="U1902" s="10"/>
      <c r="V1902" s="10"/>
    </row>
    <row r="1903" ht="22.5" customHeight="1">
      <c r="A1903" s="5">
        <v>2.04365439253E11</v>
      </c>
      <c r="B1903" s="5" t="s">
        <v>1751</v>
      </c>
      <c r="C1903" s="5">
        <v>51990904029</v>
      </c>
      <c r="D1903" s="5" t="s">
        <v>13</v>
      </c>
      <c r="E1903" s="5">
        <v>8.7547393E7</v>
      </c>
      <c r="F1903" s="5" t="s">
        <v>14</v>
      </c>
      <c r="G1903" s="5" t="s">
        <v>15</v>
      </c>
      <c r="H1903" s="5" t="s">
        <v>24</v>
      </c>
      <c r="I1903" s="6" t="s">
        <v>17</v>
      </c>
      <c r="J1903" s="7" t="s">
        <v>18</v>
      </c>
      <c r="K1903" s="7" t="s">
        <v>19</v>
      </c>
      <c r="L1903" s="8">
        <v>1.771675788497E12</v>
      </c>
      <c r="M1903" s="9"/>
      <c r="N1903" s="10"/>
      <c r="O1903" s="10"/>
      <c r="P1903" s="10"/>
      <c r="Q1903" s="10"/>
      <c r="R1903" s="10"/>
      <c r="S1903" s="10"/>
      <c r="T1903" s="10"/>
      <c r="U1903" s="10"/>
      <c r="V1903" s="10"/>
    </row>
    <row r="1904" ht="22.5" customHeight="1">
      <c r="A1904" s="5">
        <v>2.04353708085E11</v>
      </c>
      <c r="B1904" s="5" t="s">
        <v>1752</v>
      </c>
      <c r="C1904" s="5">
        <v>51907102116</v>
      </c>
      <c r="D1904" s="5" t="s">
        <v>13</v>
      </c>
      <c r="E1904" s="5">
        <v>8.7547393E7</v>
      </c>
      <c r="F1904" s="5" t="s">
        <v>65</v>
      </c>
      <c r="G1904" s="5" t="s">
        <v>15</v>
      </c>
      <c r="H1904" s="5" t="s">
        <v>51</v>
      </c>
      <c r="I1904" s="6" t="s">
        <v>17</v>
      </c>
      <c r="J1904" s="7" t="s">
        <v>124</v>
      </c>
      <c r="K1904" s="7" t="s">
        <v>125</v>
      </c>
      <c r="L1904" s="8">
        <v>1.771676305319E12</v>
      </c>
      <c r="M1904" s="9"/>
      <c r="N1904" s="10"/>
      <c r="O1904" s="10"/>
      <c r="P1904" s="10"/>
      <c r="Q1904" s="10"/>
      <c r="R1904" s="10"/>
      <c r="S1904" s="10"/>
      <c r="T1904" s="10"/>
      <c r="U1904" s="10"/>
      <c r="V1904" s="10"/>
    </row>
    <row r="1905" ht="22.5" customHeight="1">
      <c r="A1905" s="5">
        <v>2.04365569178E11</v>
      </c>
      <c r="B1905" s="5" t="s">
        <v>1753</v>
      </c>
      <c r="C1905" s="5">
        <v>51930681693</v>
      </c>
      <c r="D1905" s="5" t="s">
        <v>13</v>
      </c>
      <c r="E1905" s="5">
        <v>8.0566583E7</v>
      </c>
      <c r="F1905" s="5" t="s">
        <v>259</v>
      </c>
      <c r="G1905" s="5" t="s">
        <v>15</v>
      </c>
      <c r="H1905" s="5" t="s">
        <v>16</v>
      </c>
      <c r="I1905" s="6"/>
      <c r="J1905" s="7" t="s">
        <v>18</v>
      </c>
      <c r="K1905" s="7" t="s">
        <v>116</v>
      </c>
      <c r="L1905" s="8">
        <v>1.771677291357E12</v>
      </c>
      <c r="M1905" s="9"/>
      <c r="N1905" s="10"/>
      <c r="O1905" s="10"/>
      <c r="P1905" s="10"/>
      <c r="Q1905" s="10"/>
      <c r="R1905" s="10"/>
      <c r="S1905" s="10"/>
      <c r="T1905" s="10"/>
      <c r="U1905" s="10"/>
      <c r="V1905" s="10"/>
    </row>
    <row r="1906" ht="22.5" customHeight="1">
      <c r="A1906" s="5">
        <v>2.04369062673E11</v>
      </c>
      <c r="B1906" s="5" t="s">
        <v>1754</v>
      </c>
      <c r="C1906" s="5">
        <v>51913769781</v>
      </c>
      <c r="D1906" s="5" t="s">
        <v>13</v>
      </c>
      <c r="E1906" s="5">
        <v>8.7547393E7</v>
      </c>
      <c r="F1906" s="5" t="s">
        <v>28</v>
      </c>
      <c r="G1906" s="5" t="s">
        <v>15</v>
      </c>
      <c r="H1906" s="5" t="s">
        <v>24</v>
      </c>
      <c r="I1906" s="6" t="s">
        <v>17</v>
      </c>
      <c r="J1906" s="7" t="s">
        <v>18</v>
      </c>
      <c r="K1906" s="7" t="s">
        <v>19</v>
      </c>
      <c r="L1906" s="8">
        <v>1.771677437105E12</v>
      </c>
      <c r="M1906" s="9"/>
      <c r="N1906" s="10"/>
      <c r="O1906" s="10"/>
      <c r="P1906" s="10"/>
      <c r="Q1906" s="10"/>
      <c r="R1906" s="10"/>
      <c r="S1906" s="10"/>
      <c r="T1906" s="10"/>
      <c r="U1906" s="10"/>
      <c r="V1906" s="10"/>
    </row>
    <row r="1907" ht="22.5" customHeight="1">
      <c r="A1907" s="5">
        <v>2.043700135E11</v>
      </c>
      <c r="B1907" s="5" t="s">
        <v>1755</v>
      </c>
      <c r="C1907" s="5">
        <v>51984429371</v>
      </c>
      <c r="D1907" s="5" t="s">
        <v>13</v>
      </c>
      <c r="E1907" s="5">
        <v>8.7547393E7</v>
      </c>
      <c r="F1907" s="5" t="s">
        <v>14</v>
      </c>
      <c r="G1907" s="5" t="s">
        <v>15</v>
      </c>
      <c r="H1907" s="5" t="s">
        <v>51</v>
      </c>
      <c r="I1907" s="6" t="s">
        <v>17</v>
      </c>
      <c r="J1907" s="7" t="s">
        <v>18</v>
      </c>
      <c r="K1907" s="7" t="s">
        <v>19</v>
      </c>
      <c r="L1907" s="8">
        <v>1.771677742553E12</v>
      </c>
      <c r="M1907" s="9"/>
      <c r="N1907" s="10"/>
      <c r="O1907" s="10"/>
      <c r="P1907" s="10"/>
      <c r="Q1907" s="10"/>
      <c r="R1907" s="10"/>
      <c r="S1907" s="10"/>
      <c r="T1907" s="10"/>
      <c r="U1907" s="10"/>
      <c r="V1907" s="10"/>
    </row>
    <row r="1908" ht="22.5" customHeight="1">
      <c r="A1908" s="5">
        <v>2.04358065584E11</v>
      </c>
      <c r="B1908" s="5" t="s">
        <v>1756</v>
      </c>
      <c r="C1908" s="5">
        <v>51978143707</v>
      </c>
      <c r="D1908" s="5" t="s">
        <v>13</v>
      </c>
      <c r="E1908" s="5">
        <v>8.7547393E7</v>
      </c>
      <c r="F1908" s="5" t="s">
        <v>14</v>
      </c>
      <c r="G1908" s="5" t="s">
        <v>32</v>
      </c>
      <c r="H1908" s="5" t="s">
        <v>24</v>
      </c>
      <c r="I1908" s="6" t="s">
        <v>17</v>
      </c>
      <c r="J1908" s="7" t="s">
        <v>58</v>
      </c>
      <c r="K1908" s="11" t="s">
        <v>59</v>
      </c>
      <c r="L1908" s="8">
        <v>1.771678521324E12</v>
      </c>
      <c r="M1908" s="9"/>
      <c r="N1908" s="10"/>
      <c r="O1908" s="10"/>
      <c r="P1908" s="10"/>
      <c r="Q1908" s="10"/>
      <c r="R1908" s="10"/>
      <c r="S1908" s="10"/>
      <c r="T1908" s="10"/>
      <c r="U1908" s="10"/>
      <c r="V1908" s="10"/>
    </row>
    <row r="1909" ht="22.5" customHeight="1">
      <c r="A1909" s="5">
        <v>2.0158018793E11</v>
      </c>
      <c r="B1909" s="5" t="s">
        <v>1757</v>
      </c>
      <c r="C1909" s="5">
        <v>51916667084</v>
      </c>
      <c r="D1909" s="5" t="s">
        <v>38</v>
      </c>
      <c r="E1909" s="5">
        <v>8.7547393E7</v>
      </c>
      <c r="F1909" s="5" t="s">
        <v>259</v>
      </c>
      <c r="G1909" s="5" t="s">
        <v>15</v>
      </c>
      <c r="H1909" s="5" t="s">
        <v>51</v>
      </c>
      <c r="I1909" s="6" t="s">
        <v>49</v>
      </c>
      <c r="J1909" s="7" t="s">
        <v>18</v>
      </c>
      <c r="K1909" s="7" t="s">
        <v>19</v>
      </c>
      <c r="L1909" s="8">
        <v>1.771678984106E12</v>
      </c>
      <c r="M1909" s="9"/>
      <c r="N1909" s="10"/>
      <c r="O1909" s="10"/>
      <c r="P1909" s="10"/>
      <c r="Q1909" s="10"/>
      <c r="R1909" s="10"/>
      <c r="S1909" s="10"/>
      <c r="T1909" s="10"/>
      <c r="U1909" s="10"/>
      <c r="V1909" s="10"/>
    </row>
    <row r="1910" ht="22.5" customHeight="1">
      <c r="A1910" s="5">
        <v>2.04371417487E11</v>
      </c>
      <c r="B1910" s="5" t="s">
        <v>1758</v>
      </c>
      <c r="C1910" s="5">
        <v>51906535208</v>
      </c>
      <c r="D1910" s="5" t="s">
        <v>38</v>
      </c>
      <c r="E1910" s="5">
        <v>8.7547393E7</v>
      </c>
      <c r="F1910" s="5"/>
      <c r="G1910" s="5"/>
      <c r="H1910" s="5"/>
      <c r="I1910" s="6"/>
      <c r="J1910" s="7" t="s">
        <v>18</v>
      </c>
      <c r="K1910" s="7" t="s">
        <v>19</v>
      </c>
      <c r="L1910" s="8">
        <v>1.771679234182E12</v>
      </c>
      <c r="M1910" s="9"/>
      <c r="N1910" s="10"/>
      <c r="O1910" s="10"/>
      <c r="P1910" s="10"/>
      <c r="Q1910" s="10"/>
      <c r="R1910" s="10"/>
      <c r="S1910" s="10"/>
      <c r="T1910" s="10"/>
      <c r="U1910" s="10"/>
      <c r="V1910" s="10"/>
    </row>
    <row r="1911" ht="22.5" customHeight="1">
      <c r="A1911" s="5">
        <v>2.04357994882E11</v>
      </c>
      <c r="B1911" s="5" t="s">
        <v>1759</v>
      </c>
      <c r="C1911" s="5">
        <v>51900046073</v>
      </c>
      <c r="D1911" s="5" t="s">
        <v>38</v>
      </c>
      <c r="E1911" s="5">
        <v>8.7547393E7</v>
      </c>
      <c r="F1911" s="5" t="s">
        <v>42</v>
      </c>
      <c r="G1911" s="5" t="s">
        <v>15</v>
      </c>
      <c r="H1911" s="5" t="s">
        <v>51</v>
      </c>
      <c r="I1911" s="6" t="s">
        <v>17</v>
      </c>
      <c r="J1911" s="7" t="s">
        <v>18</v>
      </c>
      <c r="K1911" s="7" t="s">
        <v>19</v>
      </c>
      <c r="L1911" s="8">
        <v>1.771679522409E12</v>
      </c>
      <c r="M1911" s="9"/>
      <c r="N1911" s="10"/>
      <c r="O1911" s="10"/>
      <c r="P1911" s="10"/>
      <c r="Q1911" s="10"/>
      <c r="R1911" s="10"/>
      <c r="S1911" s="10"/>
      <c r="T1911" s="10"/>
      <c r="U1911" s="10"/>
      <c r="V1911" s="10"/>
    </row>
    <row r="1912" ht="22.5" customHeight="1">
      <c r="A1912" s="5">
        <v>2.04359485767E11</v>
      </c>
      <c r="B1912" s="5" t="s">
        <v>1760</v>
      </c>
      <c r="C1912" s="5">
        <v>51906973382</v>
      </c>
      <c r="D1912" s="5" t="s">
        <v>13</v>
      </c>
      <c r="E1912" s="5">
        <v>8.0566583E7</v>
      </c>
      <c r="F1912" s="5" t="s">
        <v>714</v>
      </c>
      <c r="G1912" s="5" t="s">
        <v>79</v>
      </c>
      <c r="H1912" s="5" t="s">
        <v>29</v>
      </c>
      <c r="I1912" s="6" t="s">
        <v>17</v>
      </c>
      <c r="J1912" s="7" t="s">
        <v>34</v>
      </c>
      <c r="K1912" s="7"/>
      <c r="L1912" s="8">
        <v>1.771679519689E12</v>
      </c>
      <c r="M1912" s="9"/>
      <c r="N1912" s="10"/>
      <c r="O1912" s="10"/>
      <c r="P1912" s="10"/>
      <c r="Q1912" s="10"/>
      <c r="R1912" s="10"/>
      <c r="S1912" s="10"/>
      <c r="T1912" s="10"/>
      <c r="U1912" s="10"/>
      <c r="V1912" s="10"/>
    </row>
    <row r="1913" ht="22.5" customHeight="1">
      <c r="A1913" s="5">
        <v>2.04372915301E11</v>
      </c>
      <c r="B1913" s="5" t="s">
        <v>1761</v>
      </c>
      <c r="C1913" s="5">
        <v>51927577871</v>
      </c>
      <c r="D1913" s="5" t="s">
        <v>13</v>
      </c>
      <c r="E1913" s="5">
        <v>8.0566583E7</v>
      </c>
      <c r="F1913" s="5" t="s">
        <v>93</v>
      </c>
      <c r="G1913" s="5" t="s">
        <v>15</v>
      </c>
      <c r="H1913" s="5" t="s">
        <v>16</v>
      </c>
      <c r="I1913" s="6" t="s">
        <v>17</v>
      </c>
      <c r="J1913" s="7" t="s">
        <v>18</v>
      </c>
      <c r="K1913" s="7" t="s">
        <v>19</v>
      </c>
      <c r="L1913" s="8">
        <v>1.771680725482E12</v>
      </c>
      <c r="M1913" s="9"/>
      <c r="N1913" s="10"/>
      <c r="O1913" s="10"/>
      <c r="P1913" s="10"/>
      <c r="Q1913" s="10"/>
      <c r="R1913" s="10"/>
      <c r="S1913" s="10"/>
      <c r="T1913" s="10"/>
      <c r="U1913" s="10"/>
      <c r="V1913" s="10"/>
    </row>
    <row r="1914" ht="22.5" customHeight="1">
      <c r="A1914" s="5">
        <v>1.80472893022E11</v>
      </c>
      <c r="B1914" s="5" t="s">
        <v>1762</v>
      </c>
      <c r="C1914" s="5">
        <v>525539491838</v>
      </c>
      <c r="D1914" s="5" t="s">
        <v>13</v>
      </c>
      <c r="E1914" s="5">
        <v>8.0566583E7</v>
      </c>
      <c r="F1914" s="5" t="s">
        <v>259</v>
      </c>
      <c r="G1914" s="5" t="s">
        <v>15</v>
      </c>
      <c r="H1914" s="5" t="s">
        <v>188</v>
      </c>
      <c r="I1914" s="6" t="s">
        <v>17</v>
      </c>
      <c r="J1914" s="7" t="s">
        <v>124</v>
      </c>
      <c r="K1914" s="7" t="s">
        <v>354</v>
      </c>
      <c r="L1914" s="8">
        <v>1.771680730784E12</v>
      </c>
      <c r="M1914" s="9"/>
      <c r="N1914" s="10"/>
      <c r="O1914" s="10"/>
      <c r="P1914" s="10"/>
      <c r="Q1914" s="10"/>
      <c r="R1914" s="10"/>
      <c r="S1914" s="10"/>
      <c r="T1914" s="10"/>
      <c r="U1914" s="10"/>
      <c r="V1914" s="10"/>
    </row>
    <row r="1915" ht="22.5" customHeight="1">
      <c r="A1915" s="5">
        <v>2.04374783789E11</v>
      </c>
      <c r="B1915" s="5" t="s">
        <v>1763</v>
      </c>
      <c r="C1915" s="5">
        <v>51927761930</v>
      </c>
      <c r="D1915" s="5" t="s">
        <v>38</v>
      </c>
      <c r="E1915" s="5">
        <v>8.7547393E7</v>
      </c>
      <c r="F1915" s="5" t="s">
        <v>28</v>
      </c>
      <c r="G1915" s="5" t="s">
        <v>15</v>
      </c>
      <c r="H1915" s="5" t="s">
        <v>69</v>
      </c>
      <c r="I1915" s="6" t="s">
        <v>63</v>
      </c>
      <c r="J1915" s="7" t="s">
        <v>18</v>
      </c>
      <c r="K1915" s="7" t="s">
        <v>19</v>
      </c>
      <c r="L1915" s="8">
        <v>1.771682655643E12</v>
      </c>
      <c r="M1915" s="9"/>
      <c r="N1915" s="10"/>
      <c r="O1915" s="10"/>
      <c r="P1915" s="10"/>
      <c r="Q1915" s="10"/>
      <c r="R1915" s="10"/>
      <c r="S1915" s="10"/>
      <c r="T1915" s="10"/>
      <c r="U1915" s="10"/>
      <c r="V1915" s="10"/>
    </row>
    <row r="1916" ht="22.5" customHeight="1">
      <c r="A1916" s="5">
        <v>2.04361816871E11</v>
      </c>
      <c r="B1916" s="5" t="s">
        <v>1764</v>
      </c>
      <c r="C1916" s="5">
        <v>5511950578836</v>
      </c>
      <c r="D1916" s="5" t="s">
        <v>13</v>
      </c>
      <c r="E1916" s="5">
        <v>7.9360573E7</v>
      </c>
      <c r="F1916" s="5" t="s">
        <v>42</v>
      </c>
      <c r="G1916" s="5" t="s">
        <v>15</v>
      </c>
      <c r="H1916" s="5" t="s">
        <v>66</v>
      </c>
      <c r="I1916" s="6" t="s">
        <v>36</v>
      </c>
      <c r="J1916" s="7" t="s">
        <v>124</v>
      </c>
      <c r="K1916" s="7" t="s">
        <v>1256</v>
      </c>
      <c r="L1916" s="8">
        <v>1.77168294294E12</v>
      </c>
      <c r="M1916" s="9"/>
      <c r="N1916" s="10"/>
      <c r="O1916" s="10"/>
      <c r="P1916" s="10"/>
      <c r="Q1916" s="10"/>
      <c r="R1916" s="10"/>
      <c r="S1916" s="10"/>
      <c r="T1916" s="10"/>
      <c r="U1916" s="10"/>
      <c r="V1916" s="10"/>
    </row>
    <row r="1917" ht="22.5" customHeight="1">
      <c r="A1917" s="5">
        <v>2.04372104031E11</v>
      </c>
      <c r="B1917" s="5" t="s">
        <v>1765</v>
      </c>
      <c r="C1917" s="5">
        <v>524591243728</v>
      </c>
      <c r="D1917" s="5" t="s">
        <v>13</v>
      </c>
      <c r="E1917" s="5">
        <v>8.0566583E7</v>
      </c>
      <c r="F1917" s="5" t="s">
        <v>259</v>
      </c>
      <c r="G1917" s="5" t="s">
        <v>15</v>
      </c>
      <c r="H1917" s="5" t="s">
        <v>69</v>
      </c>
      <c r="I1917" s="6" t="s">
        <v>17</v>
      </c>
      <c r="J1917" s="7" t="s">
        <v>18</v>
      </c>
      <c r="K1917" s="7" t="s">
        <v>61</v>
      </c>
      <c r="L1917" s="8">
        <v>1.77168305294E12</v>
      </c>
      <c r="M1917" s="9"/>
      <c r="N1917" s="10"/>
      <c r="O1917" s="10"/>
      <c r="P1917" s="10"/>
      <c r="Q1917" s="10"/>
      <c r="R1917" s="10"/>
      <c r="S1917" s="10"/>
      <c r="T1917" s="10"/>
      <c r="U1917" s="10"/>
      <c r="V1917" s="10"/>
    </row>
    <row r="1918" ht="22.5" customHeight="1">
      <c r="A1918" s="5">
        <v>2.04372104031E11</v>
      </c>
      <c r="B1918" s="5" t="s">
        <v>1765</v>
      </c>
      <c r="C1918" s="5">
        <v>524591243728</v>
      </c>
      <c r="D1918" s="5" t="s">
        <v>13</v>
      </c>
      <c r="E1918" s="5">
        <v>8.0566583E7</v>
      </c>
      <c r="F1918" s="5" t="s">
        <v>259</v>
      </c>
      <c r="G1918" s="5" t="s">
        <v>15</v>
      </c>
      <c r="H1918" s="5" t="s">
        <v>69</v>
      </c>
      <c r="I1918" s="6" t="s">
        <v>17</v>
      </c>
      <c r="J1918" s="7" t="s">
        <v>18</v>
      </c>
      <c r="K1918" s="7" t="s">
        <v>61</v>
      </c>
      <c r="L1918" s="8">
        <v>1.771683065304E12</v>
      </c>
      <c r="M1918" s="9"/>
      <c r="N1918" s="10"/>
      <c r="O1918" s="10"/>
      <c r="P1918" s="10"/>
      <c r="Q1918" s="10"/>
      <c r="R1918" s="10"/>
      <c r="S1918" s="10"/>
      <c r="T1918" s="10"/>
      <c r="U1918" s="10"/>
      <c r="V1918" s="10"/>
    </row>
    <row r="1919" ht="22.5" customHeight="1">
      <c r="A1919" s="5">
        <v>2.04362567026E11</v>
      </c>
      <c r="B1919" s="5" t="s">
        <v>1766</v>
      </c>
      <c r="C1919" s="5">
        <v>51922398699</v>
      </c>
      <c r="D1919" s="5" t="s">
        <v>22</v>
      </c>
      <c r="E1919" s="5">
        <v>8.7547393E7</v>
      </c>
      <c r="F1919" s="5" t="s">
        <v>28</v>
      </c>
      <c r="G1919" s="5" t="s">
        <v>32</v>
      </c>
      <c r="H1919" s="5" t="s">
        <v>16</v>
      </c>
      <c r="I1919" s="6" t="s">
        <v>17</v>
      </c>
      <c r="J1919" s="7" t="s">
        <v>34</v>
      </c>
      <c r="K1919" s="7"/>
      <c r="L1919" s="8">
        <v>1.771683133382E12</v>
      </c>
      <c r="M1919" s="9"/>
      <c r="N1919" s="10"/>
      <c r="O1919" s="10"/>
      <c r="P1919" s="10"/>
      <c r="Q1919" s="10"/>
      <c r="R1919" s="10"/>
      <c r="S1919" s="10"/>
      <c r="T1919" s="10"/>
      <c r="U1919" s="10"/>
      <c r="V1919" s="10"/>
    </row>
    <row r="1920" ht="22.5" customHeight="1">
      <c r="A1920" s="5">
        <v>2.04362567026E11</v>
      </c>
      <c r="B1920" s="5" t="s">
        <v>1766</v>
      </c>
      <c r="C1920" s="5">
        <v>51922398699</v>
      </c>
      <c r="D1920" s="5" t="s">
        <v>22</v>
      </c>
      <c r="E1920" s="5">
        <v>8.7547393E7</v>
      </c>
      <c r="F1920" s="5" t="s">
        <v>28</v>
      </c>
      <c r="G1920" s="5" t="s">
        <v>32</v>
      </c>
      <c r="H1920" s="5" t="s">
        <v>16</v>
      </c>
      <c r="I1920" s="6" t="s">
        <v>17</v>
      </c>
      <c r="J1920" s="7" t="s">
        <v>34</v>
      </c>
      <c r="K1920" s="7"/>
      <c r="L1920" s="8">
        <v>1.771683144538E12</v>
      </c>
      <c r="M1920" s="9"/>
      <c r="N1920" s="10"/>
      <c r="O1920" s="10"/>
      <c r="P1920" s="10"/>
      <c r="Q1920" s="10"/>
      <c r="R1920" s="10"/>
      <c r="S1920" s="10"/>
      <c r="T1920" s="10"/>
      <c r="U1920" s="10"/>
      <c r="V1920" s="10"/>
    </row>
    <row r="1921" ht="22.5" customHeight="1">
      <c r="A1921" s="5">
        <v>2.04375033248E11</v>
      </c>
      <c r="B1921" s="5" t="s">
        <v>1767</v>
      </c>
      <c r="C1921" s="5">
        <v>5582921401253</v>
      </c>
      <c r="D1921" s="5" t="s">
        <v>22</v>
      </c>
      <c r="E1921" s="5">
        <v>7.9360573E7</v>
      </c>
      <c r="F1921" s="5" t="s">
        <v>14</v>
      </c>
      <c r="G1921" s="5" t="s">
        <v>44</v>
      </c>
      <c r="H1921" s="5" t="s">
        <v>165</v>
      </c>
      <c r="I1921" s="6" t="s">
        <v>17</v>
      </c>
      <c r="J1921" s="7" t="s">
        <v>34</v>
      </c>
      <c r="K1921" s="7"/>
      <c r="L1921" s="8">
        <v>1.77168321609E12</v>
      </c>
      <c r="M1921" s="9"/>
      <c r="N1921" s="10"/>
      <c r="O1921" s="10"/>
      <c r="P1921" s="10"/>
      <c r="Q1921" s="10"/>
      <c r="R1921" s="10"/>
      <c r="S1921" s="10"/>
      <c r="T1921" s="10"/>
      <c r="U1921" s="10"/>
      <c r="V1921" s="10"/>
    </row>
    <row r="1922" ht="22.5" customHeight="1">
      <c r="A1922" s="5">
        <v>2.04376386075E11</v>
      </c>
      <c r="B1922" s="5" t="s">
        <v>1768</v>
      </c>
      <c r="C1922" s="5">
        <v>5583986063537</v>
      </c>
      <c r="D1922" s="5" t="s">
        <v>22</v>
      </c>
      <c r="E1922" s="5">
        <v>7.9360573E7</v>
      </c>
      <c r="F1922" s="5" t="s">
        <v>28</v>
      </c>
      <c r="G1922" s="5">
        <v>50</v>
      </c>
      <c r="H1922" s="5" t="s">
        <v>24</v>
      </c>
      <c r="I1922" s="6" t="s">
        <v>17</v>
      </c>
      <c r="J1922" s="7" t="s">
        <v>34</v>
      </c>
      <c r="K1922" s="7"/>
      <c r="L1922" s="8">
        <v>1.771684365445E12</v>
      </c>
      <c r="M1922" s="9"/>
      <c r="N1922" s="10"/>
      <c r="O1922" s="10"/>
      <c r="P1922" s="10"/>
      <c r="Q1922" s="10"/>
      <c r="R1922" s="10"/>
      <c r="S1922" s="10"/>
      <c r="T1922" s="10"/>
      <c r="U1922" s="10"/>
      <c r="V1922" s="10"/>
    </row>
    <row r="1923" ht="22.5" customHeight="1">
      <c r="A1923" s="5">
        <v>2.04376654137E11</v>
      </c>
      <c r="B1923" s="5" t="s">
        <v>1769</v>
      </c>
      <c r="C1923" s="5">
        <v>5554992809494</v>
      </c>
      <c r="D1923" s="5" t="s">
        <v>13</v>
      </c>
      <c r="E1923" s="5">
        <v>7.9360573E7</v>
      </c>
      <c r="F1923" s="5" t="s">
        <v>93</v>
      </c>
      <c r="G1923" s="5" t="s">
        <v>15</v>
      </c>
      <c r="H1923" s="5" t="s">
        <v>24</v>
      </c>
      <c r="I1923" s="6" t="s">
        <v>17</v>
      </c>
      <c r="J1923" s="7" t="s">
        <v>124</v>
      </c>
      <c r="K1923" s="7" t="s">
        <v>1256</v>
      </c>
      <c r="L1923" s="8">
        <v>1.771685274796E12</v>
      </c>
      <c r="M1923" s="9"/>
      <c r="N1923" s="10"/>
      <c r="O1923" s="10"/>
      <c r="P1923" s="10"/>
      <c r="Q1923" s="10"/>
      <c r="R1923" s="10"/>
      <c r="S1923" s="10"/>
      <c r="T1923" s="10"/>
      <c r="U1923" s="10"/>
      <c r="V1923" s="10"/>
    </row>
    <row r="1924" ht="22.5" customHeight="1">
      <c r="A1924" s="5">
        <v>2.04380443497E11</v>
      </c>
      <c r="B1924" s="5" t="s">
        <v>1770</v>
      </c>
      <c r="C1924" s="5">
        <v>51957630172</v>
      </c>
      <c r="D1924" s="5" t="s">
        <v>13</v>
      </c>
      <c r="E1924" s="5">
        <v>8.7547393E7</v>
      </c>
      <c r="F1924" s="5" t="s">
        <v>39</v>
      </c>
      <c r="G1924" s="5" t="s">
        <v>15</v>
      </c>
      <c r="H1924" s="5" t="s">
        <v>24</v>
      </c>
      <c r="I1924" s="6" t="s">
        <v>17</v>
      </c>
      <c r="J1924" s="7" t="s">
        <v>18</v>
      </c>
      <c r="K1924" s="7" t="s">
        <v>19</v>
      </c>
      <c r="L1924" s="8">
        <v>1.771686307622E12</v>
      </c>
      <c r="M1924" s="9"/>
      <c r="N1924" s="10"/>
      <c r="O1924" s="10"/>
      <c r="P1924" s="10"/>
      <c r="Q1924" s="10"/>
      <c r="R1924" s="10"/>
      <c r="S1924" s="10"/>
      <c r="T1924" s="10"/>
      <c r="U1924" s="10"/>
      <c r="V1924" s="10"/>
    </row>
    <row r="1925" ht="22.5" customHeight="1">
      <c r="A1925" s="5">
        <v>2.04380226629E11</v>
      </c>
      <c r="B1925" s="5" t="s">
        <v>1771</v>
      </c>
      <c r="C1925" s="5">
        <v>51930248992</v>
      </c>
      <c r="D1925" s="5" t="s">
        <v>22</v>
      </c>
      <c r="E1925" s="5">
        <v>8.7547393E7</v>
      </c>
      <c r="F1925" s="5" t="s">
        <v>65</v>
      </c>
      <c r="G1925" s="5" t="s">
        <v>44</v>
      </c>
      <c r="H1925" s="5" t="s">
        <v>165</v>
      </c>
      <c r="I1925" s="6" t="s">
        <v>17</v>
      </c>
      <c r="J1925" s="7" t="s">
        <v>34</v>
      </c>
      <c r="K1925" s="7"/>
      <c r="L1925" s="8">
        <v>1.771686528837E12</v>
      </c>
      <c r="M1925" s="9"/>
      <c r="N1925" s="10"/>
      <c r="O1925" s="10"/>
      <c r="P1925" s="10"/>
      <c r="Q1925" s="10"/>
      <c r="R1925" s="10"/>
      <c r="S1925" s="10"/>
      <c r="T1925" s="10"/>
      <c r="U1925" s="10"/>
      <c r="V1925" s="10"/>
    </row>
    <row r="1926" ht="22.5" customHeight="1">
      <c r="A1926" s="5">
        <v>2.04377999761E11</v>
      </c>
      <c r="B1926" s="5" t="s">
        <v>1772</v>
      </c>
      <c r="C1926" s="5">
        <v>522411537363</v>
      </c>
      <c r="D1926" s="5" t="s">
        <v>38</v>
      </c>
      <c r="E1926" s="5">
        <v>8.0566583E7</v>
      </c>
      <c r="F1926" s="5" t="s">
        <v>14</v>
      </c>
      <c r="G1926" s="5" t="s">
        <v>15</v>
      </c>
      <c r="H1926" s="5" t="s">
        <v>24</v>
      </c>
      <c r="I1926" s="6" t="s">
        <v>17</v>
      </c>
      <c r="J1926" s="7" t="s">
        <v>34</v>
      </c>
      <c r="K1926" s="7"/>
      <c r="L1926" s="8">
        <v>1.77168672742E12</v>
      </c>
      <c r="M1926" s="9"/>
      <c r="N1926" s="10"/>
      <c r="O1926" s="10"/>
      <c r="P1926" s="10"/>
      <c r="Q1926" s="10"/>
      <c r="R1926" s="10"/>
      <c r="S1926" s="10"/>
      <c r="T1926" s="10"/>
      <c r="U1926" s="10"/>
      <c r="V1926" s="10"/>
    </row>
    <row r="1927" ht="22.5" customHeight="1">
      <c r="A1927" s="5">
        <v>2.04378558051E11</v>
      </c>
      <c r="B1927" s="5" t="s">
        <v>1773</v>
      </c>
      <c r="C1927" s="5">
        <v>51950071327</v>
      </c>
      <c r="D1927" s="5" t="s">
        <v>13</v>
      </c>
      <c r="E1927" s="5">
        <v>8.0566583E7</v>
      </c>
      <c r="F1927" s="5" t="s">
        <v>65</v>
      </c>
      <c r="G1927" s="5" t="s">
        <v>15</v>
      </c>
      <c r="H1927" s="5" t="s">
        <v>51</v>
      </c>
      <c r="I1927" s="6" t="s">
        <v>17</v>
      </c>
      <c r="J1927" s="7" t="s">
        <v>18</v>
      </c>
      <c r="K1927" s="7" t="s">
        <v>19</v>
      </c>
      <c r="L1927" s="8">
        <v>1.771686880427E12</v>
      </c>
      <c r="M1927" s="9"/>
      <c r="N1927" s="10"/>
      <c r="O1927" s="10"/>
      <c r="P1927" s="10"/>
      <c r="Q1927" s="10"/>
      <c r="R1927" s="10"/>
      <c r="S1927" s="10"/>
      <c r="T1927" s="10"/>
      <c r="U1927" s="10"/>
      <c r="V1927" s="10"/>
    </row>
    <row r="1928" ht="22.5" customHeight="1">
      <c r="A1928" s="5">
        <v>2.04380868675E11</v>
      </c>
      <c r="B1928" s="5" t="s">
        <v>1774</v>
      </c>
      <c r="C1928" s="5">
        <v>51948889712</v>
      </c>
      <c r="D1928" s="5" t="s">
        <v>13</v>
      </c>
      <c r="E1928" s="5">
        <v>8.0566583E7</v>
      </c>
      <c r="F1928" s="5" t="s">
        <v>14</v>
      </c>
      <c r="G1928" s="5" t="s">
        <v>15</v>
      </c>
      <c r="H1928" s="5" t="s">
        <v>16</v>
      </c>
      <c r="I1928" s="6" t="s">
        <v>17</v>
      </c>
      <c r="J1928" s="7" t="s">
        <v>18</v>
      </c>
      <c r="K1928" s="7" t="s">
        <v>19</v>
      </c>
      <c r="L1928" s="8">
        <v>1.771687098525E12</v>
      </c>
      <c r="M1928" s="9"/>
      <c r="N1928" s="10"/>
      <c r="O1928" s="10"/>
      <c r="P1928" s="10"/>
      <c r="Q1928" s="10"/>
      <c r="R1928" s="10"/>
      <c r="S1928" s="10"/>
      <c r="T1928" s="10"/>
      <c r="U1928" s="10"/>
      <c r="V1928" s="10"/>
    </row>
    <row r="1929" ht="22.5" customHeight="1">
      <c r="A1929" s="5">
        <v>2.04379537923E11</v>
      </c>
      <c r="B1929" s="5" t="s">
        <v>1775</v>
      </c>
      <c r="C1929" s="5">
        <v>51955748438</v>
      </c>
      <c r="D1929" s="5" t="s">
        <v>38</v>
      </c>
      <c r="E1929" s="5">
        <v>8.7547393E7</v>
      </c>
      <c r="F1929" s="5" t="s">
        <v>28</v>
      </c>
      <c r="G1929" s="5" t="s">
        <v>32</v>
      </c>
      <c r="H1929" s="5" t="s">
        <v>69</v>
      </c>
      <c r="I1929" s="6" t="s">
        <v>17</v>
      </c>
      <c r="J1929" s="7" t="s">
        <v>18</v>
      </c>
      <c r="K1929" s="7" t="s">
        <v>19</v>
      </c>
      <c r="L1929" s="8">
        <v>1.771687644308E12</v>
      </c>
      <c r="M1929" s="9"/>
      <c r="N1929" s="10"/>
      <c r="O1929" s="10"/>
      <c r="P1929" s="10"/>
      <c r="Q1929" s="10"/>
      <c r="R1929" s="10"/>
      <c r="S1929" s="10"/>
      <c r="T1929" s="10"/>
      <c r="U1929" s="10"/>
      <c r="V1929" s="10"/>
    </row>
    <row r="1930" ht="22.5" customHeight="1">
      <c r="A1930" s="5">
        <v>2.04380917356E11</v>
      </c>
      <c r="B1930" s="5" t="s">
        <v>1776</v>
      </c>
      <c r="C1930" s="5">
        <v>522412372090</v>
      </c>
      <c r="D1930" s="5" t="s">
        <v>38</v>
      </c>
      <c r="E1930" s="5">
        <v>8.0566583E7</v>
      </c>
      <c r="F1930" s="5"/>
      <c r="G1930" s="5"/>
      <c r="H1930" s="5"/>
      <c r="I1930" s="6"/>
      <c r="J1930" s="7" t="s">
        <v>124</v>
      </c>
      <c r="K1930" s="7" t="s">
        <v>125</v>
      </c>
      <c r="L1930" s="8">
        <v>1.771688230381E12</v>
      </c>
      <c r="M1930" s="9"/>
      <c r="N1930" s="10"/>
      <c r="O1930" s="10"/>
      <c r="P1930" s="10"/>
      <c r="Q1930" s="10"/>
      <c r="R1930" s="10"/>
      <c r="S1930" s="10"/>
      <c r="T1930" s="10"/>
      <c r="U1930" s="10"/>
      <c r="V1930" s="10"/>
    </row>
    <row r="1931" ht="22.5" customHeight="1">
      <c r="A1931" s="5">
        <v>2.04383431274E11</v>
      </c>
      <c r="B1931" s="5" t="s">
        <v>1777</v>
      </c>
      <c r="C1931" s="5">
        <v>51902149855</v>
      </c>
      <c r="D1931" s="5" t="s">
        <v>13</v>
      </c>
      <c r="E1931" s="5">
        <v>8.7547393E7</v>
      </c>
      <c r="F1931" s="5" t="s">
        <v>259</v>
      </c>
      <c r="G1931" s="5" t="s">
        <v>15</v>
      </c>
      <c r="H1931" s="5" t="s">
        <v>16</v>
      </c>
      <c r="I1931" s="6" t="s">
        <v>17</v>
      </c>
      <c r="J1931" s="7" t="s">
        <v>34</v>
      </c>
      <c r="K1931" s="7"/>
      <c r="L1931" s="8">
        <v>1.771689935951E12</v>
      </c>
      <c r="M1931" s="9"/>
      <c r="N1931" s="10"/>
      <c r="O1931" s="10"/>
      <c r="P1931" s="10"/>
      <c r="Q1931" s="10"/>
      <c r="R1931" s="10"/>
      <c r="S1931" s="10"/>
      <c r="T1931" s="10"/>
      <c r="U1931" s="10"/>
      <c r="V1931" s="10"/>
    </row>
    <row r="1932" ht="22.5" customHeight="1">
      <c r="A1932" s="5">
        <v>2.0438405542E11</v>
      </c>
      <c r="B1932" s="5" t="s">
        <v>1778</v>
      </c>
      <c r="C1932" s="5">
        <v>51986294755</v>
      </c>
      <c r="D1932" s="5" t="s">
        <v>38</v>
      </c>
      <c r="E1932" s="5">
        <v>8.0566583E7</v>
      </c>
      <c r="F1932" s="5" t="s">
        <v>65</v>
      </c>
      <c r="G1932" s="5" t="s">
        <v>15</v>
      </c>
      <c r="H1932" s="5" t="s">
        <v>66</v>
      </c>
      <c r="I1932" s="6" t="s">
        <v>49</v>
      </c>
      <c r="J1932" s="7" t="s">
        <v>18</v>
      </c>
      <c r="K1932" s="7" t="s">
        <v>19</v>
      </c>
      <c r="L1932" s="8">
        <v>1.771689977746E12</v>
      </c>
      <c r="M1932" s="9"/>
      <c r="N1932" s="10"/>
      <c r="O1932" s="10"/>
      <c r="P1932" s="10"/>
      <c r="Q1932" s="10"/>
      <c r="R1932" s="10"/>
      <c r="S1932" s="10"/>
      <c r="T1932" s="10"/>
      <c r="U1932" s="10"/>
      <c r="V1932" s="10"/>
    </row>
    <row r="1933" ht="22.5" customHeight="1">
      <c r="A1933" s="5">
        <v>2.04389301381E11</v>
      </c>
      <c r="B1933" s="5" t="s">
        <v>1779</v>
      </c>
      <c r="C1933" s="5">
        <v>5551981185369</v>
      </c>
      <c r="D1933" s="5" t="s">
        <v>13</v>
      </c>
      <c r="E1933" s="5">
        <v>7.9360573E7</v>
      </c>
      <c r="F1933" s="5" t="s">
        <v>714</v>
      </c>
      <c r="G1933" s="5" t="s">
        <v>15</v>
      </c>
      <c r="H1933" s="5" t="s">
        <v>16</v>
      </c>
      <c r="I1933" s="6" t="s">
        <v>17</v>
      </c>
      <c r="J1933" s="7" t="s">
        <v>34</v>
      </c>
      <c r="K1933" s="7"/>
      <c r="L1933" s="8">
        <v>1.771691578983E12</v>
      </c>
      <c r="M1933" s="9"/>
      <c r="N1933" s="10"/>
      <c r="O1933" s="10"/>
      <c r="P1933" s="10"/>
      <c r="Q1933" s="10"/>
      <c r="R1933" s="10"/>
      <c r="S1933" s="10"/>
      <c r="T1933" s="10"/>
      <c r="U1933" s="10"/>
      <c r="V1933" s="10"/>
    </row>
    <row r="1934" ht="22.5" customHeight="1">
      <c r="A1934" s="5">
        <v>2.0440500101E11</v>
      </c>
      <c r="B1934" s="5" t="s">
        <v>1780</v>
      </c>
      <c r="C1934" s="5">
        <v>5511976741479</v>
      </c>
      <c r="D1934" s="5" t="s">
        <v>22</v>
      </c>
      <c r="E1934" s="5">
        <v>7.9360573E7</v>
      </c>
      <c r="F1934" s="5" t="s">
        <v>93</v>
      </c>
      <c r="G1934" s="5" t="s">
        <v>32</v>
      </c>
      <c r="H1934" s="5" t="s">
        <v>66</v>
      </c>
      <c r="I1934" s="6" t="s">
        <v>17</v>
      </c>
      <c r="J1934" s="7" t="s">
        <v>124</v>
      </c>
      <c r="K1934" s="7" t="s">
        <v>1256</v>
      </c>
      <c r="L1934" s="8">
        <v>1.771695026048E12</v>
      </c>
      <c r="M1934" s="9"/>
      <c r="N1934" s="10"/>
      <c r="O1934" s="10"/>
      <c r="P1934" s="10"/>
      <c r="Q1934" s="10"/>
      <c r="R1934" s="10"/>
      <c r="S1934" s="10"/>
      <c r="T1934" s="10"/>
      <c r="U1934" s="10"/>
      <c r="V1934" s="10"/>
    </row>
    <row r="1935" ht="22.5" customHeight="1">
      <c r="A1935" s="5">
        <v>2.043978745E11</v>
      </c>
      <c r="B1935" s="5" t="s">
        <v>1781</v>
      </c>
      <c r="C1935" s="5">
        <v>5522999222009</v>
      </c>
      <c r="D1935" s="5" t="s">
        <v>13</v>
      </c>
      <c r="E1935" s="5">
        <v>7.9360573E7</v>
      </c>
      <c r="F1935" s="5" t="s">
        <v>14</v>
      </c>
      <c r="G1935" s="5" t="s">
        <v>79</v>
      </c>
      <c r="H1935" s="5" t="s">
        <v>114</v>
      </c>
      <c r="I1935" s="6" t="s">
        <v>17</v>
      </c>
      <c r="J1935" s="7" t="s">
        <v>34</v>
      </c>
      <c r="K1935" s="7"/>
      <c r="L1935" s="8">
        <v>1.771695987288E12</v>
      </c>
      <c r="M1935" s="9"/>
      <c r="N1935" s="10"/>
      <c r="O1935" s="10"/>
      <c r="P1935" s="10"/>
      <c r="Q1935" s="10"/>
      <c r="R1935" s="10"/>
      <c r="S1935" s="10"/>
      <c r="T1935" s="10"/>
      <c r="U1935" s="10"/>
      <c r="V1935" s="10"/>
    </row>
    <row r="1936" ht="22.5" customHeight="1">
      <c r="A1936" s="5">
        <v>2.04405695574E11</v>
      </c>
      <c r="B1936" s="5" t="s">
        <v>1782</v>
      </c>
      <c r="C1936" s="5">
        <v>5511961272795</v>
      </c>
      <c r="D1936" s="5" t="s">
        <v>13</v>
      </c>
      <c r="E1936" s="5">
        <v>7.9360573E7</v>
      </c>
      <c r="F1936" s="5" t="s">
        <v>93</v>
      </c>
      <c r="G1936" s="5" t="s">
        <v>15</v>
      </c>
      <c r="H1936" s="5" t="s">
        <v>51</v>
      </c>
      <c r="I1936" s="6" t="s">
        <v>17</v>
      </c>
      <c r="J1936" s="7" t="s">
        <v>34</v>
      </c>
      <c r="K1936" s="7"/>
      <c r="L1936" s="8">
        <v>1.771696716387E12</v>
      </c>
      <c r="M1936" s="9"/>
      <c r="N1936" s="10"/>
      <c r="O1936" s="10"/>
      <c r="P1936" s="10"/>
      <c r="Q1936" s="10"/>
      <c r="R1936" s="10"/>
      <c r="S1936" s="10"/>
      <c r="T1936" s="10"/>
      <c r="U1936" s="10"/>
      <c r="V1936" s="10"/>
    </row>
    <row r="1937" ht="22.5" customHeight="1">
      <c r="A1937" s="5">
        <v>2.04406419218E11</v>
      </c>
      <c r="B1937" s="5" t="s">
        <v>1783</v>
      </c>
      <c r="C1937" s="5">
        <v>51921482184</v>
      </c>
      <c r="D1937" s="5" t="s">
        <v>13</v>
      </c>
      <c r="E1937" s="5">
        <v>8.0566583E7</v>
      </c>
      <c r="F1937" s="5" t="s">
        <v>714</v>
      </c>
      <c r="G1937" s="5" t="s">
        <v>32</v>
      </c>
      <c r="H1937" s="5" t="s">
        <v>66</v>
      </c>
      <c r="I1937" s="6" t="s">
        <v>17</v>
      </c>
      <c r="J1937" s="7" t="s">
        <v>34</v>
      </c>
      <c r="K1937" s="7"/>
      <c r="L1937" s="8">
        <v>1.771697000491E12</v>
      </c>
      <c r="M1937" s="9"/>
      <c r="N1937" s="10"/>
      <c r="O1937" s="10"/>
      <c r="P1937" s="10"/>
      <c r="Q1937" s="10"/>
      <c r="R1937" s="10"/>
      <c r="S1937" s="10"/>
      <c r="T1937" s="10"/>
      <c r="U1937" s="10"/>
      <c r="V1937" s="10"/>
    </row>
    <row r="1938" ht="22.5" customHeight="1">
      <c r="A1938" s="5">
        <v>1.51484548931E11</v>
      </c>
      <c r="B1938" s="5" t="s">
        <v>1784</v>
      </c>
      <c r="C1938" s="5">
        <v>525586666226</v>
      </c>
      <c r="D1938" s="5" t="s">
        <v>13</v>
      </c>
      <c r="E1938" s="5">
        <v>8.7547393E7</v>
      </c>
      <c r="F1938" s="5" t="s">
        <v>28</v>
      </c>
      <c r="G1938" s="5" t="s">
        <v>15</v>
      </c>
      <c r="H1938" s="5" t="s">
        <v>80</v>
      </c>
      <c r="I1938" s="6" t="s">
        <v>36</v>
      </c>
      <c r="J1938" s="7" t="s">
        <v>34</v>
      </c>
      <c r="K1938" s="7"/>
      <c r="L1938" s="8">
        <v>1.771700186754E12</v>
      </c>
      <c r="M1938" s="9"/>
      <c r="N1938" s="10"/>
      <c r="O1938" s="10"/>
      <c r="P1938" s="10"/>
      <c r="Q1938" s="10"/>
      <c r="R1938" s="10"/>
      <c r="S1938" s="10"/>
      <c r="T1938" s="10"/>
      <c r="U1938" s="10"/>
      <c r="V1938" s="10"/>
    </row>
    <row r="1939" ht="22.5" customHeight="1">
      <c r="A1939" s="5">
        <v>2.04219658644E11</v>
      </c>
      <c r="B1939" s="5" t="s">
        <v>1785</v>
      </c>
      <c r="C1939" s="5">
        <v>51991196290</v>
      </c>
      <c r="D1939" s="5" t="s">
        <v>13</v>
      </c>
      <c r="E1939" s="5">
        <v>8.0566583E7</v>
      </c>
      <c r="F1939" s="5" t="s">
        <v>714</v>
      </c>
      <c r="G1939" s="5" t="s">
        <v>44</v>
      </c>
      <c r="H1939" s="5" t="s">
        <v>16</v>
      </c>
      <c r="I1939" s="6" t="s">
        <v>17</v>
      </c>
      <c r="J1939" s="7" t="s">
        <v>34</v>
      </c>
      <c r="K1939" s="7"/>
      <c r="L1939" s="8">
        <v>1.771705116366E12</v>
      </c>
      <c r="M1939" s="9"/>
      <c r="N1939" s="10"/>
      <c r="O1939" s="10"/>
      <c r="P1939" s="10"/>
      <c r="Q1939" s="10"/>
      <c r="R1939" s="10"/>
      <c r="S1939" s="10"/>
      <c r="T1939" s="10"/>
      <c r="U1939" s="10"/>
      <c r="V1939" s="10"/>
    </row>
    <row r="1940" ht="22.5" customHeight="1">
      <c r="A1940" s="5">
        <v>2.04423241067E11</v>
      </c>
      <c r="B1940" s="5" t="s">
        <v>1786</v>
      </c>
      <c r="C1940" s="5">
        <v>51966236801</v>
      </c>
      <c r="D1940" s="5" t="s">
        <v>38</v>
      </c>
      <c r="E1940" s="5">
        <v>8.0566583E7</v>
      </c>
      <c r="F1940" s="5"/>
      <c r="G1940" s="5"/>
      <c r="H1940" s="5"/>
      <c r="I1940" s="6"/>
      <c r="J1940" s="7" t="s">
        <v>18</v>
      </c>
      <c r="K1940" s="7" t="s">
        <v>19</v>
      </c>
      <c r="L1940" s="8">
        <v>1.771706592797E12</v>
      </c>
      <c r="M1940" s="9"/>
      <c r="N1940" s="10"/>
      <c r="O1940" s="10"/>
      <c r="P1940" s="10"/>
      <c r="Q1940" s="10"/>
      <c r="R1940" s="10"/>
      <c r="S1940" s="10"/>
      <c r="T1940" s="10"/>
      <c r="U1940" s="10"/>
      <c r="V1940" s="10"/>
    </row>
    <row r="1941" ht="22.5" customHeight="1">
      <c r="A1941" s="5">
        <v>2.04418425755E11</v>
      </c>
      <c r="B1941" s="5" t="s">
        <v>1787</v>
      </c>
      <c r="C1941" s="5">
        <v>51960518773</v>
      </c>
      <c r="D1941" s="5" t="s">
        <v>13</v>
      </c>
      <c r="E1941" s="5">
        <v>8.7547393E7</v>
      </c>
      <c r="F1941" s="5" t="s">
        <v>14</v>
      </c>
      <c r="G1941" s="5" t="s">
        <v>32</v>
      </c>
      <c r="H1941" s="5" t="s">
        <v>16</v>
      </c>
      <c r="I1941" s="6" t="s">
        <v>148</v>
      </c>
      <c r="J1941" s="7" t="s">
        <v>18</v>
      </c>
      <c r="K1941" s="7" t="s">
        <v>19</v>
      </c>
      <c r="L1941" s="8">
        <v>1.771706749291E12</v>
      </c>
      <c r="M1941" s="9"/>
      <c r="N1941" s="10"/>
      <c r="O1941" s="10"/>
      <c r="P1941" s="10"/>
      <c r="Q1941" s="10"/>
      <c r="R1941" s="10"/>
      <c r="S1941" s="10"/>
      <c r="T1941" s="10"/>
      <c r="U1941" s="10"/>
      <c r="V1941" s="10"/>
    </row>
    <row r="1942" ht="22.5" customHeight="1">
      <c r="A1942" s="5">
        <v>2.04380917356E11</v>
      </c>
      <c r="B1942" s="5" t="s">
        <v>1776</v>
      </c>
      <c r="C1942" s="5">
        <v>522412372090</v>
      </c>
      <c r="D1942" s="5" t="s">
        <v>13</v>
      </c>
      <c r="E1942" s="5">
        <v>8.0566583E7</v>
      </c>
      <c r="F1942" s="5" t="s">
        <v>259</v>
      </c>
      <c r="G1942" s="5" t="s">
        <v>15</v>
      </c>
      <c r="H1942" s="5" t="s">
        <v>16</v>
      </c>
      <c r="I1942" s="6" t="s">
        <v>17</v>
      </c>
      <c r="J1942" s="7" t="s">
        <v>34</v>
      </c>
      <c r="K1942" s="7"/>
      <c r="L1942" s="8">
        <v>1.771709170669E12</v>
      </c>
      <c r="M1942" s="9"/>
      <c r="N1942" s="10"/>
      <c r="O1942" s="10"/>
      <c r="P1942" s="10"/>
      <c r="Q1942" s="10"/>
      <c r="R1942" s="10"/>
      <c r="S1942" s="10"/>
      <c r="T1942" s="10"/>
      <c r="U1942" s="10"/>
      <c r="V1942" s="10"/>
    </row>
    <row r="1943" ht="22.5" customHeight="1">
      <c r="A1943" s="5">
        <v>2.04426215532E11</v>
      </c>
      <c r="B1943" s="5" t="s">
        <v>1788</v>
      </c>
      <c r="C1943" s="5">
        <v>525543109068</v>
      </c>
      <c r="D1943" s="5" t="s">
        <v>13</v>
      </c>
      <c r="E1943" s="5">
        <v>8.7547393E7</v>
      </c>
      <c r="F1943" s="5" t="s">
        <v>28</v>
      </c>
      <c r="G1943" s="5" t="s">
        <v>15</v>
      </c>
      <c r="H1943" s="5" t="s">
        <v>24</v>
      </c>
      <c r="I1943" s="6" t="s">
        <v>17</v>
      </c>
      <c r="J1943" s="7" t="s">
        <v>34</v>
      </c>
      <c r="K1943" s="7"/>
      <c r="L1943" s="8">
        <v>1.77171149299E12</v>
      </c>
      <c r="M1943" s="9"/>
      <c r="N1943" s="10"/>
      <c r="O1943" s="10"/>
      <c r="P1943" s="10"/>
      <c r="Q1943" s="10"/>
      <c r="R1943" s="10"/>
      <c r="S1943" s="10"/>
      <c r="T1943" s="10"/>
      <c r="U1943" s="10"/>
      <c r="V1943" s="10"/>
    </row>
    <row r="1944" ht="22.5" customHeight="1">
      <c r="A1944" s="5">
        <v>2.04280050765E11</v>
      </c>
      <c r="B1944" s="5" t="s">
        <v>1789</v>
      </c>
      <c r="C1944" s="5">
        <v>51923875433</v>
      </c>
      <c r="D1944" s="5" t="s">
        <v>38</v>
      </c>
      <c r="E1944" s="5">
        <v>8.7547393E7</v>
      </c>
      <c r="F1944" s="5"/>
      <c r="G1944" s="5"/>
      <c r="H1944" s="5"/>
      <c r="I1944" s="6"/>
      <c r="J1944" s="7" t="s">
        <v>34</v>
      </c>
      <c r="K1944" s="7"/>
      <c r="L1944" s="8">
        <v>1.771711824778E12</v>
      </c>
      <c r="M1944" s="9"/>
      <c r="N1944" s="10"/>
      <c r="O1944" s="10"/>
      <c r="P1944" s="10"/>
      <c r="Q1944" s="10"/>
      <c r="R1944" s="10"/>
      <c r="S1944" s="10"/>
      <c r="T1944" s="10"/>
      <c r="U1944" s="10"/>
      <c r="V1944" s="10"/>
    </row>
    <row r="1945" ht="22.5" customHeight="1">
      <c r="A1945" s="5">
        <v>2.04442406201E11</v>
      </c>
      <c r="B1945" s="5" t="s">
        <v>1790</v>
      </c>
      <c r="C1945" s="5">
        <v>5547991121085</v>
      </c>
      <c r="D1945" s="5" t="s">
        <v>13</v>
      </c>
      <c r="E1945" s="5">
        <v>7.9360573E7</v>
      </c>
      <c r="F1945" s="5" t="s">
        <v>714</v>
      </c>
      <c r="G1945" s="5"/>
      <c r="H1945" s="5" t="s">
        <v>16</v>
      </c>
      <c r="I1945" s="6" t="s">
        <v>17</v>
      </c>
      <c r="J1945" s="7" t="s">
        <v>18</v>
      </c>
      <c r="K1945" s="7" t="s">
        <v>45</v>
      </c>
      <c r="L1945" s="8">
        <v>1.771712577306E12</v>
      </c>
      <c r="M1945" s="9"/>
      <c r="N1945" s="10"/>
      <c r="O1945" s="10"/>
      <c r="P1945" s="10"/>
      <c r="Q1945" s="10"/>
      <c r="R1945" s="10"/>
      <c r="S1945" s="10"/>
      <c r="T1945" s="10"/>
      <c r="U1945" s="10"/>
      <c r="V1945" s="10"/>
    </row>
    <row r="1946" ht="22.5" customHeight="1">
      <c r="A1946" s="5">
        <v>2.04430261308E11</v>
      </c>
      <c r="B1946" s="5" t="s">
        <v>1791</v>
      </c>
      <c r="C1946" s="5">
        <v>528332835488</v>
      </c>
      <c r="D1946" s="5" t="s">
        <v>13</v>
      </c>
      <c r="E1946" s="5">
        <v>8.0566583E7</v>
      </c>
      <c r="F1946" s="5"/>
      <c r="G1946" s="5" t="s">
        <v>15</v>
      </c>
      <c r="H1946" s="5" t="s">
        <v>51</v>
      </c>
      <c r="I1946" s="6" t="s">
        <v>17</v>
      </c>
      <c r="J1946" s="7" t="s">
        <v>18</v>
      </c>
      <c r="K1946" s="7" t="s">
        <v>61</v>
      </c>
      <c r="L1946" s="8">
        <v>1.771713031946E12</v>
      </c>
      <c r="M1946" s="9"/>
      <c r="N1946" s="10"/>
      <c r="O1946" s="10"/>
      <c r="P1946" s="10"/>
      <c r="Q1946" s="10"/>
      <c r="R1946" s="10"/>
      <c r="S1946" s="10"/>
      <c r="T1946" s="10"/>
      <c r="U1946" s="10"/>
      <c r="V1946" s="10"/>
    </row>
    <row r="1947" ht="22.5" customHeight="1">
      <c r="A1947" s="5">
        <v>2.04433894558E11</v>
      </c>
      <c r="B1947" s="5" t="s">
        <v>1792</v>
      </c>
      <c r="C1947" s="5">
        <v>51997543503</v>
      </c>
      <c r="D1947" s="5" t="s">
        <v>38</v>
      </c>
      <c r="E1947" s="5">
        <v>8.7547393E7</v>
      </c>
      <c r="F1947" s="5" t="s">
        <v>65</v>
      </c>
      <c r="G1947" s="5" t="s">
        <v>15</v>
      </c>
      <c r="H1947" s="5" t="s">
        <v>51</v>
      </c>
      <c r="I1947" s="6" t="s">
        <v>17</v>
      </c>
      <c r="J1947" s="7" t="s">
        <v>18</v>
      </c>
      <c r="K1947" s="7" t="s">
        <v>19</v>
      </c>
      <c r="L1947" s="8">
        <v>1.771714227929E12</v>
      </c>
      <c r="M1947" s="9"/>
      <c r="N1947" s="10"/>
      <c r="O1947" s="10"/>
      <c r="P1947" s="10"/>
      <c r="Q1947" s="10"/>
      <c r="R1947" s="10"/>
      <c r="S1947" s="10"/>
      <c r="T1947" s="10"/>
      <c r="U1947" s="10"/>
      <c r="V1947" s="10"/>
    </row>
    <row r="1948" ht="22.5" customHeight="1">
      <c r="A1948" s="5">
        <v>2.04436558448E11</v>
      </c>
      <c r="B1948" s="5" t="s">
        <v>1793</v>
      </c>
      <c r="C1948" s="5">
        <v>522217973282</v>
      </c>
      <c r="D1948" s="5" t="s">
        <v>38</v>
      </c>
      <c r="E1948" s="5">
        <v>8.0566583E7</v>
      </c>
      <c r="F1948" s="5"/>
      <c r="G1948" s="5"/>
      <c r="H1948" s="5"/>
      <c r="I1948" s="6"/>
      <c r="J1948" s="7" t="s">
        <v>18</v>
      </c>
      <c r="K1948" s="7" t="s">
        <v>61</v>
      </c>
      <c r="L1948" s="8">
        <v>1.771715863465E12</v>
      </c>
      <c r="M1948" s="9"/>
      <c r="N1948" s="10"/>
      <c r="O1948" s="10"/>
      <c r="P1948" s="10"/>
      <c r="Q1948" s="10"/>
      <c r="R1948" s="10"/>
      <c r="S1948" s="10"/>
      <c r="T1948" s="10"/>
      <c r="U1948" s="10"/>
      <c r="V1948" s="10"/>
    </row>
    <row r="1949" ht="22.5" customHeight="1">
      <c r="A1949" s="5">
        <v>2.0443640736E11</v>
      </c>
      <c r="B1949" s="5" t="s">
        <v>1794</v>
      </c>
      <c r="C1949" s="5">
        <v>51926150269</v>
      </c>
      <c r="D1949" s="5" t="s">
        <v>38</v>
      </c>
      <c r="E1949" s="5">
        <v>8.0566583E7</v>
      </c>
      <c r="F1949" s="5"/>
      <c r="G1949" s="5"/>
      <c r="H1949" s="5"/>
      <c r="I1949" s="6"/>
      <c r="J1949" s="7" t="s">
        <v>18</v>
      </c>
      <c r="K1949" s="7" t="s">
        <v>19</v>
      </c>
      <c r="L1949" s="8">
        <v>1.771716593309E12</v>
      </c>
      <c r="M1949" s="9"/>
      <c r="N1949" s="10"/>
      <c r="O1949" s="10"/>
      <c r="P1949" s="10"/>
      <c r="Q1949" s="10"/>
      <c r="R1949" s="10"/>
      <c r="S1949" s="10"/>
      <c r="T1949" s="10"/>
      <c r="U1949" s="10"/>
      <c r="V1949" s="10"/>
    </row>
    <row r="1950" ht="22.5" customHeight="1">
      <c r="A1950" s="5">
        <v>2.0443604234E11</v>
      </c>
      <c r="B1950" s="5" t="s">
        <v>1795</v>
      </c>
      <c r="C1950" s="5">
        <v>51978692442</v>
      </c>
      <c r="D1950" s="5" t="s">
        <v>38</v>
      </c>
      <c r="E1950" s="5">
        <v>8.7547393E7</v>
      </c>
      <c r="F1950" s="5"/>
      <c r="G1950" s="5" t="s">
        <v>15</v>
      </c>
      <c r="H1950" s="5" t="s">
        <v>51</v>
      </c>
      <c r="I1950" s="6" t="s">
        <v>17</v>
      </c>
      <c r="J1950" s="7" t="s">
        <v>18</v>
      </c>
      <c r="K1950" s="7" t="s">
        <v>19</v>
      </c>
      <c r="L1950" s="8">
        <v>1.771716712306E12</v>
      </c>
      <c r="M1950" s="9"/>
      <c r="N1950" s="10"/>
      <c r="O1950" s="10"/>
      <c r="P1950" s="10"/>
      <c r="Q1950" s="10"/>
      <c r="R1950" s="10"/>
      <c r="S1950" s="10"/>
      <c r="T1950" s="10"/>
      <c r="U1950" s="10"/>
      <c r="V1950" s="10"/>
    </row>
    <row r="1951" ht="22.5" customHeight="1">
      <c r="A1951" s="5">
        <v>2.04446257934E11</v>
      </c>
      <c r="B1951" s="5" t="s">
        <v>1796</v>
      </c>
      <c r="C1951" s="5">
        <v>51941280525</v>
      </c>
      <c r="D1951" s="5" t="s">
        <v>13</v>
      </c>
      <c r="E1951" s="5">
        <v>8.0566583E7</v>
      </c>
      <c r="F1951" s="5" t="s">
        <v>28</v>
      </c>
      <c r="G1951" s="5" t="s">
        <v>15</v>
      </c>
      <c r="H1951" s="5" t="s">
        <v>16</v>
      </c>
      <c r="I1951" s="6" t="s">
        <v>17</v>
      </c>
      <c r="J1951" s="7" t="s">
        <v>18</v>
      </c>
      <c r="K1951" s="7" t="s">
        <v>19</v>
      </c>
      <c r="L1951" s="8">
        <v>1.77171769376E12</v>
      </c>
      <c r="M1951" s="9"/>
      <c r="N1951" s="10"/>
      <c r="O1951" s="10"/>
      <c r="P1951" s="10"/>
      <c r="Q1951" s="10"/>
      <c r="R1951" s="10"/>
      <c r="S1951" s="10"/>
      <c r="T1951" s="10"/>
      <c r="U1951" s="10"/>
      <c r="V1951" s="10"/>
    </row>
    <row r="1952" ht="22.5" customHeight="1">
      <c r="A1952" s="5">
        <v>2.0444677108E11</v>
      </c>
      <c r="B1952" s="5" t="s">
        <v>1797</v>
      </c>
      <c r="C1952" s="5">
        <v>51961787196</v>
      </c>
      <c r="D1952" s="5" t="s">
        <v>13</v>
      </c>
      <c r="E1952" s="5">
        <v>8.0566583E7</v>
      </c>
      <c r="F1952" s="5" t="s">
        <v>82</v>
      </c>
      <c r="G1952" s="5" t="s">
        <v>15</v>
      </c>
      <c r="H1952" s="5" t="s">
        <v>1579</v>
      </c>
      <c r="I1952" s="6" t="s">
        <v>17</v>
      </c>
      <c r="J1952" s="7" t="s">
        <v>34</v>
      </c>
      <c r="K1952" s="7"/>
      <c r="L1952" s="8">
        <v>1.771718250388E12</v>
      </c>
      <c r="M1952" s="9"/>
      <c r="N1952" s="10"/>
      <c r="O1952" s="10"/>
      <c r="P1952" s="10"/>
      <c r="Q1952" s="10"/>
      <c r="R1952" s="10"/>
      <c r="S1952" s="10"/>
      <c r="T1952" s="10"/>
      <c r="U1952" s="10"/>
      <c r="V1952" s="10"/>
    </row>
    <row r="1953" ht="22.5" customHeight="1">
      <c r="A1953" s="5">
        <v>2.04440149113E11</v>
      </c>
      <c r="B1953" s="5" t="s">
        <v>1798</v>
      </c>
      <c r="C1953" s="5">
        <v>51966349485</v>
      </c>
      <c r="D1953" s="5" t="s">
        <v>103</v>
      </c>
      <c r="E1953" s="5">
        <v>8.0566583E7</v>
      </c>
      <c r="F1953" s="5" t="s">
        <v>28</v>
      </c>
      <c r="G1953" s="5" t="s">
        <v>79</v>
      </c>
      <c r="H1953" s="5" t="s">
        <v>24</v>
      </c>
      <c r="I1953" s="6" t="s">
        <v>17</v>
      </c>
      <c r="J1953" s="7" t="s">
        <v>18</v>
      </c>
      <c r="K1953" s="7" t="s">
        <v>1799</v>
      </c>
      <c r="L1953" s="8">
        <v>1.771718754167E12</v>
      </c>
      <c r="M1953" s="9"/>
      <c r="N1953" s="10"/>
      <c r="O1953" s="10"/>
      <c r="P1953" s="10"/>
      <c r="Q1953" s="10"/>
      <c r="R1953" s="10"/>
      <c r="S1953" s="10"/>
      <c r="T1953" s="10"/>
      <c r="U1953" s="10"/>
      <c r="V1953" s="10"/>
    </row>
    <row r="1954" ht="22.5" customHeight="1">
      <c r="A1954" s="5">
        <v>2.04453135256E11</v>
      </c>
      <c r="B1954" s="5" t="s">
        <v>1800</v>
      </c>
      <c r="C1954" s="5">
        <v>5511999945448</v>
      </c>
      <c r="D1954" s="5" t="s">
        <v>13</v>
      </c>
      <c r="E1954" s="5">
        <v>7.9360573E7</v>
      </c>
      <c r="F1954" s="5" t="s">
        <v>28</v>
      </c>
      <c r="G1954" s="5" t="s">
        <v>15</v>
      </c>
      <c r="H1954" s="5" t="s">
        <v>16</v>
      </c>
      <c r="I1954" s="6" t="s">
        <v>17</v>
      </c>
      <c r="J1954" s="7" t="s">
        <v>34</v>
      </c>
      <c r="K1954" s="7"/>
      <c r="L1954" s="8">
        <v>1.771722997696E12</v>
      </c>
      <c r="M1954" s="9"/>
      <c r="N1954" s="10"/>
      <c r="O1954" s="10"/>
      <c r="P1954" s="10"/>
      <c r="Q1954" s="10"/>
      <c r="R1954" s="10"/>
      <c r="S1954" s="10"/>
      <c r="T1954" s="10"/>
      <c r="U1954" s="10"/>
      <c r="V1954" s="10"/>
    </row>
    <row r="1955" ht="22.5" customHeight="1">
      <c r="A1955" s="5">
        <v>2.04455321942E11</v>
      </c>
      <c r="B1955" s="5" t="s">
        <v>1801</v>
      </c>
      <c r="C1955" s="5">
        <v>51904548710</v>
      </c>
      <c r="D1955" s="5" t="s">
        <v>13</v>
      </c>
      <c r="E1955" s="5">
        <v>8.7547393E7</v>
      </c>
      <c r="F1955" s="5" t="s">
        <v>39</v>
      </c>
      <c r="G1955" s="5" t="s">
        <v>15</v>
      </c>
      <c r="H1955" s="5" t="s">
        <v>51</v>
      </c>
      <c r="I1955" s="6" t="s">
        <v>63</v>
      </c>
      <c r="J1955" s="7" t="s">
        <v>18</v>
      </c>
      <c r="K1955" s="7" t="s">
        <v>19</v>
      </c>
      <c r="L1955" s="8"/>
      <c r="M1955" s="9"/>
      <c r="N1955" s="10"/>
      <c r="O1955" s="10"/>
      <c r="P1955" s="10"/>
      <c r="Q1955" s="10"/>
      <c r="R1955" s="10"/>
      <c r="S1955" s="10"/>
      <c r="T1955" s="10"/>
      <c r="U1955" s="10"/>
      <c r="V1955" s="10"/>
    </row>
    <row r="1956" ht="22.5" customHeight="1">
      <c r="A1956" s="5">
        <v>2.04460800137E11</v>
      </c>
      <c r="B1956" s="5" t="s">
        <v>1802</v>
      </c>
      <c r="C1956" s="5">
        <v>51921708311</v>
      </c>
      <c r="D1956" s="5" t="s">
        <v>13</v>
      </c>
      <c r="E1956" s="5">
        <v>8.0566583E7</v>
      </c>
      <c r="F1956" s="5" t="s">
        <v>39</v>
      </c>
      <c r="G1956" s="5" t="s">
        <v>15</v>
      </c>
      <c r="H1956" s="5" t="s">
        <v>69</v>
      </c>
      <c r="I1956" s="6" t="s">
        <v>63</v>
      </c>
      <c r="J1956" s="7" t="s">
        <v>18</v>
      </c>
      <c r="K1956" s="7" t="s">
        <v>19</v>
      </c>
      <c r="L1956" s="8">
        <v>1.771726568429E12</v>
      </c>
      <c r="M1956" s="9"/>
      <c r="N1956" s="10"/>
      <c r="O1956" s="10"/>
      <c r="P1956" s="10"/>
      <c r="Q1956" s="10"/>
      <c r="R1956" s="10"/>
      <c r="S1956" s="10"/>
      <c r="T1956" s="10"/>
      <c r="U1956" s="10"/>
      <c r="V1956" s="10"/>
    </row>
    <row r="1957" ht="22.5" customHeight="1">
      <c r="A1957" s="5">
        <v>2.04466891841E11</v>
      </c>
      <c r="B1957" s="5" t="s">
        <v>1803</v>
      </c>
      <c r="C1957" s="5">
        <v>51979180016</v>
      </c>
      <c r="D1957" s="5" t="s">
        <v>13</v>
      </c>
      <c r="E1957" s="5">
        <v>8.7547393E7</v>
      </c>
      <c r="F1957" s="5" t="s">
        <v>39</v>
      </c>
      <c r="G1957" s="5" t="s">
        <v>15</v>
      </c>
      <c r="H1957" s="5" t="s">
        <v>24</v>
      </c>
      <c r="I1957" s="6" t="s">
        <v>17</v>
      </c>
      <c r="J1957" s="7" t="s">
        <v>18</v>
      </c>
      <c r="K1957" s="7" t="s">
        <v>19</v>
      </c>
      <c r="L1957" s="8">
        <v>1.771727655691E12</v>
      </c>
      <c r="M1957" s="9"/>
      <c r="N1957" s="10"/>
      <c r="O1957" s="10"/>
      <c r="P1957" s="10"/>
      <c r="Q1957" s="10"/>
      <c r="R1957" s="10"/>
      <c r="S1957" s="10"/>
      <c r="T1957" s="10"/>
      <c r="U1957" s="10"/>
      <c r="V1957" s="10"/>
    </row>
    <row r="1958" ht="22.5" customHeight="1">
      <c r="A1958" s="5">
        <v>2.04469722907E11</v>
      </c>
      <c r="B1958" s="5" t="s">
        <v>1804</v>
      </c>
      <c r="C1958" s="5">
        <v>5531982453087</v>
      </c>
      <c r="D1958" s="5" t="s">
        <v>13</v>
      </c>
      <c r="E1958" s="5">
        <v>7.9360573E7</v>
      </c>
      <c r="F1958" s="5" t="s">
        <v>259</v>
      </c>
      <c r="G1958" s="5" t="s">
        <v>15</v>
      </c>
      <c r="H1958" s="5" t="s">
        <v>33</v>
      </c>
      <c r="I1958" s="6" t="s">
        <v>17</v>
      </c>
      <c r="J1958" s="7" t="s">
        <v>34</v>
      </c>
      <c r="K1958" s="7"/>
      <c r="L1958" s="8">
        <v>1.77172980279E12</v>
      </c>
      <c r="M1958" s="9"/>
      <c r="N1958" s="10"/>
      <c r="O1958" s="10"/>
      <c r="P1958" s="10"/>
      <c r="Q1958" s="10"/>
      <c r="R1958" s="10"/>
      <c r="S1958" s="10"/>
      <c r="T1958" s="10"/>
      <c r="U1958" s="10"/>
      <c r="V1958" s="10"/>
    </row>
    <row r="1959" ht="22.5" customHeight="1">
      <c r="A1959" s="5">
        <v>1.41909014443E11</v>
      </c>
      <c r="B1959" s="5" t="s">
        <v>1805</v>
      </c>
      <c r="C1959" s="5">
        <v>51987594294</v>
      </c>
      <c r="D1959" s="5" t="s">
        <v>13</v>
      </c>
      <c r="E1959" s="5">
        <v>8.7547393E7</v>
      </c>
      <c r="F1959" s="5" t="s">
        <v>714</v>
      </c>
      <c r="G1959" s="5" t="s">
        <v>104</v>
      </c>
      <c r="H1959" s="5" t="s">
        <v>66</v>
      </c>
      <c r="I1959" s="6" t="s">
        <v>148</v>
      </c>
      <c r="J1959" s="7" t="s">
        <v>18</v>
      </c>
      <c r="K1959" s="7" t="s">
        <v>116</v>
      </c>
      <c r="L1959" s="8">
        <v>1.771730580037E12</v>
      </c>
      <c r="M1959" s="9"/>
      <c r="N1959" s="10"/>
      <c r="O1959" s="10"/>
      <c r="P1959" s="10"/>
      <c r="Q1959" s="10"/>
      <c r="R1959" s="10"/>
      <c r="S1959" s="10"/>
      <c r="T1959" s="10"/>
      <c r="U1959" s="10"/>
      <c r="V1959" s="10"/>
    </row>
    <row r="1960" ht="22.5" customHeight="1">
      <c r="A1960" s="5">
        <v>2.04458633769E11</v>
      </c>
      <c r="B1960" s="5" t="s">
        <v>1806</v>
      </c>
      <c r="C1960" s="5">
        <v>51917620280</v>
      </c>
      <c r="D1960" s="5" t="s">
        <v>22</v>
      </c>
      <c r="E1960" s="5">
        <v>8.7547393E7</v>
      </c>
      <c r="F1960" s="5" t="s">
        <v>28</v>
      </c>
      <c r="G1960" s="5" t="s">
        <v>44</v>
      </c>
      <c r="H1960" s="5" t="s">
        <v>16</v>
      </c>
      <c r="I1960" s="6" t="s">
        <v>17</v>
      </c>
      <c r="J1960" s="7" t="s">
        <v>18</v>
      </c>
      <c r="K1960" s="7" t="s">
        <v>19</v>
      </c>
      <c r="L1960" s="8">
        <v>1.771730622664E12</v>
      </c>
      <c r="M1960" s="9"/>
      <c r="N1960" s="10"/>
      <c r="O1960" s="10"/>
      <c r="P1960" s="10"/>
      <c r="Q1960" s="10"/>
      <c r="R1960" s="10"/>
      <c r="S1960" s="10"/>
      <c r="T1960" s="10"/>
      <c r="U1960" s="10"/>
      <c r="V1960" s="10"/>
    </row>
    <row r="1961" ht="22.5" customHeight="1">
      <c r="A1961" s="5">
        <v>2.04468831551E11</v>
      </c>
      <c r="B1961" s="5" t="s">
        <v>1807</v>
      </c>
      <c r="C1961" s="5">
        <v>51982424125</v>
      </c>
      <c r="D1961" s="5" t="s">
        <v>13</v>
      </c>
      <c r="E1961" s="5">
        <v>8.7547393E7</v>
      </c>
      <c r="F1961" s="5" t="s">
        <v>259</v>
      </c>
      <c r="G1961" s="5" t="s">
        <v>15</v>
      </c>
      <c r="H1961" s="5" t="s">
        <v>24</v>
      </c>
      <c r="I1961" s="6" t="s">
        <v>17</v>
      </c>
      <c r="J1961" s="7" t="s">
        <v>34</v>
      </c>
      <c r="K1961" s="7"/>
      <c r="L1961" s="8">
        <v>1.771732267722E12</v>
      </c>
      <c r="M1961" s="9"/>
      <c r="N1961" s="10"/>
      <c r="O1961" s="10"/>
      <c r="P1961" s="10"/>
      <c r="Q1961" s="10"/>
      <c r="R1961" s="10"/>
      <c r="S1961" s="10"/>
      <c r="T1961" s="10"/>
      <c r="U1961" s="10"/>
      <c r="V1961" s="10"/>
    </row>
    <row r="1962" ht="22.5" customHeight="1">
      <c r="A1962" s="5">
        <v>1.50567667604E11</v>
      </c>
      <c r="B1962" s="5" t="s">
        <v>1808</v>
      </c>
      <c r="C1962" s="5">
        <v>51996489603</v>
      </c>
      <c r="D1962" s="5" t="s">
        <v>13</v>
      </c>
      <c r="E1962" s="5">
        <v>8.7547393E7</v>
      </c>
      <c r="F1962" s="5" t="s">
        <v>14</v>
      </c>
      <c r="G1962" s="5" t="s">
        <v>15</v>
      </c>
      <c r="H1962" s="5" t="s">
        <v>51</v>
      </c>
      <c r="I1962" s="6"/>
      <c r="J1962" s="7" t="s">
        <v>18</v>
      </c>
      <c r="K1962" s="7" t="s">
        <v>116</v>
      </c>
      <c r="L1962" s="8">
        <v>1.771734401749E12</v>
      </c>
      <c r="M1962" s="9"/>
      <c r="N1962" s="10"/>
      <c r="O1962" s="10"/>
      <c r="P1962" s="10"/>
      <c r="Q1962" s="10"/>
      <c r="R1962" s="10"/>
      <c r="S1962" s="10"/>
      <c r="T1962" s="10"/>
      <c r="U1962" s="10"/>
      <c r="V1962" s="10"/>
    </row>
    <row r="1963" ht="22.5" customHeight="1">
      <c r="A1963" s="5">
        <v>2.04484869263E11</v>
      </c>
      <c r="B1963" s="5" t="s">
        <v>1809</v>
      </c>
      <c r="C1963" s="5">
        <v>51921999004</v>
      </c>
      <c r="D1963" s="5" t="s">
        <v>13</v>
      </c>
      <c r="E1963" s="5">
        <v>8.0566583E7</v>
      </c>
      <c r="F1963" s="5" t="s">
        <v>39</v>
      </c>
      <c r="G1963" s="5" t="s">
        <v>104</v>
      </c>
      <c r="H1963" s="5" t="s">
        <v>188</v>
      </c>
      <c r="I1963" s="6" t="s">
        <v>17</v>
      </c>
      <c r="J1963" s="7" t="s">
        <v>18</v>
      </c>
      <c r="K1963" s="7" t="s">
        <v>1122</v>
      </c>
      <c r="L1963" s="8">
        <v>1.77173502431E12</v>
      </c>
      <c r="M1963" s="9"/>
      <c r="N1963" s="10"/>
      <c r="O1963" s="10"/>
      <c r="P1963" s="10"/>
      <c r="Q1963" s="10"/>
      <c r="R1963" s="10"/>
      <c r="S1963" s="10"/>
      <c r="T1963" s="10"/>
      <c r="U1963" s="10"/>
      <c r="V1963" s="10"/>
    </row>
    <row r="1964" ht="22.5" customHeight="1">
      <c r="A1964" s="5">
        <v>2.04474557066E11</v>
      </c>
      <c r="B1964" s="5" t="s">
        <v>1810</v>
      </c>
      <c r="C1964" s="5">
        <v>51958038569</v>
      </c>
      <c r="D1964" s="5" t="s">
        <v>13</v>
      </c>
      <c r="E1964" s="5">
        <v>8.0566583E7</v>
      </c>
      <c r="F1964" s="5" t="s">
        <v>510</v>
      </c>
      <c r="G1964" s="5" t="s">
        <v>44</v>
      </c>
      <c r="H1964" s="5" t="s">
        <v>24</v>
      </c>
      <c r="I1964" s="6" t="s">
        <v>17</v>
      </c>
      <c r="J1964" s="7" t="s">
        <v>18</v>
      </c>
      <c r="K1964" s="7" t="s">
        <v>19</v>
      </c>
      <c r="L1964" s="8">
        <v>1.771735648391E12</v>
      </c>
      <c r="M1964" s="9"/>
      <c r="N1964" s="10"/>
      <c r="O1964" s="10"/>
      <c r="P1964" s="10"/>
      <c r="Q1964" s="10"/>
      <c r="R1964" s="10"/>
      <c r="S1964" s="10"/>
      <c r="T1964" s="10"/>
      <c r="U1964" s="10"/>
      <c r="V1964" s="10"/>
    </row>
    <row r="1965" ht="22.5" customHeight="1">
      <c r="A1965" s="5">
        <v>2.04471648182E11</v>
      </c>
      <c r="B1965" s="5" t="s">
        <v>1811</v>
      </c>
      <c r="C1965" s="5">
        <v>51924645206</v>
      </c>
      <c r="D1965" s="5" t="s">
        <v>22</v>
      </c>
      <c r="E1965" s="5">
        <v>8.7547393E7</v>
      </c>
      <c r="F1965" s="5" t="s">
        <v>28</v>
      </c>
      <c r="G1965" s="5" t="s">
        <v>44</v>
      </c>
      <c r="H1965" s="5" t="s">
        <v>16</v>
      </c>
      <c r="I1965" s="6" t="s">
        <v>17</v>
      </c>
      <c r="J1965" s="7" t="s">
        <v>34</v>
      </c>
      <c r="K1965" s="7"/>
      <c r="L1965" s="8">
        <v>1.771736378396E12</v>
      </c>
      <c r="M1965" s="9"/>
      <c r="N1965" s="10"/>
      <c r="O1965" s="10"/>
      <c r="P1965" s="10"/>
      <c r="Q1965" s="10"/>
      <c r="R1965" s="10"/>
      <c r="S1965" s="10"/>
      <c r="T1965" s="10"/>
      <c r="U1965" s="10"/>
      <c r="V1965" s="10"/>
    </row>
    <row r="1966" ht="22.5" customHeight="1">
      <c r="A1966" s="5">
        <v>2.04485558665E11</v>
      </c>
      <c r="B1966" s="5" t="s">
        <v>1812</v>
      </c>
      <c r="C1966" s="5">
        <v>51903436798</v>
      </c>
      <c r="D1966" s="5" t="s">
        <v>22</v>
      </c>
      <c r="E1966" s="5">
        <v>8.7547393E7</v>
      </c>
      <c r="F1966" s="5" t="s">
        <v>28</v>
      </c>
      <c r="G1966" s="5" t="s">
        <v>32</v>
      </c>
      <c r="H1966" s="5" t="s">
        <v>16</v>
      </c>
      <c r="I1966" s="6" t="s">
        <v>17</v>
      </c>
      <c r="J1966" s="7" t="s">
        <v>34</v>
      </c>
      <c r="K1966" s="7"/>
      <c r="L1966" s="8">
        <v>1.771737170512E12</v>
      </c>
      <c r="M1966" s="9"/>
      <c r="N1966" s="10"/>
      <c r="O1966" s="10"/>
      <c r="P1966" s="10"/>
      <c r="Q1966" s="10"/>
      <c r="R1966" s="10"/>
      <c r="S1966" s="10"/>
      <c r="T1966" s="10"/>
      <c r="U1966" s="10"/>
      <c r="V1966" s="10"/>
    </row>
    <row r="1967" ht="22.5" customHeight="1">
      <c r="A1967" s="5">
        <v>2.0448702293E11</v>
      </c>
      <c r="B1967" s="5" t="s">
        <v>1813</v>
      </c>
      <c r="C1967" s="5">
        <v>5531994008165</v>
      </c>
      <c r="D1967" s="5" t="s">
        <v>13</v>
      </c>
      <c r="E1967" s="5">
        <v>7.9360573E7</v>
      </c>
      <c r="F1967" s="5" t="s">
        <v>93</v>
      </c>
      <c r="G1967" s="5" t="s">
        <v>15</v>
      </c>
      <c r="H1967" s="5" t="s">
        <v>66</v>
      </c>
      <c r="I1967" s="6" t="s">
        <v>17</v>
      </c>
      <c r="J1967" s="7" t="s">
        <v>124</v>
      </c>
      <c r="K1967" s="7" t="s">
        <v>1256</v>
      </c>
      <c r="L1967" s="8">
        <v>1.771739081381E12</v>
      </c>
      <c r="M1967" s="9"/>
      <c r="N1967" s="10"/>
      <c r="O1967" s="10"/>
      <c r="P1967" s="10"/>
      <c r="Q1967" s="10"/>
      <c r="R1967" s="10"/>
      <c r="S1967" s="10"/>
      <c r="T1967" s="10"/>
      <c r="U1967" s="10"/>
      <c r="V1967" s="10"/>
    </row>
    <row r="1968" ht="22.5" customHeight="1">
      <c r="A1968" s="5">
        <v>2.04474859685E11</v>
      </c>
      <c r="B1968" s="5" t="s">
        <v>1814</v>
      </c>
      <c r="C1968" s="5">
        <v>51989009781</v>
      </c>
      <c r="D1968" s="5" t="s">
        <v>13</v>
      </c>
      <c r="E1968" s="5">
        <v>8.0566583E7</v>
      </c>
      <c r="F1968" s="5" t="s">
        <v>65</v>
      </c>
      <c r="G1968" s="5" t="s">
        <v>32</v>
      </c>
      <c r="H1968" s="5" t="s">
        <v>16</v>
      </c>
      <c r="I1968" s="6" t="s">
        <v>49</v>
      </c>
      <c r="J1968" s="7" t="s">
        <v>34</v>
      </c>
      <c r="K1968" s="7"/>
      <c r="L1968" s="8">
        <v>1.77173928918E12</v>
      </c>
      <c r="M1968" s="9"/>
      <c r="N1968" s="10"/>
      <c r="O1968" s="10"/>
      <c r="P1968" s="10"/>
      <c r="Q1968" s="10"/>
      <c r="R1968" s="10"/>
      <c r="S1968" s="10"/>
      <c r="T1968" s="10"/>
      <c r="U1968" s="10"/>
      <c r="V1968" s="10"/>
    </row>
    <row r="1969" ht="22.5" customHeight="1">
      <c r="A1969" s="5">
        <v>2.04477118334E11</v>
      </c>
      <c r="B1969" s="5" t="s">
        <v>1815</v>
      </c>
      <c r="C1969" s="5">
        <v>526561480166</v>
      </c>
      <c r="D1969" s="5" t="s">
        <v>13</v>
      </c>
      <c r="E1969" s="5">
        <v>8.0566583E7</v>
      </c>
      <c r="F1969" s="5" t="s">
        <v>714</v>
      </c>
      <c r="G1969" s="5" t="s">
        <v>15</v>
      </c>
      <c r="H1969" s="5" t="s">
        <v>66</v>
      </c>
      <c r="I1969" s="6" t="s">
        <v>63</v>
      </c>
      <c r="J1969" s="7" t="s">
        <v>18</v>
      </c>
      <c r="K1969" s="7" t="s">
        <v>61</v>
      </c>
      <c r="L1969" s="8">
        <v>1.771739884847E12</v>
      </c>
      <c r="M1969" s="9"/>
      <c r="N1969" s="10"/>
      <c r="O1969" s="10"/>
      <c r="P1969" s="10"/>
      <c r="Q1969" s="10"/>
      <c r="R1969" s="10"/>
      <c r="S1969" s="10"/>
      <c r="T1969" s="10"/>
      <c r="U1969" s="10"/>
      <c r="V1969" s="10"/>
    </row>
    <row r="1970" ht="22.5" customHeight="1">
      <c r="A1970" s="5">
        <v>2.04488506127E11</v>
      </c>
      <c r="B1970" s="5" t="s">
        <v>1816</v>
      </c>
      <c r="C1970" s="5">
        <v>51987874849</v>
      </c>
      <c r="D1970" s="5" t="s">
        <v>13</v>
      </c>
      <c r="E1970" s="5">
        <v>8.7547393E7</v>
      </c>
      <c r="F1970" s="5" t="s">
        <v>39</v>
      </c>
      <c r="G1970" s="5" t="s">
        <v>32</v>
      </c>
      <c r="H1970" s="5" t="s">
        <v>24</v>
      </c>
      <c r="I1970" s="6" t="s">
        <v>36</v>
      </c>
      <c r="J1970" s="7" t="s">
        <v>34</v>
      </c>
      <c r="K1970" s="7"/>
      <c r="L1970" s="8">
        <v>1.771741687357E12</v>
      </c>
      <c r="M1970" s="9"/>
      <c r="N1970" s="10"/>
      <c r="O1970" s="10"/>
      <c r="P1970" s="10"/>
      <c r="Q1970" s="10"/>
      <c r="R1970" s="10"/>
      <c r="S1970" s="10"/>
      <c r="T1970" s="10"/>
      <c r="U1970" s="10"/>
      <c r="V1970" s="10"/>
    </row>
    <row r="1971" ht="22.5" customHeight="1">
      <c r="A1971" s="5">
        <v>2.0447791386E11</v>
      </c>
      <c r="B1971" s="5" t="s">
        <v>1817</v>
      </c>
      <c r="C1971" s="5">
        <v>5511976325908</v>
      </c>
      <c r="D1971" s="5" t="s">
        <v>13</v>
      </c>
      <c r="E1971" s="5">
        <v>7.9360573E7</v>
      </c>
      <c r="F1971" s="5" t="s">
        <v>28</v>
      </c>
      <c r="G1971" s="5" t="s">
        <v>15</v>
      </c>
      <c r="H1971" s="5" t="s">
        <v>51</v>
      </c>
      <c r="I1971" s="6" t="s">
        <v>36</v>
      </c>
      <c r="J1971" s="7" t="s">
        <v>34</v>
      </c>
      <c r="K1971" s="7"/>
      <c r="L1971" s="8">
        <v>1.771742622496E12</v>
      </c>
      <c r="M1971" s="9"/>
      <c r="N1971" s="10"/>
      <c r="O1971" s="10"/>
      <c r="P1971" s="10"/>
      <c r="Q1971" s="10"/>
      <c r="R1971" s="10"/>
      <c r="S1971" s="10"/>
      <c r="T1971" s="10"/>
      <c r="U1971" s="10"/>
      <c r="V1971" s="10"/>
    </row>
    <row r="1972" ht="22.5" customHeight="1">
      <c r="A1972" s="5">
        <v>2.04508714292E11</v>
      </c>
      <c r="B1972" s="5" t="s">
        <v>1818</v>
      </c>
      <c r="C1972" s="5">
        <v>522292210104</v>
      </c>
      <c r="D1972" s="5" t="s">
        <v>13</v>
      </c>
      <c r="E1972" s="5">
        <v>8.7547393E7</v>
      </c>
      <c r="F1972" s="5" t="s">
        <v>42</v>
      </c>
      <c r="G1972" s="5" t="s">
        <v>15</v>
      </c>
      <c r="H1972" s="5" t="s">
        <v>66</v>
      </c>
      <c r="I1972" s="6" t="s">
        <v>36</v>
      </c>
      <c r="J1972" s="7" t="s">
        <v>18</v>
      </c>
      <c r="K1972" s="7" t="s">
        <v>61</v>
      </c>
      <c r="L1972" s="8">
        <v>1.771750291251E12</v>
      </c>
      <c r="M1972" s="9"/>
      <c r="N1972" s="10"/>
      <c r="O1972" s="10"/>
      <c r="P1972" s="10"/>
      <c r="Q1972" s="10"/>
      <c r="R1972" s="10"/>
      <c r="S1972" s="10"/>
      <c r="T1972" s="10"/>
      <c r="U1972" s="10"/>
      <c r="V1972" s="10"/>
    </row>
    <row r="1973" ht="22.5" customHeight="1">
      <c r="A1973" s="5">
        <v>2.04496307097E11</v>
      </c>
      <c r="B1973" s="5" t="s">
        <v>1819</v>
      </c>
      <c r="C1973" s="5">
        <v>527293009373</v>
      </c>
      <c r="D1973" s="5" t="s">
        <v>13</v>
      </c>
      <c r="E1973" s="5">
        <v>8.7547393E7</v>
      </c>
      <c r="F1973" s="5" t="s">
        <v>42</v>
      </c>
      <c r="G1973" s="5" t="s">
        <v>32</v>
      </c>
      <c r="H1973" s="5" t="s">
        <v>33</v>
      </c>
      <c r="I1973" s="6" t="s">
        <v>17</v>
      </c>
      <c r="J1973" s="7" t="s">
        <v>18</v>
      </c>
      <c r="K1973" s="7" t="s">
        <v>61</v>
      </c>
      <c r="L1973" s="8">
        <v>1.771750862338E12</v>
      </c>
      <c r="M1973" s="9"/>
      <c r="N1973" s="10"/>
      <c r="O1973" s="10"/>
      <c r="P1973" s="10"/>
      <c r="Q1973" s="10"/>
      <c r="R1973" s="10"/>
      <c r="S1973" s="10"/>
      <c r="T1973" s="10"/>
      <c r="U1973" s="10"/>
      <c r="V1973" s="10"/>
    </row>
    <row r="1974" ht="22.5" customHeight="1">
      <c r="A1974" s="5">
        <v>2.04500074798E11</v>
      </c>
      <c r="B1974" s="5" t="s">
        <v>1820</v>
      </c>
      <c r="C1974" s="5">
        <v>5524981375989</v>
      </c>
      <c r="D1974" s="5" t="s">
        <v>38</v>
      </c>
      <c r="E1974" s="5">
        <v>7.9360573E7</v>
      </c>
      <c r="F1974" s="5" t="s">
        <v>14</v>
      </c>
      <c r="G1974" s="5" t="s">
        <v>15</v>
      </c>
      <c r="H1974" s="5"/>
      <c r="I1974" s="6" t="s">
        <v>17</v>
      </c>
      <c r="J1974" s="7" t="s">
        <v>124</v>
      </c>
      <c r="K1974" s="7" t="s">
        <v>1256</v>
      </c>
      <c r="L1974" s="8">
        <v>1.771752826891E12</v>
      </c>
      <c r="M1974" s="9"/>
      <c r="N1974" s="10"/>
      <c r="O1974" s="10"/>
      <c r="P1974" s="10"/>
      <c r="Q1974" s="10"/>
      <c r="R1974" s="10"/>
      <c r="S1974" s="10"/>
      <c r="T1974" s="10"/>
      <c r="U1974" s="10"/>
      <c r="V1974" s="10"/>
    </row>
    <row r="1975" ht="22.5" customHeight="1">
      <c r="A1975" s="5">
        <v>2.04500820336E11</v>
      </c>
      <c r="B1975" s="5" t="s">
        <v>1821</v>
      </c>
      <c r="C1975" s="5">
        <v>5584994482653</v>
      </c>
      <c r="D1975" s="5" t="s">
        <v>22</v>
      </c>
      <c r="E1975" s="5">
        <v>7.9360573E7</v>
      </c>
      <c r="F1975" s="5" t="s">
        <v>259</v>
      </c>
      <c r="G1975" s="5" t="s">
        <v>44</v>
      </c>
      <c r="H1975" s="5" t="s">
        <v>16</v>
      </c>
      <c r="I1975" s="6" t="s">
        <v>148</v>
      </c>
      <c r="J1975" s="7" t="s">
        <v>58</v>
      </c>
      <c r="K1975" s="11" t="s">
        <v>59</v>
      </c>
      <c r="L1975" s="8">
        <v>1.771754912245E12</v>
      </c>
      <c r="M1975" s="9"/>
      <c r="N1975" s="10"/>
      <c r="O1975" s="10"/>
      <c r="P1975" s="10"/>
      <c r="Q1975" s="10"/>
      <c r="R1975" s="10"/>
      <c r="S1975" s="10"/>
      <c r="T1975" s="10"/>
      <c r="U1975" s="10"/>
      <c r="V1975" s="10"/>
    </row>
    <row r="1976" ht="22.5" customHeight="1">
      <c r="A1976" s="5">
        <v>2.04514020102E11</v>
      </c>
      <c r="B1976" s="5" t="s">
        <v>1822</v>
      </c>
      <c r="C1976" s="5">
        <v>5547997073216</v>
      </c>
      <c r="D1976" s="5" t="s">
        <v>13</v>
      </c>
      <c r="E1976" s="5">
        <v>7.9360573E7</v>
      </c>
      <c r="F1976" s="5" t="s">
        <v>510</v>
      </c>
      <c r="G1976" s="5" t="s">
        <v>79</v>
      </c>
      <c r="H1976" s="5" t="s">
        <v>24</v>
      </c>
      <c r="I1976" s="6" t="s">
        <v>17</v>
      </c>
      <c r="J1976" s="7" t="s">
        <v>34</v>
      </c>
      <c r="K1976" s="7"/>
      <c r="L1976" s="8">
        <v>1.771757077491E12</v>
      </c>
      <c r="M1976" s="9"/>
      <c r="N1976" s="10"/>
      <c r="O1976" s="10"/>
      <c r="P1976" s="10"/>
      <c r="Q1976" s="10"/>
      <c r="R1976" s="10"/>
      <c r="S1976" s="10"/>
      <c r="T1976" s="10"/>
      <c r="U1976" s="10"/>
      <c r="V1976" s="10"/>
    </row>
    <row r="1977" ht="22.5" customHeight="1">
      <c r="A1977" s="5">
        <v>2.04509952152E11</v>
      </c>
      <c r="B1977" s="5" t="s">
        <v>1823</v>
      </c>
      <c r="C1977" s="5">
        <v>5541999009390</v>
      </c>
      <c r="D1977" s="5" t="s">
        <v>38</v>
      </c>
      <c r="E1977" s="5">
        <v>7.9360573E7</v>
      </c>
      <c r="F1977" s="5"/>
      <c r="G1977" s="5"/>
      <c r="H1977" s="5"/>
      <c r="I1977" s="6"/>
      <c r="J1977" s="7" t="s">
        <v>34</v>
      </c>
      <c r="K1977" s="7"/>
      <c r="L1977" s="8">
        <v>1.771757797082E12</v>
      </c>
      <c r="M1977" s="9"/>
      <c r="N1977" s="10"/>
      <c r="O1977" s="10"/>
      <c r="P1977" s="10"/>
      <c r="Q1977" s="10"/>
      <c r="R1977" s="10"/>
      <c r="S1977" s="10"/>
      <c r="T1977" s="10"/>
      <c r="U1977" s="10"/>
      <c r="V1977" s="10"/>
    </row>
    <row r="1978" ht="22.5" customHeight="1">
      <c r="A1978" s="5">
        <v>2.0450278773E11</v>
      </c>
      <c r="B1978" s="5" t="s">
        <v>1824</v>
      </c>
      <c r="C1978" s="5">
        <v>51949763598</v>
      </c>
      <c r="D1978" s="5" t="s">
        <v>38</v>
      </c>
      <c r="E1978" s="5">
        <v>8.7547393E7</v>
      </c>
      <c r="F1978" s="5" t="s">
        <v>42</v>
      </c>
      <c r="G1978" s="5" t="s">
        <v>15</v>
      </c>
      <c r="H1978" s="5" t="s">
        <v>16</v>
      </c>
      <c r="I1978" s="6" t="s">
        <v>49</v>
      </c>
      <c r="J1978" s="7" t="s">
        <v>18</v>
      </c>
      <c r="K1978" s="7" t="s">
        <v>19</v>
      </c>
      <c r="L1978" s="8">
        <v>1.771758295086E12</v>
      </c>
      <c r="M1978" s="9"/>
      <c r="N1978" s="10"/>
      <c r="O1978" s="10"/>
      <c r="P1978" s="10"/>
      <c r="Q1978" s="10"/>
      <c r="R1978" s="10"/>
      <c r="S1978" s="10"/>
      <c r="T1978" s="10"/>
      <c r="U1978" s="10"/>
      <c r="V1978" s="10"/>
    </row>
    <row r="1979" ht="22.5" customHeight="1">
      <c r="A1979" s="5">
        <v>2.04516555182E11</v>
      </c>
      <c r="B1979" s="5" t="s">
        <v>1825</v>
      </c>
      <c r="C1979" s="5">
        <v>5527996065124</v>
      </c>
      <c r="D1979" s="5" t="s">
        <v>13</v>
      </c>
      <c r="E1979" s="5">
        <v>7.9360573E7</v>
      </c>
      <c r="F1979" s="5" t="s">
        <v>28</v>
      </c>
      <c r="G1979" s="5" t="s">
        <v>32</v>
      </c>
      <c r="H1979" s="5" t="s">
        <v>29</v>
      </c>
      <c r="I1979" s="6" t="s">
        <v>17</v>
      </c>
      <c r="J1979" s="7" t="s">
        <v>34</v>
      </c>
      <c r="K1979" s="7"/>
      <c r="L1979" s="8">
        <v>1.771758574856E12</v>
      </c>
      <c r="M1979" s="9"/>
      <c r="N1979" s="10"/>
      <c r="O1979" s="10"/>
      <c r="P1979" s="10"/>
      <c r="Q1979" s="10"/>
      <c r="R1979" s="10"/>
      <c r="S1979" s="10"/>
      <c r="T1979" s="10"/>
      <c r="U1979" s="10"/>
      <c r="V1979" s="10"/>
    </row>
    <row r="1980" ht="22.5" customHeight="1">
      <c r="A1980" s="5">
        <v>2.04516182319E11</v>
      </c>
      <c r="B1980" s="5" t="s">
        <v>1826</v>
      </c>
      <c r="C1980" s="5">
        <v>5532988378271</v>
      </c>
      <c r="D1980" s="5" t="s">
        <v>13</v>
      </c>
      <c r="E1980" s="5">
        <v>7.9360573E7</v>
      </c>
      <c r="F1980" s="5" t="s">
        <v>259</v>
      </c>
      <c r="G1980" s="5" t="s">
        <v>15</v>
      </c>
      <c r="H1980" s="5" t="s">
        <v>24</v>
      </c>
      <c r="I1980" s="6" t="s">
        <v>36</v>
      </c>
      <c r="J1980" s="7" t="s">
        <v>34</v>
      </c>
      <c r="K1980" s="7"/>
      <c r="L1980" s="8">
        <v>1.771758691189E12</v>
      </c>
      <c r="M1980" s="9"/>
      <c r="N1980" s="10"/>
      <c r="O1980" s="10"/>
      <c r="P1980" s="10"/>
      <c r="Q1980" s="10"/>
      <c r="R1980" s="10"/>
      <c r="S1980" s="10"/>
      <c r="T1980" s="10"/>
      <c r="U1980" s="10"/>
      <c r="V1980" s="10"/>
    </row>
    <row r="1981" ht="22.5" customHeight="1">
      <c r="A1981" s="5">
        <v>2.03246325885E11</v>
      </c>
      <c r="B1981" s="5" t="s">
        <v>1827</v>
      </c>
      <c r="C1981" s="5">
        <v>5547999531566</v>
      </c>
      <c r="D1981" s="5" t="s">
        <v>22</v>
      </c>
      <c r="E1981" s="5">
        <v>7.9360573E7</v>
      </c>
      <c r="F1981" s="5" t="s">
        <v>39</v>
      </c>
      <c r="G1981" s="5" t="s">
        <v>44</v>
      </c>
      <c r="H1981" s="5" t="s">
        <v>24</v>
      </c>
      <c r="I1981" s="6" t="s">
        <v>17</v>
      </c>
      <c r="J1981" s="7" t="s">
        <v>34</v>
      </c>
      <c r="K1981" s="7"/>
      <c r="L1981" s="8">
        <v>1.771759792731E12</v>
      </c>
      <c r="M1981" s="9"/>
      <c r="N1981" s="10"/>
      <c r="O1981" s="10"/>
      <c r="P1981" s="10"/>
      <c r="Q1981" s="10"/>
      <c r="R1981" s="10"/>
      <c r="S1981" s="10"/>
      <c r="T1981" s="10"/>
      <c r="U1981" s="10"/>
      <c r="V1981" s="10"/>
    </row>
    <row r="1982" ht="22.5" customHeight="1">
      <c r="A1982" s="5">
        <v>2.04524949931E11</v>
      </c>
      <c r="B1982" s="5" t="s">
        <v>1828</v>
      </c>
      <c r="C1982" s="5">
        <v>523342881820</v>
      </c>
      <c r="D1982" s="5" t="s">
        <v>38</v>
      </c>
      <c r="E1982" s="5">
        <v>8.0566583E7</v>
      </c>
      <c r="F1982" s="5"/>
      <c r="G1982" s="5"/>
      <c r="H1982" s="5"/>
      <c r="I1982" s="6"/>
      <c r="J1982" s="7" t="s">
        <v>18</v>
      </c>
      <c r="K1982" s="7" t="s">
        <v>61</v>
      </c>
      <c r="L1982" s="8">
        <v>1.771759934125E12</v>
      </c>
      <c r="M1982" s="9"/>
      <c r="N1982" s="10"/>
      <c r="O1982" s="10"/>
      <c r="P1982" s="10"/>
      <c r="Q1982" s="10"/>
      <c r="R1982" s="10"/>
      <c r="S1982" s="10"/>
      <c r="T1982" s="10"/>
      <c r="U1982" s="10"/>
      <c r="V1982" s="10"/>
    </row>
    <row r="1983" ht="22.5" customHeight="1">
      <c r="A1983" s="5">
        <v>2.04512288524E11</v>
      </c>
      <c r="B1983" s="5" t="s">
        <v>1829</v>
      </c>
      <c r="C1983" s="5">
        <v>51901745683</v>
      </c>
      <c r="D1983" s="5" t="s">
        <v>13</v>
      </c>
      <c r="E1983" s="5">
        <v>8.0566583E7</v>
      </c>
      <c r="F1983" s="5" t="s">
        <v>714</v>
      </c>
      <c r="G1983" s="5" t="s">
        <v>15</v>
      </c>
      <c r="H1983" s="5" t="s">
        <v>51</v>
      </c>
      <c r="I1983" s="6" t="s">
        <v>17</v>
      </c>
      <c r="J1983" s="7" t="s">
        <v>18</v>
      </c>
      <c r="K1983" s="7" t="s">
        <v>19</v>
      </c>
      <c r="L1983" s="8">
        <v>1.771760129779E12</v>
      </c>
      <c r="M1983" s="9"/>
      <c r="N1983" s="10"/>
      <c r="O1983" s="10"/>
      <c r="P1983" s="10"/>
      <c r="Q1983" s="10"/>
      <c r="R1983" s="10"/>
      <c r="S1983" s="10"/>
      <c r="T1983" s="10"/>
      <c r="U1983" s="10"/>
      <c r="V1983" s="10"/>
    </row>
    <row r="1984" ht="22.5" customHeight="1">
      <c r="A1984" s="5">
        <v>2.04516521657E11</v>
      </c>
      <c r="B1984" s="5" t="s">
        <v>1830</v>
      </c>
      <c r="C1984" s="5">
        <v>5591980475985</v>
      </c>
      <c r="D1984" s="5" t="s">
        <v>38</v>
      </c>
      <c r="E1984" s="5">
        <v>7.9360573E7</v>
      </c>
      <c r="F1984" s="5" t="s">
        <v>510</v>
      </c>
      <c r="G1984" s="5" t="s">
        <v>15</v>
      </c>
      <c r="H1984" s="5" t="s">
        <v>114</v>
      </c>
      <c r="I1984" s="6"/>
      <c r="J1984" s="7" t="s">
        <v>124</v>
      </c>
      <c r="K1984" s="7" t="s">
        <v>1256</v>
      </c>
      <c r="L1984" s="8">
        <v>1.771760581276E12</v>
      </c>
      <c r="M1984" s="9"/>
      <c r="N1984" s="10"/>
      <c r="O1984" s="10"/>
      <c r="P1984" s="10"/>
      <c r="Q1984" s="10"/>
      <c r="R1984" s="10"/>
      <c r="S1984" s="10"/>
      <c r="T1984" s="10"/>
      <c r="U1984" s="10"/>
      <c r="V1984" s="10"/>
    </row>
    <row r="1985" ht="22.5" customHeight="1">
      <c r="A1985" s="5">
        <v>2.04513207943E11</v>
      </c>
      <c r="B1985" s="5" t="s">
        <v>1831</v>
      </c>
      <c r="C1985" s="5">
        <v>51998247386</v>
      </c>
      <c r="D1985" s="5" t="s">
        <v>13</v>
      </c>
      <c r="E1985" s="5">
        <v>8.7547393E7</v>
      </c>
      <c r="F1985" s="5" t="s">
        <v>65</v>
      </c>
      <c r="G1985" s="5" t="s">
        <v>15</v>
      </c>
      <c r="H1985" s="5" t="s">
        <v>51</v>
      </c>
      <c r="I1985" s="6" t="s">
        <v>17</v>
      </c>
      <c r="J1985" s="7" t="s">
        <v>18</v>
      </c>
      <c r="K1985" s="7" t="s">
        <v>19</v>
      </c>
      <c r="L1985" s="8">
        <v>1.771760780109E12</v>
      </c>
      <c r="M1985" s="9"/>
      <c r="N1985" s="10"/>
      <c r="O1985" s="10"/>
      <c r="P1985" s="10"/>
      <c r="Q1985" s="10"/>
      <c r="R1985" s="10"/>
      <c r="S1985" s="10"/>
      <c r="T1985" s="10"/>
      <c r="U1985" s="10"/>
      <c r="V1985" s="10"/>
    </row>
    <row r="1986" ht="22.5" customHeight="1">
      <c r="A1986" s="5">
        <v>2.04526482846E11</v>
      </c>
      <c r="B1986" s="5" t="s">
        <v>1832</v>
      </c>
      <c r="C1986" s="5">
        <v>51925749224</v>
      </c>
      <c r="D1986" s="5" t="s">
        <v>13</v>
      </c>
      <c r="E1986" s="5">
        <v>8.7547393E7</v>
      </c>
      <c r="F1986" s="5" t="s">
        <v>28</v>
      </c>
      <c r="G1986" s="5" t="s">
        <v>15</v>
      </c>
      <c r="H1986" s="5" t="s">
        <v>51</v>
      </c>
      <c r="I1986" s="6" t="s">
        <v>63</v>
      </c>
      <c r="J1986" s="7" t="s">
        <v>18</v>
      </c>
      <c r="K1986" s="7" t="s">
        <v>19</v>
      </c>
      <c r="L1986" s="8">
        <v>1.771761389304E12</v>
      </c>
      <c r="M1986" s="9"/>
      <c r="N1986" s="10"/>
      <c r="O1986" s="10"/>
      <c r="P1986" s="10"/>
      <c r="Q1986" s="10"/>
      <c r="R1986" s="10"/>
      <c r="S1986" s="10"/>
      <c r="T1986" s="10"/>
      <c r="U1986" s="10"/>
      <c r="V1986" s="10"/>
    </row>
    <row r="1987" ht="22.5" customHeight="1">
      <c r="A1987" s="5">
        <v>1.71458953489E11</v>
      </c>
      <c r="B1987" s="5" t="s">
        <v>1833</v>
      </c>
      <c r="C1987" s="5">
        <v>51906596945</v>
      </c>
      <c r="D1987" s="5" t="s">
        <v>13</v>
      </c>
      <c r="E1987" s="5">
        <v>8.7547393E7</v>
      </c>
      <c r="F1987" s="5" t="s">
        <v>42</v>
      </c>
      <c r="G1987" s="5" t="s">
        <v>15</v>
      </c>
      <c r="H1987" s="5" t="s">
        <v>86</v>
      </c>
      <c r="I1987" s="6" t="s">
        <v>17</v>
      </c>
      <c r="J1987" s="7" t="s">
        <v>18</v>
      </c>
      <c r="K1987" s="7" t="s">
        <v>116</v>
      </c>
      <c r="L1987" s="8">
        <v>1.771761541343E12</v>
      </c>
      <c r="M1987" s="9"/>
      <c r="N1987" s="10"/>
      <c r="O1987" s="10"/>
      <c r="P1987" s="10"/>
      <c r="Q1987" s="10"/>
      <c r="R1987" s="10"/>
      <c r="S1987" s="10"/>
      <c r="T1987" s="10"/>
      <c r="U1987" s="10"/>
      <c r="V1987" s="10"/>
    </row>
    <row r="1988" ht="22.5" customHeight="1">
      <c r="A1988" s="5">
        <v>2.04516646793E11</v>
      </c>
      <c r="B1988" s="5" t="s">
        <v>1834</v>
      </c>
      <c r="C1988" s="5">
        <v>51960257375</v>
      </c>
      <c r="D1988" s="5" t="s">
        <v>38</v>
      </c>
      <c r="E1988" s="5">
        <v>8.0566583E7</v>
      </c>
      <c r="F1988" s="5" t="s">
        <v>42</v>
      </c>
      <c r="G1988" s="5" t="s">
        <v>15</v>
      </c>
      <c r="H1988" s="5" t="s">
        <v>51</v>
      </c>
      <c r="I1988" s="6" t="s">
        <v>17</v>
      </c>
      <c r="J1988" s="7" t="s">
        <v>18</v>
      </c>
      <c r="K1988" s="7" t="s">
        <v>19</v>
      </c>
      <c r="L1988" s="8">
        <v>1.771761705177E12</v>
      </c>
      <c r="M1988" s="9"/>
      <c r="N1988" s="10"/>
      <c r="O1988" s="10"/>
      <c r="P1988" s="10"/>
      <c r="Q1988" s="10"/>
      <c r="R1988" s="10"/>
      <c r="S1988" s="10"/>
      <c r="T1988" s="10"/>
      <c r="U1988" s="10"/>
      <c r="V1988" s="10"/>
    </row>
    <row r="1989" ht="22.5" customHeight="1">
      <c r="A1989" s="5">
        <v>2.04526523318E11</v>
      </c>
      <c r="B1989" s="5" t="s">
        <v>1835</v>
      </c>
      <c r="C1989" s="5">
        <v>5511947220151</v>
      </c>
      <c r="D1989" s="5" t="s">
        <v>103</v>
      </c>
      <c r="E1989" s="5">
        <v>7.9360573E7</v>
      </c>
      <c r="F1989" s="5" t="s">
        <v>28</v>
      </c>
      <c r="G1989" s="5" t="s">
        <v>104</v>
      </c>
      <c r="H1989" s="5" t="s">
        <v>80</v>
      </c>
      <c r="I1989" s="6" t="s">
        <v>17</v>
      </c>
      <c r="J1989" s="7" t="s">
        <v>34</v>
      </c>
      <c r="K1989" s="7"/>
      <c r="L1989" s="8">
        <v>1.771762171382E12</v>
      </c>
      <c r="M1989" s="9"/>
      <c r="N1989" s="10"/>
      <c r="O1989" s="10"/>
      <c r="P1989" s="10"/>
      <c r="Q1989" s="10"/>
      <c r="R1989" s="10"/>
      <c r="S1989" s="10"/>
      <c r="T1989" s="10"/>
      <c r="U1989" s="10"/>
      <c r="V1989" s="10"/>
    </row>
    <row r="1990" ht="22.5" customHeight="1">
      <c r="A1990" s="5">
        <v>2.04518300172E11</v>
      </c>
      <c r="B1990" s="5" t="s">
        <v>1836</v>
      </c>
      <c r="C1990" s="5">
        <v>51990336300</v>
      </c>
      <c r="D1990" s="5" t="s">
        <v>13</v>
      </c>
      <c r="E1990" s="5">
        <v>8.0566583E7</v>
      </c>
      <c r="F1990" s="5" t="s">
        <v>39</v>
      </c>
      <c r="G1990" s="5" t="s">
        <v>32</v>
      </c>
      <c r="H1990" s="5" t="s">
        <v>66</v>
      </c>
      <c r="I1990" s="6" t="s">
        <v>17</v>
      </c>
      <c r="J1990" s="7" t="s">
        <v>18</v>
      </c>
      <c r="K1990" s="7" t="s">
        <v>19</v>
      </c>
      <c r="L1990" s="8">
        <v>1.77176229055E12</v>
      </c>
      <c r="M1990" s="9"/>
      <c r="N1990" s="10"/>
      <c r="O1990" s="10"/>
      <c r="P1990" s="10"/>
      <c r="Q1990" s="10"/>
      <c r="R1990" s="10"/>
      <c r="S1990" s="10"/>
      <c r="T1990" s="10"/>
      <c r="U1990" s="10"/>
      <c r="V1990" s="10"/>
    </row>
    <row r="1991" ht="22.5" customHeight="1">
      <c r="A1991" s="5">
        <v>2.04527246164E11</v>
      </c>
      <c r="B1991" s="5" t="s">
        <v>1837</v>
      </c>
      <c r="C1991" s="5">
        <v>51916095265</v>
      </c>
      <c r="D1991" s="5" t="s">
        <v>13</v>
      </c>
      <c r="E1991" s="5">
        <v>8.0566583E7</v>
      </c>
      <c r="F1991" s="5" t="s">
        <v>259</v>
      </c>
      <c r="G1991" s="5" t="s">
        <v>15</v>
      </c>
      <c r="H1991" s="5" t="s">
        <v>16</v>
      </c>
      <c r="I1991" s="6" t="s">
        <v>49</v>
      </c>
      <c r="J1991" s="7" t="s">
        <v>18</v>
      </c>
      <c r="K1991" s="7" t="s">
        <v>19</v>
      </c>
      <c r="L1991" s="8">
        <v>1.771763183794E12</v>
      </c>
      <c r="M1991" s="9"/>
      <c r="N1991" s="10"/>
      <c r="O1991" s="10"/>
      <c r="P1991" s="10"/>
      <c r="Q1991" s="10"/>
      <c r="R1991" s="10"/>
      <c r="S1991" s="10"/>
      <c r="T1991" s="10"/>
      <c r="U1991" s="10"/>
      <c r="V1991" s="10"/>
    </row>
    <row r="1992" ht="22.5" customHeight="1">
      <c r="A1992" s="5">
        <v>2.04528589608E11</v>
      </c>
      <c r="B1992" s="5" t="s">
        <v>1838</v>
      </c>
      <c r="C1992" s="5">
        <v>5516981056994</v>
      </c>
      <c r="D1992" s="5" t="s">
        <v>38</v>
      </c>
      <c r="E1992" s="5">
        <v>7.9360573E7</v>
      </c>
      <c r="F1992" s="5" t="s">
        <v>259</v>
      </c>
      <c r="G1992" s="5" t="s">
        <v>15</v>
      </c>
      <c r="H1992" s="5" t="s">
        <v>29</v>
      </c>
      <c r="I1992" s="6" t="s">
        <v>17</v>
      </c>
      <c r="J1992" s="7" t="s">
        <v>34</v>
      </c>
      <c r="K1992" s="7"/>
      <c r="L1992" s="8">
        <v>1.771764397642E12</v>
      </c>
      <c r="M1992" s="9"/>
      <c r="N1992" s="10"/>
      <c r="O1992" s="10"/>
      <c r="P1992" s="10"/>
      <c r="Q1992" s="10"/>
      <c r="R1992" s="10"/>
      <c r="S1992" s="10"/>
      <c r="T1992" s="10"/>
      <c r="U1992" s="10"/>
      <c r="V1992" s="10"/>
    </row>
    <row r="1993" ht="22.5" customHeight="1">
      <c r="A1993" s="5">
        <v>2.04527969949E11</v>
      </c>
      <c r="B1993" s="5" t="s">
        <v>1839</v>
      </c>
      <c r="C1993" s="5">
        <v>528711459180</v>
      </c>
      <c r="D1993" s="5" t="s">
        <v>13</v>
      </c>
      <c r="E1993" s="5">
        <v>8.7547393E7</v>
      </c>
      <c r="F1993" s="5" t="s">
        <v>42</v>
      </c>
      <c r="G1993" s="5" t="s">
        <v>15</v>
      </c>
      <c r="H1993" s="5" t="s">
        <v>66</v>
      </c>
      <c r="I1993" s="6"/>
      <c r="J1993" s="7" t="s">
        <v>34</v>
      </c>
      <c r="K1993" s="7"/>
      <c r="L1993" s="8">
        <v>1.77176477512E12</v>
      </c>
      <c r="M1993" s="9"/>
      <c r="N1993" s="10"/>
      <c r="O1993" s="10"/>
      <c r="P1993" s="10"/>
      <c r="Q1993" s="10"/>
      <c r="R1993" s="10"/>
      <c r="S1993" s="10"/>
      <c r="T1993" s="10"/>
      <c r="U1993" s="10"/>
      <c r="V1993" s="10"/>
    </row>
    <row r="1994" ht="22.5" customHeight="1">
      <c r="A1994" s="5">
        <v>2.04528648239E11</v>
      </c>
      <c r="B1994" s="5" t="s">
        <v>1840</v>
      </c>
      <c r="C1994" s="5">
        <v>51972112240</v>
      </c>
      <c r="D1994" s="5" t="s">
        <v>13</v>
      </c>
      <c r="E1994" s="5">
        <v>8.7547393E7</v>
      </c>
      <c r="F1994" s="5" t="s">
        <v>510</v>
      </c>
      <c r="G1994" s="5" t="s">
        <v>44</v>
      </c>
      <c r="H1994" s="5" t="s">
        <v>24</v>
      </c>
      <c r="I1994" s="6" t="s">
        <v>17</v>
      </c>
      <c r="J1994" s="7" t="s">
        <v>34</v>
      </c>
      <c r="K1994" s="7"/>
      <c r="L1994" s="8">
        <v>1.77176507942E12</v>
      </c>
      <c r="M1994" s="9"/>
      <c r="N1994" s="10"/>
      <c r="O1994" s="10"/>
      <c r="P1994" s="10"/>
      <c r="Q1994" s="10"/>
      <c r="R1994" s="10"/>
      <c r="S1994" s="10"/>
      <c r="T1994" s="10"/>
      <c r="U1994" s="10"/>
      <c r="V1994" s="10"/>
    </row>
    <row r="1995" ht="22.5" customHeight="1">
      <c r="A1995" s="5">
        <v>2.04521789351E11</v>
      </c>
      <c r="B1995" s="5" t="s">
        <v>1841</v>
      </c>
      <c r="C1995" s="5">
        <v>5548996467020</v>
      </c>
      <c r="D1995" s="5" t="s">
        <v>13</v>
      </c>
      <c r="E1995" s="5">
        <v>7.9360573E7</v>
      </c>
      <c r="F1995" s="5" t="s">
        <v>28</v>
      </c>
      <c r="G1995" s="5" t="s">
        <v>15</v>
      </c>
      <c r="H1995" s="5" t="s">
        <v>16</v>
      </c>
      <c r="I1995" s="6" t="s">
        <v>17</v>
      </c>
      <c r="J1995" s="7" t="s">
        <v>34</v>
      </c>
      <c r="K1995" s="7"/>
      <c r="L1995" s="8">
        <v>1.77176566972E12</v>
      </c>
      <c r="M1995" s="9"/>
      <c r="N1995" s="10"/>
      <c r="O1995" s="10"/>
      <c r="P1995" s="10"/>
      <c r="Q1995" s="10"/>
      <c r="R1995" s="10"/>
      <c r="S1995" s="10"/>
      <c r="T1995" s="10"/>
      <c r="U1995" s="10"/>
      <c r="V1995" s="10"/>
    </row>
    <row r="1996" ht="22.5" customHeight="1">
      <c r="A1996" s="5">
        <v>2.04520719233E11</v>
      </c>
      <c r="B1996" s="5" t="s">
        <v>1842</v>
      </c>
      <c r="C1996" s="5">
        <v>5518997073228</v>
      </c>
      <c r="D1996" s="5" t="s">
        <v>13</v>
      </c>
      <c r="E1996" s="5">
        <v>7.9360573E7</v>
      </c>
      <c r="F1996" s="5"/>
      <c r="G1996" s="5" t="s">
        <v>32</v>
      </c>
      <c r="H1996" s="5" t="s">
        <v>16</v>
      </c>
      <c r="I1996" s="6" t="s">
        <v>17</v>
      </c>
      <c r="J1996" s="7" t="s">
        <v>34</v>
      </c>
      <c r="K1996" s="7"/>
      <c r="L1996" s="8">
        <v>1.771765867387E12</v>
      </c>
      <c r="M1996" s="9"/>
      <c r="N1996" s="10"/>
      <c r="O1996" s="10"/>
      <c r="P1996" s="10"/>
      <c r="Q1996" s="10"/>
      <c r="R1996" s="10"/>
      <c r="S1996" s="10"/>
      <c r="T1996" s="10"/>
      <c r="U1996" s="10"/>
      <c r="V1996" s="10"/>
    </row>
    <row r="1997" ht="22.5" customHeight="1">
      <c r="A1997" s="5">
        <v>2.04529531652E11</v>
      </c>
      <c r="B1997" s="5" t="s">
        <v>1843</v>
      </c>
      <c r="C1997" s="5">
        <v>5511982068007</v>
      </c>
      <c r="D1997" s="5" t="s">
        <v>13</v>
      </c>
      <c r="E1997" s="5">
        <v>7.9360573E7</v>
      </c>
      <c r="F1997" s="5" t="s">
        <v>93</v>
      </c>
      <c r="G1997" s="5" t="s">
        <v>15</v>
      </c>
      <c r="H1997" s="5" t="s">
        <v>16</v>
      </c>
      <c r="I1997" s="6" t="s">
        <v>17</v>
      </c>
      <c r="J1997" s="7" t="s">
        <v>124</v>
      </c>
      <c r="K1997" s="7" t="s">
        <v>1256</v>
      </c>
      <c r="L1997" s="8">
        <v>1.771766418578E12</v>
      </c>
      <c r="M1997" s="9"/>
      <c r="N1997" s="10"/>
      <c r="O1997" s="10"/>
      <c r="P1997" s="10"/>
      <c r="Q1997" s="10"/>
      <c r="R1997" s="10"/>
      <c r="S1997" s="10"/>
      <c r="T1997" s="10"/>
      <c r="U1997" s="10"/>
      <c r="V1997" s="10"/>
    </row>
    <row r="1998" ht="22.5" customHeight="1">
      <c r="A1998" s="5">
        <v>2.04529935125E11</v>
      </c>
      <c r="B1998" s="5" t="s">
        <v>1844</v>
      </c>
      <c r="C1998" s="5">
        <v>51981846494</v>
      </c>
      <c r="D1998" s="5" t="s">
        <v>13</v>
      </c>
      <c r="E1998" s="5">
        <v>8.7547393E7</v>
      </c>
      <c r="F1998" s="5" t="s">
        <v>39</v>
      </c>
      <c r="G1998" s="5" t="s">
        <v>15</v>
      </c>
      <c r="H1998" s="5" t="s">
        <v>16</v>
      </c>
      <c r="I1998" s="6" t="s">
        <v>17</v>
      </c>
      <c r="J1998" s="7" t="s">
        <v>34</v>
      </c>
      <c r="K1998" s="7"/>
      <c r="L1998" s="8">
        <v>1.77176656373E12</v>
      </c>
      <c r="M1998" s="9"/>
      <c r="N1998" s="10"/>
      <c r="O1998" s="10"/>
      <c r="P1998" s="10"/>
      <c r="Q1998" s="10"/>
      <c r="R1998" s="10"/>
      <c r="S1998" s="10"/>
      <c r="T1998" s="10"/>
      <c r="U1998" s="10"/>
      <c r="V1998" s="10"/>
    </row>
    <row r="1999" ht="22.5" customHeight="1">
      <c r="A1999" s="5">
        <v>1.77911968624E11</v>
      </c>
      <c r="B1999" s="5" t="s">
        <v>1845</v>
      </c>
      <c r="C1999" s="5">
        <v>51920837128</v>
      </c>
      <c r="D1999" s="5" t="s">
        <v>13</v>
      </c>
      <c r="E1999" s="5">
        <v>8.0566583E7</v>
      </c>
      <c r="F1999" s="5" t="s">
        <v>39</v>
      </c>
      <c r="G1999" s="5" t="s">
        <v>15</v>
      </c>
      <c r="H1999" s="5" t="s">
        <v>51</v>
      </c>
      <c r="I1999" s="6" t="s">
        <v>17</v>
      </c>
      <c r="J1999" s="7" t="s">
        <v>18</v>
      </c>
      <c r="K1999" s="7" t="s">
        <v>19</v>
      </c>
      <c r="L1999" s="8">
        <v>1.771766778421E12</v>
      </c>
      <c r="M1999" s="9"/>
      <c r="N1999" s="10"/>
      <c r="O1999" s="10"/>
      <c r="P1999" s="10"/>
      <c r="Q1999" s="10"/>
      <c r="R1999" s="10"/>
      <c r="S1999" s="10"/>
      <c r="T1999" s="10"/>
      <c r="U1999" s="10"/>
      <c r="V1999" s="10"/>
    </row>
    <row r="2000" ht="22.5" customHeight="1">
      <c r="A2000" s="5">
        <v>2.04531189429E11</v>
      </c>
      <c r="B2000" s="5" t="s">
        <v>1846</v>
      </c>
      <c r="C2000" s="5">
        <v>526671597903</v>
      </c>
      <c r="D2000" s="5" t="s">
        <v>13</v>
      </c>
      <c r="E2000" s="5">
        <v>8.0566583E7</v>
      </c>
      <c r="F2000" s="5" t="s">
        <v>42</v>
      </c>
      <c r="G2000" s="5" t="s">
        <v>15</v>
      </c>
      <c r="H2000" s="5" t="s">
        <v>51</v>
      </c>
      <c r="I2000" s="6" t="s">
        <v>17</v>
      </c>
      <c r="J2000" s="7" t="s">
        <v>18</v>
      </c>
      <c r="K2000" s="7" t="s">
        <v>61</v>
      </c>
      <c r="L2000" s="8">
        <v>1.771767057351E12</v>
      </c>
      <c r="M2000" s="9"/>
      <c r="N2000" s="10"/>
      <c r="O2000" s="10"/>
      <c r="P2000" s="10"/>
      <c r="Q2000" s="10"/>
      <c r="R2000" s="10"/>
      <c r="S2000" s="10"/>
      <c r="T2000" s="10"/>
      <c r="U2000" s="10"/>
      <c r="V2000" s="10"/>
    </row>
    <row r="2001" ht="22.5" customHeight="1">
      <c r="A2001" s="5">
        <v>2.0453120272E11</v>
      </c>
      <c r="B2001" s="5" t="s">
        <v>1847</v>
      </c>
      <c r="C2001" s="5">
        <v>51963905305</v>
      </c>
      <c r="D2001" s="5" t="s">
        <v>13</v>
      </c>
      <c r="E2001" s="5">
        <v>8.7547393E7</v>
      </c>
      <c r="F2001" s="5" t="s">
        <v>259</v>
      </c>
      <c r="G2001" s="5" t="s">
        <v>15</v>
      </c>
      <c r="H2001" s="5" t="s">
        <v>16</v>
      </c>
      <c r="I2001" s="6" t="s">
        <v>17</v>
      </c>
      <c r="J2001" s="7" t="s">
        <v>18</v>
      </c>
      <c r="K2001" s="7" t="s">
        <v>19</v>
      </c>
      <c r="L2001" s="8">
        <v>1.771767254138E12</v>
      </c>
      <c r="M2001" s="9"/>
      <c r="N2001" s="10"/>
      <c r="O2001" s="10"/>
      <c r="P2001" s="10"/>
      <c r="Q2001" s="10"/>
      <c r="R2001" s="10"/>
      <c r="S2001" s="10"/>
      <c r="T2001" s="10"/>
      <c r="U2001" s="10"/>
      <c r="V2001" s="10"/>
    </row>
    <row r="2002" ht="22.5" customHeight="1">
      <c r="A2002" s="5">
        <v>2.04523028386E11</v>
      </c>
      <c r="B2002" s="5" t="s">
        <v>1848</v>
      </c>
      <c r="C2002" s="5">
        <v>51934483372</v>
      </c>
      <c r="D2002" s="5" t="s">
        <v>13</v>
      </c>
      <c r="E2002" s="5">
        <v>8.0566583E7</v>
      </c>
      <c r="F2002" s="5"/>
      <c r="G2002" s="5" t="s">
        <v>15</v>
      </c>
      <c r="H2002" s="5" t="s">
        <v>51</v>
      </c>
      <c r="I2002" s="6" t="s">
        <v>17</v>
      </c>
      <c r="J2002" s="7" t="s">
        <v>18</v>
      </c>
      <c r="K2002" s="7" t="s">
        <v>19</v>
      </c>
      <c r="L2002" s="8">
        <v>1.77176750885E12</v>
      </c>
      <c r="M2002" s="9"/>
      <c r="N2002" s="10"/>
      <c r="O2002" s="10"/>
      <c r="P2002" s="10"/>
      <c r="Q2002" s="10"/>
      <c r="R2002" s="10"/>
      <c r="S2002" s="10"/>
      <c r="T2002" s="10"/>
      <c r="U2002" s="10"/>
      <c r="V2002" s="10"/>
    </row>
    <row r="2003" ht="22.5" customHeight="1">
      <c r="A2003" s="5">
        <v>2.04510990502E11</v>
      </c>
      <c r="B2003" s="5" t="s">
        <v>1849</v>
      </c>
      <c r="C2003" s="5">
        <v>51963843482</v>
      </c>
      <c r="D2003" s="5" t="s">
        <v>38</v>
      </c>
      <c r="E2003" s="5">
        <v>8.7547393E7</v>
      </c>
      <c r="F2003" s="5"/>
      <c r="G2003" s="5"/>
      <c r="H2003" s="5"/>
      <c r="I2003" s="6"/>
      <c r="J2003" s="7" t="s">
        <v>34</v>
      </c>
      <c r="K2003" s="7"/>
      <c r="L2003" s="8">
        <v>1.771767574558E12</v>
      </c>
      <c r="M2003" s="9"/>
      <c r="N2003" s="10"/>
      <c r="O2003" s="10"/>
      <c r="P2003" s="10"/>
      <c r="Q2003" s="10"/>
      <c r="R2003" s="10"/>
      <c r="S2003" s="10"/>
      <c r="T2003" s="10"/>
      <c r="U2003" s="10"/>
      <c r="V2003" s="10"/>
    </row>
    <row r="2004" ht="22.5" customHeight="1">
      <c r="A2004" s="5">
        <v>1.70664981089E11</v>
      </c>
      <c r="B2004" s="5" t="s">
        <v>1850</v>
      </c>
      <c r="C2004" s="5">
        <v>51986159199</v>
      </c>
      <c r="D2004" s="5" t="s">
        <v>13</v>
      </c>
      <c r="E2004" s="5">
        <v>8.0566583E7</v>
      </c>
      <c r="F2004" s="5" t="s">
        <v>259</v>
      </c>
      <c r="G2004" s="5" t="s">
        <v>15</v>
      </c>
      <c r="H2004" s="5" t="s">
        <v>51</v>
      </c>
      <c r="I2004" s="6" t="s">
        <v>17</v>
      </c>
      <c r="J2004" s="7" t="s">
        <v>34</v>
      </c>
      <c r="K2004" s="7"/>
      <c r="L2004" s="8">
        <v>1.771768356339E12</v>
      </c>
      <c r="M2004" s="9"/>
      <c r="N2004" s="10"/>
      <c r="O2004" s="10"/>
      <c r="P2004" s="10"/>
      <c r="Q2004" s="10"/>
      <c r="R2004" s="10"/>
      <c r="S2004" s="10"/>
      <c r="T2004" s="10"/>
      <c r="U2004" s="10"/>
      <c r="V2004" s="10"/>
    </row>
    <row r="2005" ht="22.5" customHeight="1">
      <c r="A2005" s="5">
        <v>1.39766599744E11</v>
      </c>
      <c r="B2005" s="5" t="s">
        <v>1851</v>
      </c>
      <c r="C2005" s="5">
        <v>51990249349</v>
      </c>
      <c r="D2005" s="5" t="s">
        <v>38</v>
      </c>
      <c r="E2005" s="5"/>
      <c r="F2005" s="5" t="s">
        <v>39</v>
      </c>
      <c r="G2005" s="5" t="s">
        <v>15</v>
      </c>
      <c r="H2005" s="5" t="s">
        <v>69</v>
      </c>
      <c r="I2005" s="6" t="s">
        <v>63</v>
      </c>
      <c r="J2005" s="7" t="s">
        <v>34</v>
      </c>
      <c r="K2005" s="7"/>
      <c r="L2005" s="8">
        <v>1.771768533268E12</v>
      </c>
      <c r="M2005" s="9"/>
      <c r="N2005" s="10"/>
      <c r="O2005" s="10"/>
      <c r="P2005" s="10"/>
      <c r="Q2005" s="10"/>
      <c r="R2005" s="10"/>
      <c r="S2005" s="10"/>
      <c r="T2005" s="10"/>
      <c r="U2005" s="10"/>
      <c r="V2005" s="10"/>
    </row>
    <row r="2006" ht="22.5" customHeight="1">
      <c r="A2006" s="5">
        <v>2.04533920383E11</v>
      </c>
      <c r="B2006" s="5" t="s">
        <v>1852</v>
      </c>
      <c r="C2006" s="5">
        <v>51900580263</v>
      </c>
      <c r="D2006" s="5" t="s">
        <v>38</v>
      </c>
      <c r="E2006" s="5">
        <v>8.7547393E7</v>
      </c>
      <c r="F2006" s="5"/>
      <c r="G2006" s="5"/>
      <c r="H2006" s="5"/>
      <c r="I2006" s="6"/>
      <c r="J2006" s="7" t="s">
        <v>18</v>
      </c>
      <c r="K2006" s="7" t="s">
        <v>19</v>
      </c>
      <c r="L2006" s="8">
        <v>1.771768760575E12</v>
      </c>
      <c r="M2006" s="9"/>
      <c r="N2006" s="10"/>
      <c r="O2006" s="10"/>
      <c r="P2006" s="10"/>
      <c r="Q2006" s="10"/>
      <c r="R2006" s="10"/>
      <c r="S2006" s="10"/>
      <c r="T2006" s="10"/>
      <c r="U2006" s="10"/>
      <c r="V2006" s="10"/>
    </row>
    <row r="2007" ht="22.5" customHeight="1">
      <c r="A2007" s="5">
        <v>2.04462248967E11</v>
      </c>
      <c r="B2007" s="5" t="s">
        <v>1853</v>
      </c>
      <c r="C2007" s="5">
        <v>529817368370</v>
      </c>
      <c r="D2007" s="5" t="s">
        <v>38</v>
      </c>
      <c r="E2007" s="5">
        <v>8.7547393E7</v>
      </c>
      <c r="F2007" s="5"/>
      <c r="G2007" s="5" t="s">
        <v>15</v>
      </c>
      <c r="H2007" s="5" t="s">
        <v>16</v>
      </c>
      <c r="I2007" s="6" t="s">
        <v>17</v>
      </c>
      <c r="J2007" s="7" t="s">
        <v>18</v>
      </c>
      <c r="K2007" s="7" t="s">
        <v>61</v>
      </c>
      <c r="L2007" s="8">
        <v>1.771769456105E12</v>
      </c>
      <c r="M2007" s="9"/>
      <c r="N2007" s="10"/>
      <c r="O2007" s="10"/>
      <c r="P2007" s="10"/>
      <c r="Q2007" s="10"/>
      <c r="R2007" s="10"/>
      <c r="S2007" s="10"/>
      <c r="T2007" s="10"/>
      <c r="U2007" s="10"/>
      <c r="V2007" s="10"/>
    </row>
    <row r="2008" ht="22.5" customHeight="1">
      <c r="A2008" s="5">
        <v>2.04537278003E11</v>
      </c>
      <c r="B2008" s="5" t="s">
        <v>1854</v>
      </c>
      <c r="C2008" s="5">
        <v>51982515417</v>
      </c>
      <c r="D2008" s="5" t="s">
        <v>13</v>
      </c>
      <c r="E2008" s="5">
        <v>8.0566583E7</v>
      </c>
      <c r="F2008" s="5" t="s">
        <v>28</v>
      </c>
      <c r="G2008" s="5" t="s">
        <v>15</v>
      </c>
      <c r="H2008" s="5" t="s">
        <v>51</v>
      </c>
      <c r="I2008" s="6" t="s">
        <v>17</v>
      </c>
      <c r="J2008" s="7" t="s">
        <v>18</v>
      </c>
      <c r="K2008" s="7" t="s">
        <v>19</v>
      </c>
      <c r="L2008" s="8">
        <v>1.771769857175E12</v>
      </c>
      <c r="M2008" s="9"/>
      <c r="N2008" s="10"/>
      <c r="O2008" s="10"/>
      <c r="P2008" s="10"/>
      <c r="Q2008" s="10"/>
      <c r="R2008" s="10"/>
      <c r="S2008" s="10"/>
      <c r="T2008" s="10"/>
      <c r="U2008" s="10"/>
      <c r="V2008" s="10"/>
    </row>
    <row r="2009" ht="22.5" customHeight="1">
      <c r="A2009" s="5">
        <v>2.04528524424E11</v>
      </c>
      <c r="B2009" s="5" t="s">
        <v>1855</v>
      </c>
      <c r="C2009" s="5">
        <v>51933606703</v>
      </c>
      <c r="D2009" s="5" t="s">
        <v>38</v>
      </c>
      <c r="E2009" s="5">
        <v>8.7547393E7</v>
      </c>
      <c r="F2009" s="5"/>
      <c r="G2009" s="5"/>
      <c r="H2009" s="5"/>
      <c r="I2009" s="6"/>
      <c r="J2009" s="7" t="s">
        <v>18</v>
      </c>
      <c r="K2009" s="7" t="s">
        <v>19</v>
      </c>
      <c r="L2009" s="8">
        <v>1.771769862154E12</v>
      </c>
      <c r="M2009" s="9"/>
      <c r="N2009" s="10"/>
      <c r="O2009" s="10"/>
      <c r="P2009" s="10"/>
      <c r="Q2009" s="10"/>
      <c r="R2009" s="10"/>
      <c r="S2009" s="10"/>
      <c r="T2009" s="10"/>
      <c r="U2009" s="10"/>
      <c r="V2009" s="10"/>
    </row>
    <row r="2010" ht="22.5" customHeight="1">
      <c r="A2010" s="5">
        <v>2.04544619553E11</v>
      </c>
      <c r="B2010" s="5" t="s">
        <v>1856</v>
      </c>
      <c r="C2010" s="5">
        <v>51981427850</v>
      </c>
      <c r="D2010" s="5" t="s">
        <v>38</v>
      </c>
      <c r="E2010" s="5">
        <v>8.0566583E7</v>
      </c>
      <c r="F2010" s="5" t="s">
        <v>714</v>
      </c>
      <c r="G2010" s="5" t="s">
        <v>15</v>
      </c>
      <c r="H2010" s="5" t="s">
        <v>24</v>
      </c>
      <c r="I2010" s="6" t="s">
        <v>17</v>
      </c>
      <c r="J2010" s="7" t="s">
        <v>18</v>
      </c>
      <c r="K2010" s="7" t="s">
        <v>19</v>
      </c>
      <c r="L2010" s="8">
        <v>1.771770419377E12</v>
      </c>
      <c r="M2010" s="9"/>
      <c r="N2010" s="10"/>
      <c r="O2010" s="10"/>
      <c r="P2010" s="10"/>
      <c r="Q2010" s="10"/>
      <c r="R2010" s="10"/>
      <c r="S2010" s="10"/>
      <c r="T2010" s="10"/>
      <c r="U2010" s="10"/>
      <c r="V2010" s="10"/>
    </row>
    <row r="2011" ht="22.5" customHeight="1">
      <c r="A2011" s="5">
        <v>2.04537415951E11</v>
      </c>
      <c r="B2011" s="5" t="s">
        <v>1857</v>
      </c>
      <c r="C2011" s="5">
        <v>526183125243</v>
      </c>
      <c r="D2011" s="5" t="s">
        <v>13</v>
      </c>
      <c r="E2011" s="5">
        <v>8.7547393E7</v>
      </c>
      <c r="F2011" s="5"/>
      <c r="G2011" s="5" t="s">
        <v>15</v>
      </c>
      <c r="H2011" s="5" t="s">
        <v>16</v>
      </c>
      <c r="I2011" s="6" t="s">
        <v>17</v>
      </c>
      <c r="J2011" s="7" t="s">
        <v>18</v>
      </c>
      <c r="K2011" s="7" t="s">
        <v>61</v>
      </c>
      <c r="L2011" s="8">
        <v>1.771771294249E12</v>
      </c>
      <c r="M2011" s="9"/>
      <c r="N2011" s="10"/>
      <c r="O2011" s="10"/>
      <c r="P2011" s="10"/>
      <c r="Q2011" s="10"/>
      <c r="R2011" s="10"/>
      <c r="S2011" s="10"/>
      <c r="T2011" s="10"/>
      <c r="U2011" s="10"/>
      <c r="V2011" s="10"/>
    </row>
    <row r="2012" ht="22.5" customHeight="1">
      <c r="A2012" s="5">
        <v>2.04539183757E11</v>
      </c>
      <c r="B2012" s="5" t="s">
        <v>1858</v>
      </c>
      <c r="C2012" s="5">
        <v>51904124434</v>
      </c>
      <c r="D2012" s="5" t="s">
        <v>13</v>
      </c>
      <c r="E2012" s="5">
        <v>8.0566583E7</v>
      </c>
      <c r="F2012" s="5" t="s">
        <v>82</v>
      </c>
      <c r="G2012" s="5" t="s">
        <v>104</v>
      </c>
      <c r="H2012" s="5" t="s">
        <v>51</v>
      </c>
      <c r="I2012" s="6" t="s">
        <v>17</v>
      </c>
      <c r="J2012" s="7" t="s">
        <v>18</v>
      </c>
      <c r="K2012" s="7" t="s">
        <v>19</v>
      </c>
      <c r="L2012" s="8">
        <v>1.771772039994E12</v>
      </c>
      <c r="M2012" s="9"/>
      <c r="N2012" s="10"/>
      <c r="O2012" s="10"/>
      <c r="P2012" s="10"/>
      <c r="Q2012" s="10"/>
      <c r="R2012" s="10"/>
      <c r="S2012" s="10"/>
      <c r="T2012" s="10"/>
      <c r="U2012" s="10"/>
      <c r="V2012" s="10"/>
    </row>
    <row r="2013" ht="22.5" customHeight="1">
      <c r="A2013" s="5">
        <v>1.43524231607E11</v>
      </c>
      <c r="B2013" s="5" t="s">
        <v>1859</v>
      </c>
      <c r="C2013" s="5">
        <v>51920503649</v>
      </c>
      <c r="D2013" s="5" t="s">
        <v>13</v>
      </c>
      <c r="E2013" s="5">
        <v>8.7547393E7</v>
      </c>
      <c r="F2013" s="5" t="s">
        <v>510</v>
      </c>
      <c r="G2013" s="5" t="s">
        <v>32</v>
      </c>
      <c r="H2013" s="5" t="s">
        <v>1160</v>
      </c>
      <c r="I2013" s="6" t="s">
        <v>17</v>
      </c>
      <c r="J2013" s="7" t="s">
        <v>18</v>
      </c>
      <c r="K2013" s="7" t="s">
        <v>116</v>
      </c>
      <c r="L2013" s="8">
        <v>1.771772053646E12</v>
      </c>
      <c r="M2013" s="9"/>
      <c r="N2013" s="10"/>
      <c r="O2013" s="10"/>
      <c r="P2013" s="10"/>
      <c r="Q2013" s="10"/>
      <c r="R2013" s="10"/>
      <c r="S2013" s="10"/>
      <c r="T2013" s="10"/>
      <c r="U2013" s="10"/>
      <c r="V2013" s="10"/>
    </row>
    <row r="2014" ht="22.5" customHeight="1">
      <c r="A2014" s="5">
        <v>2.04540294796E11</v>
      </c>
      <c r="B2014" s="5" t="s">
        <v>1860</v>
      </c>
      <c r="C2014" s="5">
        <v>51977366001</v>
      </c>
      <c r="D2014" s="5" t="s">
        <v>13</v>
      </c>
      <c r="E2014" s="5">
        <v>8.0566583E7</v>
      </c>
      <c r="F2014" s="5" t="s">
        <v>28</v>
      </c>
      <c r="G2014" s="5" t="s">
        <v>15</v>
      </c>
      <c r="H2014" s="5" t="s">
        <v>24</v>
      </c>
      <c r="I2014" s="6" t="s">
        <v>63</v>
      </c>
      <c r="J2014" s="7" t="s">
        <v>18</v>
      </c>
      <c r="K2014" s="7" t="s">
        <v>19</v>
      </c>
      <c r="L2014" s="8">
        <v>1.771773381813E12</v>
      </c>
      <c r="M2014" s="9"/>
      <c r="N2014" s="10"/>
      <c r="O2014" s="10"/>
      <c r="P2014" s="10"/>
      <c r="Q2014" s="10"/>
      <c r="R2014" s="10"/>
      <c r="S2014" s="10"/>
      <c r="T2014" s="10"/>
      <c r="U2014" s="10"/>
      <c r="V2014" s="10"/>
    </row>
    <row r="2015" ht="22.5" customHeight="1">
      <c r="A2015" s="5">
        <v>2.04548912212E11</v>
      </c>
      <c r="B2015" s="5" t="s">
        <v>1861</v>
      </c>
      <c r="C2015" s="5">
        <v>51937390070</v>
      </c>
      <c r="D2015" s="5" t="s">
        <v>13</v>
      </c>
      <c r="E2015" s="5">
        <v>8.0566583E7</v>
      </c>
      <c r="F2015" s="5" t="s">
        <v>65</v>
      </c>
      <c r="G2015" s="5" t="s">
        <v>15</v>
      </c>
      <c r="H2015" s="5" t="s">
        <v>16</v>
      </c>
      <c r="I2015" s="6" t="s">
        <v>17</v>
      </c>
      <c r="J2015" s="7" t="s">
        <v>34</v>
      </c>
      <c r="K2015" s="7"/>
      <c r="L2015" s="8">
        <v>1.771774472429E12</v>
      </c>
      <c r="M2015" s="9"/>
      <c r="N2015" s="10"/>
      <c r="O2015" s="10"/>
      <c r="P2015" s="10"/>
      <c r="Q2015" s="10"/>
      <c r="R2015" s="10"/>
      <c r="S2015" s="10"/>
      <c r="T2015" s="10"/>
      <c r="U2015" s="10"/>
      <c r="V2015" s="10"/>
    </row>
    <row r="2016" ht="22.5" customHeight="1">
      <c r="A2016" s="5">
        <v>2.0454511263E11</v>
      </c>
      <c r="B2016" s="5" t="s">
        <v>1862</v>
      </c>
      <c r="C2016" s="5">
        <v>529512297672</v>
      </c>
      <c r="D2016" s="5" t="s">
        <v>13</v>
      </c>
      <c r="E2016" s="5">
        <v>8.7547393E7</v>
      </c>
      <c r="F2016" s="5" t="s">
        <v>39</v>
      </c>
      <c r="G2016" s="5" t="s">
        <v>32</v>
      </c>
      <c r="H2016" s="5" t="s">
        <v>66</v>
      </c>
      <c r="I2016" s="6" t="s">
        <v>17</v>
      </c>
      <c r="J2016" s="7" t="s">
        <v>34</v>
      </c>
      <c r="K2016" s="7"/>
      <c r="L2016" s="8">
        <v>1.77177472411E12</v>
      </c>
      <c r="M2016" s="9"/>
      <c r="N2016" s="10"/>
      <c r="O2016" s="10"/>
      <c r="P2016" s="10"/>
      <c r="Q2016" s="10"/>
      <c r="R2016" s="10"/>
      <c r="S2016" s="10"/>
      <c r="T2016" s="10"/>
      <c r="U2016" s="10"/>
      <c r="V2016" s="10"/>
    </row>
    <row r="2017" ht="22.5" customHeight="1">
      <c r="A2017" s="5">
        <v>2.04542759471E11</v>
      </c>
      <c r="B2017" s="5" t="s">
        <v>1863</v>
      </c>
      <c r="C2017" s="5">
        <v>51931756991</v>
      </c>
      <c r="D2017" s="5" t="s">
        <v>13</v>
      </c>
      <c r="E2017" s="5">
        <v>8.0566583E7</v>
      </c>
      <c r="F2017" s="5" t="s">
        <v>28</v>
      </c>
      <c r="G2017" s="5" t="s">
        <v>15</v>
      </c>
      <c r="H2017" s="5" t="s">
        <v>114</v>
      </c>
      <c r="I2017" s="6" t="s">
        <v>17</v>
      </c>
      <c r="J2017" s="7" t="s">
        <v>18</v>
      </c>
      <c r="K2017" s="7" t="s">
        <v>19</v>
      </c>
      <c r="L2017" s="8">
        <v>1.771775244302E12</v>
      </c>
      <c r="M2017" s="9"/>
      <c r="N2017" s="10"/>
      <c r="O2017" s="10"/>
      <c r="P2017" s="10"/>
      <c r="Q2017" s="10"/>
      <c r="R2017" s="10"/>
      <c r="S2017" s="10"/>
      <c r="T2017" s="10"/>
      <c r="U2017" s="10"/>
      <c r="V2017" s="10"/>
    </row>
    <row r="2018" ht="22.5" customHeight="1">
      <c r="A2018" s="5">
        <v>2.04548704942E11</v>
      </c>
      <c r="B2018" s="5" t="s">
        <v>1864</v>
      </c>
      <c r="C2018" s="5">
        <v>51994896983</v>
      </c>
      <c r="D2018" s="5" t="s">
        <v>22</v>
      </c>
      <c r="E2018" s="5">
        <v>8.0566583E7</v>
      </c>
      <c r="F2018" s="5" t="s">
        <v>39</v>
      </c>
      <c r="G2018" s="5" t="s">
        <v>32</v>
      </c>
      <c r="H2018" s="5" t="s">
        <v>16</v>
      </c>
      <c r="I2018" s="6" t="s">
        <v>17</v>
      </c>
      <c r="J2018" s="7" t="s">
        <v>124</v>
      </c>
      <c r="K2018" s="7" t="s">
        <v>125</v>
      </c>
      <c r="L2018" s="8">
        <v>1.771776197063E12</v>
      </c>
      <c r="M2018" s="9"/>
      <c r="N2018" s="10"/>
      <c r="O2018" s="10"/>
      <c r="P2018" s="10"/>
      <c r="Q2018" s="10"/>
      <c r="R2018" s="10"/>
      <c r="S2018" s="10"/>
      <c r="T2018" s="10"/>
      <c r="U2018" s="10"/>
      <c r="V2018" s="10"/>
    </row>
    <row r="2019" ht="22.5" customHeight="1">
      <c r="A2019" s="5">
        <v>2.04549919013E11</v>
      </c>
      <c r="B2019" s="5" t="s">
        <v>1865</v>
      </c>
      <c r="C2019" s="5">
        <v>51933011794</v>
      </c>
      <c r="D2019" s="5" t="s">
        <v>13</v>
      </c>
      <c r="E2019" s="5">
        <v>8.7547393E7</v>
      </c>
      <c r="F2019" s="5" t="s">
        <v>28</v>
      </c>
      <c r="G2019" s="5" t="s">
        <v>15</v>
      </c>
      <c r="H2019" s="5" t="s">
        <v>16</v>
      </c>
      <c r="I2019" s="6" t="s">
        <v>17</v>
      </c>
      <c r="J2019" s="7" t="s">
        <v>18</v>
      </c>
      <c r="K2019" s="7" t="s">
        <v>19</v>
      </c>
      <c r="L2019" s="8">
        <v>1.771776371119E12</v>
      </c>
      <c r="M2019" s="9"/>
      <c r="N2019" s="10"/>
      <c r="O2019" s="10"/>
      <c r="P2019" s="10"/>
      <c r="Q2019" s="10"/>
      <c r="R2019" s="10"/>
      <c r="S2019" s="10"/>
      <c r="T2019" s="10"/>
      <c r="U2019" s="10"/>
      <c r="V2019" s="10"/>
    </row>
    <row r="2020" ht="22.5" customHeight="1">
      <c r="A2020" s="5">
        <v>2.04551706758E11</v>
      </c>
      <c r="B2020" s="5" t="s">
        <v>1866</v>
      </c>
      <c r="C2020" s="5">
        <v>5511941964506</v>
      </c>
      <c r="D2020" s="5" t="s">
        <v>13</v>
      </c>
      <c r="E2020" s="5">
        <v>7.9360573E7</v>
      </c>
      <c r="F2020" s="5" t="s">
        <v>259</v>
      </c>
      <c r="G2020" s="5" t="s">
        <v>32</v>
      </c>
      <c r="H2020" s="5" t="s">
        <v>24</v>
      </c>
      <c r="I2020" s="6" t="s">
        <v>63</v>
      </c>
      <c r="J2020" s="7" t="s">
        <v>34</v>
      </c>
      <c r="K2020" s="7"/>
      <c r="L2020" s="8">
        <v>1.771776455556E12</v>
      </c>
      <c r="M2020" s="9"/>
      <c r="N2020" s="10"/>
      <c r="O2020" s="10"/>
      <c r="P2020" s="10"/>
      <c r="Q2020" s="10"/>
      <c r="R2020" s="10"/>
      <c r="S2020" s="10"/>
      <c r="T2020" s="10"/>
      <c r="U2020" s="10"/>
      <c r="V2020" s="10"/>
    </row>
    <row r="2021" ht="22.5" customHeight="1">
      <c r="A2021" s="5">
        <v>2.04549941107E11</v>
      </c>
      <c r="B2021" s="5" t="s">
        <v>1867</v>
      </c>
      <c r="C2021" s="5">
        <v>5588997636160</v>
      </c>
      <c r="D2021" s="5" t="s">
        <v>13</v>
      </c>
      <c r="E2021" s="5">
        <v>7.9360573E7</v>
      </c>
      <c r="F2021" s="5" t="s">
        <v>259</v>
      </c>
      <c r="G2021" s="5" t="s">
        <v>15</v>
      </c>
      <c r="H2021" s="5" t="s">
        <v>33</v>
      </c>
      <c r="I2021" s="6" t="s">
        <v>17</v>
      </c>
      <c r="J2021" s="7" t="s">
        <v>34</v>
      </c>
      <c r="K2021" s="7"/>
      <c r="L2021" s="8">
        <v>1.771777054037E12</v>
      </c>
      <c r="M2021" s="9"/>
      <c r="N2021" s="10"/>
      <c r="O2021" s="10"/>
      <c r="P2021" s="10"/>
      <c r="Q2021" s="10"/>
      <c r="R2021" s="10"/>
      <c r="S2021" s="10"/>
      <c r="T2021" s="10"/>
      <c r="U2021" s="10"/>
      <c r="V2021" s="10"/>
    </row>
    <row r="2022" ht="22.5" customHeight="1">
      <c r="A2022" s="5">
        <v>2.04553865365E11</v>
      </c>
      <c r="B2022" s="5" t="s">
        <v>1868</v>
      </c>
      <c r="C2022" s="5">
        <v>522712953961</v>
      </c>
      <c r="D2022" s="5" t="s">
        <v>13</v>
      </c>
      <c r="E2022" s="5">
        <v>8.0566583E7</v>
      </c>
      <c r="F2022" s="5" t="s">
        <v>65</v>
      </c>
      <c r="G2022" s="5" t="s">
        <v>15</v>
      </c>
      <c r="H2022" s="5" t="s">
        <v>51</v>
      </c>
      <c r="I2022" s="6" t="s">
        <v>36</v>
      </c>
      <c r="J2022" s="7" t="s">
        <v>18</v>
      </c>
      <c r="K2022" s="7" t="s">
        <v>61</v>
      </c>
      <c r="L2022" s="8">
        <v>1.771777680496E12</v>
      </c>
      <c r="M2022" s="9"/>
      <c r="N2022" s="10"/>
      <c r="O2022" s="10"/>
      <c r="P2022" s="10"/>
      <c r="Q2022" s="10"/>
      <c r="R2022" s="10"/>
      <c r="S2022" s="10"/>
      <c r="T2022" s="10"/>
      <c r="U2022" s="10"/>
      <c r="V2022" s="10"/>
    </row>
    <row r="2023" ht="22.5" customHeight="1">
      <c r="A2023" s="5">
        <v>2.04554191014E11</v>
      </c>
      <c r="B2023" s="5" t="s">
        <v>1869</v>
      </c>
      <c r="C2023" s="5">
        <v>522292501562</v>
      </c>
      <c r="D2023" s="5" t="s">
        <v>38</v>
      </c>
      <c r="E2023" s="5">
        <v>8.0566583E7</v>
      </c>
      <c r="F2023" s="5"/>
      <c r="G2023" s="5"/>
      <c r="H2023" s="5"/>
      <c r="I2023" s="6"/>
      <c r="J2023" s="7" t="s">
        <v>18</v>
      </c>
      <c r="K2023" s="7" t="s">
        <v>61</v>
      </c>
      <c r="L2023" s="8">
        <v>1.771778989143E12</v>
      </c>
      <c r="M2023" s="9"/>
      <c r="N2023" s="10"/>
      <c r="O2023" s="10"/>
      <c r="P2023" s="10"/>
      <c r="Q2023" s="10"/>
      <c r="R2023" s="10"/>
      <c r="S2023" s="10"/>
      <c r="T2023" s="10"/>
      <c r="U2023" s="10"/>
      <c r="V2023" s="10"/>
    </row>
    <row r="2024" ht="22.5" customHeight="1">
      <c r="A2024" s="5">
        <v>2.04555735612E11</v>
      </c>
      <c r="B2024" s="5" t="s">
        <v>1870</v>
      </c>
      <c r="C2024" s="5">
        <v>5521988387477</v>
      </c>
      <c r="D2024" s="5" t="s">
        <v>13</v>
      </c>
      <c r="E2024" s="5">
        <v>7.9360573E7</v>
      </c>
      <c r="F2024" s="5" t="s">
        <v>28</v>
      </c>
      <c r="G2024" s="5" t="s">
        <v>15</v>
      </c>
      <c r="H2024" s="5" t="s">
        <v>114</v>
      </c>
      <c r="I2024" s="6" t="s">
        <v>17</v>
      </c>
      <c r="J2024" s="7" t="s">
        <v>34</v>
      </c>
      <c r="K2024" s="7"/>
      <c r="L2024" s="8">
        <v>1.771779157001E12</v>
      </c>
      <c r="M2024" s="9"/>
      <c r="N2024" s="10"/>
      <c r="O2024" s="10"/>
      <c r="P2024" s="10"/>
      <c r="Q2024" s="10"/>
      <c r="R2024" s="10"/>
      <c r="S2024" s="10"/>
      <c r="T2024" s="10"/>
      <c r="U2024" s="10"/>
      <c r="V2024" s="10"/>
    </row>
    <row r="2025" ht="22.5" customHeight="1">
      <c r="A2025" s="5">
        <v>2.04554191014E11</v>
      </c>
      <c r="B2025" s="5" t="s">
        <v>1869</v>
      </c>
      <c r="C2025" s="5">
        <v>522292501562</v>
      </c>
      <c r="D2025" s="5" t="s">
        <v>38</v>
      </c>
      <c r="E2025" s="5">
        <v>8.0566583E7</v>
      </c>
      <c r="F2025" s="5" t="s">
        <v>28</v>
      </c>
      <c r="G2025" s="5" t="s">
        <v>15</v>
      </c>
      <c r="H2025" s="5" t="s">
        <v>66</v>
      </c>
      <c r="I2025" s="6" t="s">
        <v>17</v>
      </c>
      <c r="J2025" s="7" t="s">
        <v>18</v>
      </c>
      <c r="K2025" s="7" t="s">
        <v>61</v>
      </c>
      <c r="L2025" s="8">
        <v>1.771779400834E12</v>
      </c>
      <c r="M2025" s="9"/>
      <c r="N2025" s="10"/>
      <c r="O2025" s="10"/>
      <c r="P2025" s="10"/>
      <c r="Q2025" s="10"/>
      <c r="R2025" s="10"/>
      <c r="S2025" s="10"/>
      <c r="T2025" s="10"/>
      <c r="U2025" s="10"/>
      <c r="V2025" s="10"/>
    </row>
    <row r="2026" ht="22.5" customHeight="1">
      <c r="A2026" s="5">
        <v>2.04562814785E11</v>
      </c>
      <c r="B2026" s="5" t="s">
        <v>1871</v>
      </c>
      <c r="C2026" s="5">
        <v>525571900373</v>
      </c>
      <c r="D2026" s="5" t="s">
        <v>38</v>
      </c>
      <c r="E2026" s="5">
        <v>8.0566583E7</v>
      </c>
      <c r="F2026" s="5"/>
      <c r="G2026" s="5"/>
      <c r="H2026" s="5"/>
      <c r="I2026" s="6"/>
      <c r="J2026" s="7" t="s">
        <v>18</v>
      </c>
      <c r="K2026" s="7" t="s">
        <v>61</v>
      </c>
      <c r="L2026" s="8">
        <v>1.771779430633E12</v>
      </c>
      <c r="M2026" s="9"/>
      <c r="N2026" s="10"/>
      <c r="O2026" s="10"/>
      <c r="P2026" s="10"/>
      <c r="Q2026" s="10"/>
      <c r="R2026" s="10"/>
      <c r="S2026" s="10"/>
      <c r="T2026" s="10"/>
      <c r="U2026" s="10"/>
      <c r="V2026" s="10"/>
    </row>
    <row r="2027" ht="22.5" customHeight="1">
      <c r="A2027" s="5">
        <v>2.04223684531E11</v>
      </c>
      <c r="B2027" s="5" t="s">
        <v>1872</v>
      </c>
      <c r="C2027" s="5">
        <v>51973695788</v>
      </c>
      <c r="D2027" s="5" t="s">
        <v>38</v>
      </c>
      <c r="E2027" s="5">
        <v>8.7547393E7</v>
      </c>
      <c r="F2027" s="5" t="s">
        <v>39</v>
      </c>
      <c r="G2027" s="5" t="s">
        <v>15</v>
      </c>
      <c r="H2027" s="5" t="s">
        <v>69</v>
      </c>
      <c r="I2027" s="6" t="s">
        <v>17</v>
      </c>
      <c r="J2027" s="7" t="s">
        <v>18</v>
      </c>
      <c r="K2027" s="7" t="s">
        <v>19</v>
      </c>
      <c r="L2027" s="8">
        <v>1.771780006401E12</v>
      </c>
      <c r="M2027" s="9"/>
      <c r="N2027" s="10"/>
      <c r="O2027" s="10"/>
      <c r="P2027" s="10"/>
      <c r="Q2027" s="10"/>
      <c r="R2027" s="10"/>
      <c r="S2027" s="10"/>
      <c r="T2027" s="10"/>
      <c r="U2027" s="10"/>
      <c r="V2027" s="10"/>
    </row>
    <row r="2028" ht="22.5" customHeight="1">
      <c r="A2028" s="5">
        <v>2.04562814785E11</v>
      </c>
      <c r="B2028" s="5" t="s">
        <v>1871</v>
      </c>
      <c r="C2028" s="5">
        <v>525571900373</v>
      </c>
      <c r="D2028" s="5" t="s">
        <v>13</v>
      </c>
      <c r="E2028" s="5">
        <v>8.0566583E7</v>
      </c>
      <c r="F2028" s="5" t="s">
        <v>28</v>
      </c>
      <c r="G2028" s="5" t="s">
        <v>15</v>
      </c>
      <c r="H2028" s="5" t="s">
        <v>29</v>
      </c>
      <c r="I2028" s="6" t="s">
        <v>17</v>
      </c>
      <c r="J2028" s="7" t="s">
        <v>18</v>
      </c>
      <c r="K2028" s="7" t="s">
        <v>61</v>
      </c>
      <c r="L2028" s="8">
        <v>1.771780809907E12</v>
      </c>
      <c r="M2028" s="9"/>
      <c r="N2028" s="10"/>
      <c r="O2028" s="10"/>
      <c r="P2028" s="10"/>
      <c r="Q2028" s="10"/>
      <c r="R2028" s="10"/>
      <c r="S2028" s="10"/>
      <c r="T2028" s="10"/>
      <c r="U2028" s="10"/>
      <c r="V2028" s="10"/>
    </row>
    <row r="2029" ht="22.5" customHeight="1">
      <c r="A2029" s="5">
        <v>2.04223684531E11</v>
      </c>
      <c r="B2029" s="5" t="s">
        <v>1872</v>
      </c>
      <c r="C2029" s="5">
        <v>51973695788</v>
      </c>
      <c r="D2029" s="5" t="s">
        <v>13</v>
      </c>
      <c r="E2029" s="5">
        <v>8.7547393E7</v>
      </c>
      <c r="F2029" s="5" t="s">
        <v>39</v>
      </c>
      <c r="G2029" s="5" t="s">
        <v>32</v>
      </c>
      <c r="H2029" s="5" t="s">
        <v>24</v>
      </c>
      <c r="I2029" s="6" t="s">
        <v>17</v>
      </c>
      <c r="J2029" s="7" t="s">
        <v>18</v>
      </c>
      <c r="K2029" s="7" t="s">
        <v>19</v>
      </c>
      <c r="L2029" s="8">
        <v>1.771781255069E12</v>
      </c>
      <c r="M2029" s="9"/>
      <c r="N2029" s="10"/>
      <c r="O2029" s="10"/>
      <c r="P2029" s="10"/>
      <c r="Q2029" s="10"/>
      <c r="R2029" s="10"/>
      <c r="S2029" s="10"/>
      <c r="T2029" s="10"/>
      <c r="U2029" s="10"/>
      <c r="V2029" s="10"/>
    </row>
    <row r="2030" ht="22.5" customHeight="1">
      <c r="A2030" s="5">
        <v>2.01958947948E11</v>
      </c>
      <c r="B2030" s="5" t="s">
        <v>1001</v>
      </c>
      <c r="C2030" s="5">
        <v>51950012052</v>
      </c>
      <c r="D2030" s="5" t="s">
        <v>38</v>
      </c>
      <c r="E2030" s="5">
        <v>8.0566583E7</v>
      </c>
      <c r="F2030" s="5"/>
      <c r="G2030" s="5"/>
      <c r="H2030" s="5"/>
      <c r="I2030" s="6"/>
      <c r="J2030" s="7" t="s">
        <v>34</v>
      </c>
      <c r="K2030" s="7"/>
      <c r="L2030" s="8">
        <v>1.77178193368E12</v>
      </c>
      <c r="M2030" s="9"/>
      <c r="N2030" s="10"/>
      <c r="O2030" s="10"/>
      <c r="P2030" s="10"/>
      <c r="Q2030" s="10"/>
      <c r="R2030" s="10"/>
      <c r="S2030" s="10"/>
      <c r="T2030" s="10"/>
      <c r="U2030" s="10"/>
      <c r="V2030" s="10"/>
    </row>
    <row r="2031" ht="22.5" customHeight="1">
      <c r="A2031" s="5">
        <v>2.04565802404E11</v>
      </c>
      <c r="B2031" s="5" t="s">
        <v>1873</v>
      </c>
      <c r="C2031" s="5">
        <v>522282404461</v>
      </c>
      <c r="D2031" s="5" t="s">
        <v>13</v>
      </c>
      <c r="E2031" s="5">
        <v>8.0566583E7</v>
      </c>
      <c r="F2031" s="5" t="s">
        <v>39</v>
      </c>
      <c r="G2031" s="5" t="s">
        <v>15</v>
      </c>
      <c r="H2031" s="5" t="s">
        <v>24</v>
      </c>
      <c r="I2031" s="6" t="s">
        <v>17</v>
      </c>
      <c r="J2031" s="7" t="s">
        <v>18</v>
      </c>
      <c r="K2031" s="7" t="s">
        <v>61</v>
      </c>
      <c r="L2031" s="8">
        <v>1.7717825545E12</v>
      </c>
      <c r="M2031" s="9"/>
      <c r="N2031" s="10"/>
      <c r="O2031" s="10"/>
      <c r="P2031" s="10"/>
      <c r="Q2031" s="10"/>
      <c r="R2031" s="10"/>
      <c r="S2031" s="10"/>
      <c r="T2031" s="10"/>
      <c r="U2031" s="10"/>
      <c r="V2031" s="10"/>
    </row>
    <row r="2032" ht="22.5" customHeight="1">
      <c r="A2032" s="5">
        <v>2.04566834025E11</v>
      </c>
      <c r="B2032" s="5" t="s">
        <v>1874</v>
      </c>
      <c r="C2032" s="5">
        <v>51989259318</v>
      </c>
      <c r="D2032" s="5" t="s">
        <v>38</v>
      </c>
      <c r="E2032" s="5">
        <v>8.7547393E7</v>
      </c>
      <c r="F2032" s="5" t="s">
        <v>259</v>
      </c>
      <c r="G2032" s="5" t="s">
        <v>15</v>
      </c>
      <c r="H2032" s="5" t="s">
        <v>24</v>
      </c>
      <c r="I2032" s="6" t="s">
        <v>49</v>
      </c>
      <c r="J2032" s="7" t="s">
        <v>18</v>
      </c>
      <c r="K2032" s="7" t="s">
        <v>116</v>
      </c>
      <c r="L2032" s="8">
        <v>1.771783067117E12</v>
      </c>
      <c r="M2032" s="9"/>
      <c r="N2032" s="10"/>
      <c r="O2032" s="10"/>
      <c r="P2032" s="10"/>
      <c r="Q2032" s="10"/>
      <c r="R2032" s="10"/>
      <c r="S2032" s="10"/>
      <c r="T2032" s="10"/>
      <c r="U2032" s="10"/>
      <c r="V2032" s="10"/>
    </row>
    <row r="2033" ht="22.5" customHeight="1">
      <c r="A2033" s="5">
        <v>2.02429178288E11</v>
      </c>
      <c r="B2033" s="5" t="s">
        <v>1875</v>
      </c>
      <c r="C2033" s="5">
        <v>51928504573</v>
      </c>
      <c r="D2033" s="5" t="s">
        <v>22</v>
      </c>
      <c r="E2033" s="5">
        <v>8.0566583E7</v>
      </c>
      <c r="F2033" s="5" t="s">
        <v>39</v>
      </c>
      <c r="G2033" s="5" t="s">
        <v>44</v>
      </c>
      <c r="H2033" s="5" t="s">
        <v>29</v>
      </c>
      <c r="I2033" s="6" t="s">
        <v>36</v>
      </c>
      <c r="J2033" s="7" t="s">
        <v>34</v>
      </c>
      <c r="K2033" s="7"/>
      <c r="L2033" s="8">
        <v>1.771783101107E12</v>
      </c>
      <c r="M2033" s="9"/>
      <c r="N2033" s="10"/>
      <c r="O2033" s="10"/>
      <c r="P2033" s="10"/>
      <c r="Q2033" s="10"/>
      <c r="R2033" s="10"/>
      <c r="S2033" s="10"/>
      <c r="T2033" s="10"/>
      <c r="U2033" s="10"/>
      <c r="V2033" s="10"/>
    </row>
    <row r="2034" ht="22.5" customHeight="1">
      <c r="A2034" s="5">
        <v>2.0456431058E11</v>
      </c>
      <c r="B2034" s="5" t="s">
        <v>1876</v>
      </c>
      <c r="C2034" s="5">
        <v>5571992219700</v>
      </c>
      <c r="D2034" s="5" t="s">
        <v>13</v>
      </c>
      <c r="E2034" s="5">
        <v>7.9360573E7</v>
      </c>
      <c r="F2034" s="5"/>
      <c r="G2034" s="5" t="s">
        <v>32</v>
      </c>
      <c r="H2034" s="5" t="s">
        <v>33</v>
      </c>
      <c r="I2034" s="6" t="s">
        <v>17</v>
      </c>
      <c r="J2034" s="7" t="s">
        <v>34</v>
      </c>
      <c r="K2034" s="7"/>
      <c r="L2034" s="8">
        <v>1.77178381478E12</v>
      </c>
      <c r="M2034" s="9"/>
      <c r="N2034" s="10"/>
      <c r="O2034" s="10"/>
      <c r="P2034" s="10"/>
      <c r="Q2034" s="10"/>
      <c r="R2034" s="10"/>
      <c r="S2034" s="10"/>
      <c r="T2034" s="10"/>
      <c r="U2034" s="10"/>
      <c r="V2034" s="10"/>
    </row>
    <row r="2035" ht="22.5" customHeight="1">
      <c r="A2035" s="5">
        <v>2.04561074773E11</v>
      </c>
      <c r="B2035" s="5" t="s">
        <v>1877</v>
      </c>
      <c r="C2035" s="5">
        <v>528421132978</v>
      </c>
      <c r="D2035" s="5" t="s">
        <v>38</v>
      </c>
      <c r="E2035" s="5">
        <v>8.7547393E7</v>
      </c>
      <c r="F2035" s="5" t="s">
        <v>65</v>
      </c>
      <c r="G2035" s="5" t="s">
        <v>15</v>
      </c>
      <c r="H2035" s="5"/>
      <c r="I2035" s="6" t="s">
        <v>17</v>
      </c>
      <c r="J2035" s="7" t="s">
        <v>124</v>
      </c>
      <c r="K2035" s="7" t="s">
        <v>125</v>
      </c>
      <c r="L2035" s="8">
        <v>1.771784369976E12</v>
      </c>
      <c r="M2035" s="9"/>
      <c r="N2035" s="10"/>
      <c r="O2035" s="10"/>
      <c r="P2035" s="10"/>
      <c r="Q2035" s="10"/>
      <c r="R2035" s="10"/>
      <c r="S2035" s="10"/>
      <c r="T2035" s="10"/>
      <c r="U2035" s="10"/>
      <c r="V2035" s="10"/>
    </row>
    <row r="2036" ht="22.5" customHeight="1">
      <c r="A2036" s="5">
        <v>1.1614111629E11</v>
      </c>
      <c r="B2036" s="5" t="s">
        <v>1878</v>
      </c>
      <c r="C2036" s="5">
        <v>5554999991049</v>
      </c>
      <c r="D2036" s="5" t="s">
        <v>13</v>
      </c>
      <c r="E2036" s="5">
        <v>7.9360573E7</v>
      </c>
      <c r="F2036" s="5" t="s">
        <v>93</v>
      </c>
      <c r="G2036" s="5" t="s">
        <v>15</v>
      </c>
      <c r="H2036" s="5" t="s">
        <v>16</v>
      </c>
      <c r="I2036" s="6" t="s">
        <v>17</v>
      </c>
      <c r="J2036" s="7" t="s">
        <v>124</v>
      </c>
      <c r="K2036" s="7" t="s">
        <v>1256</v>
      </c>
      <c r="L2036" s="8">
        <v>1.771785662708E12</v>
      </c>
      <c r="M2036" s="9"/>
      <c r="N2036" s="10"/>
      <c r="O2036" s="10"/>
      <c r="P2036" s="10"/>
      <c r="Q2036" s="10"/>
      <c r="R2036" s="10"/>
      <c r="S2036" s="10"/>
      <c r="T2036" s="10"/>
      <c r="U2036" s="10"/>
      <c r="V2036" s="10"/>
    </row>
    <row r="2037" ht="22.5" customHeight="1">
      <c r="A2037" s="5">
        <v>2.04570596256E11</v>
      </c>
      <c r="B2037" s="5" t="s">
        <v>1879</v>
      </c>
      <c r="C2037" s="5">
        <v>51953200273</v>
      </c>
      <c r="D2037" s="5" t="s">
        <v>13</v>
      </c>
      <c r="E2037" s="5">
        <v>8.7547393E7</v>
      </c>
      <c r="F2037" s="5" t="s">
        <v>259</v>
      </c>
      <c r="G2037" s="5" t="s">
        <v>15</v>
      </c>
      <c r="H2037" s="5" t="s">
        <v>24</v>
      </c>
      <c r="I2037" s="6" t="s">
        <v>36</v>
      </c>
      <c r="J2037" s="7" t="s">
        <v>18</v>
      </c>
      <c r="K2037" s="7" t="s">
        <v>19</v>
      </c>
      <c r="L2037" s="8">
        <v>1.771785706625E12</v>
      </c>
      <c r="M2037" s="9"/>
      <c r="N2037" s="10"/>
      <c r="O2037" s="10"/>
      <c r="P2037" s="10"/>
      <c r="Q2037" s="10"/>
      <c r="R2037" s="10"/>
      <c r="S2037" s="10"/>
      <c r="T2037" s="10"/>
      <c r="U2037" s="10"/>
      <c r="V2037" s="10"/>
    </row>
    <row r="2038" ht="22.5" customHeight="1">
      <c r="A2038" s="5">
        <v>1.50567667604E11</v>
      </c>
      <c r="B2038" s="5" t="s">
        <v>1808</v>
      </c>
      <c r="C2038" s="5">
        <v>51996489603</v>
      </c>
      <c r="D2038" s="5" t="s">
        <v>13</v>
      </c>
      <c r="E2038" s="5">
        <v>8.7547393E7</v>
      </c>
      <c r="F2038" s="5" t="s">
        <v>93</v>
      </c>
      <c r="G2038" s="5" t="s">
        <v>15</v>
      </c>
      <c r="H2038" s="5" t="s">
        <v>24</v>
      </c>
      <c r="I2038" s="6" t="s">
        <v>17</v>
      </c>
      <c r="J2038" s="7" t="s">
        <v>34</v>
      </c>
      <c r="K2038" s="7"/>
      <c r="L2038" s="8">
        <v>1.771786514649E12</v>
      </c>
      <c r="M2038" s="9"/>
      <c r="N2038" s="10"/>
      <c r="O2038" s="10"/>
      <c r="P2038" s="10"/>
      <c r="Q2038" s="10"/>
      <c r="R2038" s="10"/>
      <c r="S2038" s="10"/>
      <c r="T2038" s="10"/>
      <c r="U2038" s="10"/>
      <c r="V2038" s="10"/>
    </row>
    <row r="2039" ht="22.5" customHeight="1">
      <c r="A2039" s="5">
        <v>2.04572118032E11</v>
      </c>
      <c r="B2039" s="5" t="s">
        <v>1880</v>
      </c>
      <c r="C2039" s="5">
        <v>528441007040</v>
      </c>
      <c r="D2039" s="5" t="s">
        <v>38</v>
      </c>
      <c r="E2039" s="5">
        <v>8.0566583E7</v>
      </c>
      <c r="F2039" s="5" t="s">
        <v>259</v>
      </c>
      <c r="G2039" s="5" t="s">
        <v>15</v>
      </c>
      <c r="H2039" s="5" t="s">
        <v>51</v>
      </c>
      <c r="I2039" s="6" t="s">
        <v>36</v>
      </c>
      <c r="J2039" s="7" t="s">
        <v>18</v>
      </c>
      <c r="K2039" s="7" t="s">
        <v>61</v>
      </c>
      <c r="L2039" s="8">
        <v>1.771787136692E12</v>
      </c>
      <c r="M2039" s="9"/>
      <c r="N2039" s="10"/>
      <c r="O2039" s="10"/>
      <c r="P2039" s="10"/>
      <c r="Q2039" s="10"/>
      <c r="R2039" s="10"/>
      <c r="S2039" s="10"/>
      <c r="T2039" s="10"/>
      <c r="U2039" s="10"/>
      <c r="V2039" s="10"/>
    </row>
    <row r="2040" ht="22.5" customHeight="1">
      <c r="A2040" s="5">
        <v>2.04573200553E11</v>
      </c>
      <c r="B2040" s="5" t="s">
        <v>1881</v>
      </c>
      <c r="C2040" s="5">
        <v>51943903293</v>
      </c>
      <c r="D2040" s="5" t="s">
        <v>13</v>
      </c>
      <c r="E2040" s="5">
        <v>8.7547393E7</v>
      </c>
      <c r="F2040" s="5" t="s">
        <v>510</v>
      </c>
      <c r="G2040" s="5" t="s">
        <v>15</v>
      </c>
      <c r="H2040" s="5" t="s">
        <v>66</v>
      </c>
      <c r="I2040" s="6" t="s">
        <v>17</v>
      </c>
      <c r="J2040" s="7" t="s">
        <v>18</v>
      </c>
      <c r="K2040" s="7" t="s">
        <v>19</v>
      </c>
      <c r="L2040" s="8">
        <v>1.771787356034E12</v>
      </c>
      <c r="M2040" s="9"/>
      <c r="N2040" s="10"/>
      <c r="O2040" s="10"/>
      <c r="P2040" s="10"/>
      <c r="Q2040" s="10"/>
      <c r="R2040" s="10"/>
      <c r="S2040" s="10"/>
      <c r="T2040" s="10"/>
      <c r="U2040" s="10"/>
      <c r="V2040" s="10"/>
    </row>
    <row r="2041" ht="22.5" customHeight="1">
      <c r="A2041" s="5">
        <v>2.04573371956E11</v>
      </c>
      <c r="B2041" s="5" t="s">
        <v>1882</v>
      </c>
      <c r="C2041" s="5">
        <v>526241842387</v>
      </c>
      <c r="D2041" s="5" t="s">
        <v>38</v>
      </c>
      <c r="E2041" s="5">
        <v>8.0566583E7</v>
      </c>
      <c r="F2041" s="5"/>
      <c r="G2041" s="5"/>
      <c r="H2041" s="5"/>
      <c r="I2041" s="6"/>
      <c r="J2041" s="7" t="s">
        <v>18</v>
      </c>
      <c r="K2041" s="7" t="s">
        <v>61</v>
      </c>
      <c r="L2041" s="8">
        <v>1.771788921226E12</v>
      </c>
      <c r="M2041" s="9"/>
      <c r="N2041" s="10"/>
      <c r="O2041" s="10"/>
      <c r="P2041" s="10"/>
      <c r="Q2041" s="10"/>
      <c r="R2041" s="10"/>
      <c r="S2041" s="10"/>
      <c r="T2041" s="10"/>
      <c r="U2041" s="10"/>
      <c r="V2041" s="10"/>
    </row>
    <row r="2042" ht="22.5" customHeight="1">
      <c r="A2042" s="5">
        <v>2.04580163384E11</v>
      </c>
      <c r="B2042" s="5" t="s">
        <v>1883</v>
      </c>
      <c r="C2042" s="5">
        <v>526466151757</v>
      </c>
      <c r="D2042" s="5" t="s">
        <v>38</v>
      </c>
      <c r="E2042" s="5">
        <v>8.0566583E7</v>
      </c>
      <c r="F2042" s="5"/>
      <c r="G2042" s="5"/>
      <c r="H2042" s="5"/>
      <c r="I2042" s="6"/>
      <c r="J2042" s="7" t="s">
        <v>18</v>
      </c>
      <c r="K2042" s="7" t="s">
        <v>61</v>
      </c>
      <c r="L2042" s="8">
        <v>1.771788980496E12</v>
      </c>
      <c r="M2042" s="9"/>
      <c r="N2042" s="10"/>
      <c r="O2042" s="10"/>
      <c r="P2042" s="10"/>
      <c r="Q2042" s="10"/>
      <c r="R2042" s="10"/>
      <c r="S2042" s="10"/>
      <c r="T2042" s="10"/>
      <c r="U2042" s="10"/>
      <c r="V2042" s="10"/>
    </row>
    <row r="2043" ht="22.5" customHeight="1">
      <c r="A2043" s="5">
        <v>2.04582981942E11</v>
      </c>
      <c r="B2043" s="5" t="s">
        <v>1884</v>
      </c>
      <c r="C2043" s="5">
        <v>51923149060</v>
      </c>
      <c r="D2043" s="5" t="s">
        <v>38</v>
      </c>
      <c r="E2043" s="5">
        <v>8.0566583E7</v>
      </c>
      <c r="F2043" s="5"/>
      <c r="G2043" s="5"/>
      <c r="H2043" s="5"/>
      <c r="I2043" s="6"/>
      <c r="J2043" s="7" t="s">
        <v>18</v>
      </c>
      <c r="K2043" s="7" t="s">
        <v>19</v>
      </c>
      <c r="L2043" s="8">
        <v>1.771789400177E12</v>
      </c>
      <c r="M2043" s="9"/>
      <c r="N2043" s="10"/>
      <c r="O2043" s="10"/>
      <c r="P2043" s="10"/>
      <c r="Q2043" s="10"/>
      <c r="R2043" s="10"/>
      <c r="S2043" s="10"/>
      <c r="T2043" s="10"/>
      <c r="U2043" s="10"/>
      <c r="V2043" s="10"/>
    </row>
    <row r="2044" ht="22.5" customHeight="1">
      <c r="A2044" s="5">
        <v>2.04581705071E11</v>
      </c>
      <c r="B2044" s="5" t="s">
        <v>1885</v>
      </c>
      <c r="C2044" s="5">
        <v>51938283407</v>
      </c>
      <c r="D2044" s="5" t="s">
        <v>38</v>
      </c>
      <c r="E2044" s="5">
        <v>8.0566583E7</v>
      </c>
      <c r="F2044" s="5" t="s">
        <v>259</v>
      </c>
      <c r="G2044" s="5" t="s">
        <v>15</v>
      </c>
      <c r="H2044" s="5" t="s">
        <v>51</v>
      </c>
      <c r="I2044" s="6" t="s">
        <v>17</v>
      </c>
      <c r="J2044" s="7" t="s">
        <v>18</v>
      </c>
      <c r="K2044" s="7" t="s">
        <v>19</v>
      </c>
      <c r="L2044" s="8">
        <v>1.771790635131E12</v>
      </c>
      <c r="M2044" s="9"/>
      <c r="N2044" s="10"/>
      <c r="O2044" s="10"/>
      <c r="P2044" s="10"/>
      <c r="Q2044" s="10"/>
      <c r="R2044" s="10"/>
      <c r="S2044" s="10"/>
      <c r="T2044" s="10"/>
      <c r="U2044" s="10"/>
      <c r="V2044" s="10"/>
    </row>
    <row r="2045" ht="22.5" customHeight="1">
      <c r="A2045" s="5">
        <v>2.04576056651E11</v>
      </c>
      <c r="B2045" s="5" t="s">
        <v>1886</v>
      </c>
      <c r="C2045" s="5">
        <v>5519993742711</v>
      </c>
      <c r="D2045" s="5" t="s">
        <v>22</v>
      </c>
      <c r="E2045" s="5">
        <v>7.9360573E7</v>
      </c>
      <c r="F2045" s="5" t="s">
        <v>39</v>
      </c>
      <c r="G2045" s="5">
        <v>50</v>
      </c>
      <c r="H2045" s="5" t="s">
        <v>114</v>
      </c>
      <c r="I2045" s="6" t="s">
        <v>17</v>
      </c>
      <c r="J2045" s="7" t="s">
        <v>34</v>
      </c>
      <c r="K2045" s="7"/>
      <c r="L2045" s="8">
        <v>1.771791862036E12</v>
      </c>
      <c r="M2045" s="9"/>
      <c r="N2045" s="10"/>
      <c r="O2045" s="10"/>
      <c r="P2045" s="10"/>
      <c r="Q2045" s="10"/>
      <c r="R2045" s="10"/>
      <c r="S2045" s="10"/>
      <c r="T2045" s="10"/>
      <c r="U2045" s="10"/>
      <c r="V2045" s="10"/>
    </row>
    <row r="2046" ht="22.5" customHeight="1">
      <c r="A2046" s="5">
        <v>2.04537241455E11</v>
      </c>
      <c r="B2046" s="5" t="s">
        <v>1887</v>
      </c>
      <c r="C2046" s="5">
        <v>51913350909</v>
      </c>
      <c r="D2046" s="5" t="s">
        <v>13</v>
      </c>
      <c r="E2046" s="5">
        <v>8.0566583E7</v>
      </c>
      <c r="F2046" s="5" t="s">
        <v>39</v>
      </c>
      <c r="G2046" s="5" t="s">
        <v>15</v>
      </c>
      <c r="H2046" s="5" t="s">
        <v>51</v>
      </c>
      <c r="I2046" s="6" t="s">
        <v>17</v>
      </c>
      <c r="J2046" s="7" t="s">
        <v>18</v>
      </c>
      <c r="K2046" s="7" t="s">
        <v>19</v>
      </c>
      <c r="L2046" s="8">
        <v>1.771792128779E12</v>
      </c>
      <c r="M2046" s="9"/>
      <c r="N2046" s="10"/>
      <c r="O2046" s="10"/>
      <c r="P2046" s="10"/>
      <c r="Q2046" s="10"/>
      <c r="R2046" s="10"/>
      <c r="S2046" s="10"/>
      <c r="T2046" s="10"/>
      <c r="U2046" s="10"/>
      <c r="V2046" s="10"/>
    </row>
    <row r="2047" ht="22.5" customHeight="1">
      <c r="A2047" s="5">
        <v>2.04578025137E11</v>
      </c>
      <c r="B2047" s="5" t="s">
        <v>1888</v>
      </c>
      <c r="C2047" s="5">
        <v>51970960134</v>
      </c>
      <c r="D2047" s="5" t="s">
        <v>13</v>
      </c>
      <c r="E2047" s="5">
        <v>8.7547393E7</v>
      </c>
      <c r="F2047" s="5" t="s">
        <v>14</v>
      </c>
      <c r="G2047" s="5" t="s">
        <v>15</v>
      </c>
      <c r="H2047" s="5" t="s">
        <v>66</v>
      </c>
      <c r="I2047" s="6" t="s">
        <v>89</v>
      </c>
      <c r="J2047" s="7" t="s">
        <v>34</v>
      </c>
      <c r="K2047" s="7"/>
      <c r="L2047" s="8">
        <v>1.771792676029E12</v>
      </c>
      <c r="M2047" s="9"/>
      <c r="N2047" s="10"/>
      <c r="O2047" s="10"/>
      <c r="P2047" s="10"/>
      <c r="Q2047" s="10"/>
      <c r="R2047" s="10"/>
      <c r="S2047" s="10"/>
      <c r="T2047" s="10"/>
      <c r="U2047" s="10"/>
      <c r="V2047" s="10"/>
    </row>
    <row r="2048" ht="22.5" customHeight="1">
      <c r="A2048" s="5">
        <v>1.96233198502E11</v>
      </c>
      <c r="B2048" s="5" t="s">
        <v>1889</v>
      </c>
      <c r="C2048" s="5">
        <v>51991802861</v>
      </c>
      <c r="D2048" s="5" t="s">
        <v>38</v>
      </c>
      <c r="E2048" s="5">
        <v>8.0566583E7</v>
      </c>
      <c r="F2048" s="5"/>
      <c r="G2048" s="5"/>
      <c r="H2048" s="5"/>
      <c r="I2048" s="6"/>
      <c r="J2048" s="7" t="s">
        <v>18</v>
      </c>
      <c r="K2048" s="7" t="s">
        <v>19</v>
      </c>
      <c r="L2048" s="8">
        <v>1.771793196779E12</v>
      </c>
      <c r="M2048" s="9"/>
      <c r="N2048" s="10"/>
      <c r="O2048" s="10"/>
      <c r="P2048" s="10"/>
      <c r="Q2048" s="10"/>
      <c r="R2048" s="10"/>
      <c r="S2048" s="10"/>
      <c r="T2048" s="10"/>
      <c r="U2048" s="10"/>
      <c r="V2048" s="10"/>
    </row>
    <row r="2049" ht="22.5" customHeight="1">
      <c r="A2049" s="5">
        <v>2.04583834207E11</v>
      </c>
      <c r="B2049" s="5" t="s">
        <v>1890</v>
      </c>
      <c r="C2049" s="5">
        <v>526642341295</v>
      </c>
      <c r="D2049" s="5" t="s">
        <v>13</v>
      </c>
      <c r="E2049" s="5">
        <v>8.7547393E7</v>
      </c>
      <c r="F2049" s="5" t="s">
        <v>39</v>
      </c>
      <c r="G2049" s="5" t="s">
        <v>15</v>
      </c>
      <c r="H2049" s="5" t="s">
        <v>51</v>
      </c>
      <c r="I2049" s="6" t="s">
        <v>17</v>
      </c>
      <c r="J2049" s="7" t="s">
        <v>34</v>
      </c>
      <c r="K2049" s="7"/>
      <c r="L2049" s="8">
        <v>1.771793946632E12</v>
      </c>
      <c r="M2049" s="9"/>
      <c r="N2049" s="10"/>
      <c r="O2049" s="10"/>
      <c r="P2049" s="10"/>
      <c r="Q2049" s="10"/>
      <c r="R2049" s="10"/>
      <c r="S2049" s="10"/>
      <c r="T2049" s="10"/>
      <c r="U2049" s="10"/>
      <c r="V2049" s="10"/>
    </row>
    <row r="2050" ht="22.5" customHeight="1">
      <c r="A2050" s="5">
        <v>2.04599071316E11</v>
      </c>
      <c r="B2050" s="5" t="s">
        <v>1891</v>
      </c>
      <c r="C2050" s="5">
        <v>529341169082</v>
      </c>
      <c r="D2050" s="5" t="s">
        <v>38</v>
      </c>
      <c r="E2050" s="5">
        <v>8.7547393E7</v>
      </c>
      <c r="F2050" s="5"/>
      <c r="G2050" s="5"/>
      <c r="H2050" s="5"/>
      <c r="I2050" s="6"/>
      <c r="J2050" s="7" t="s">
        <v>18</v>
      </c>
      <c r="K2050" s="7" t="s">
        <v>61</v>
      </c>
      <c r="L2050" s="8">
        <v>1.771794876547E12</v>
      </c>
      <c r="M2050" s="9"/>
      <c r="N2050" s="10"/>
      <c r="O2050" s="10"/>
      <c r="P2050" s="10"/>
      <c r="Q2050" s="10"/>
      <c r="R2050" s="10"/>
      <c r="S2050" s="10"/>
      <c r="T2050" s="10"/>
      <c r="U2050" s="10"/>
      <c r="V2050" s="10"/>
    </row>
    <row r="2051" ht="22.5" customHeight="1">
      <c r="A2051" s="5">
        <v>2.04587137109E11</v>
      </c>
      <c r="B2051" s="5" t="s">
        <v>1892</v>
      </c>
      <c r="C2051" s="5">
        <v>5511975992807</v>
      </c>
      <c r="D2051" s="5" t="s">
        <v>13</v>
      </c>
      <c r="E2051" s="5">
        <v>7.9360573E7</v>
      </c>
      <c r="F2051" s="5" t="s">
        <v>93</v>
      </c>
      <c r="G2051" s="5"/>
      <c r="H2051" s="5" t="s">
        <v>16</v>
      </c>
      <c r="I2051" s="6" t="s">
        <v>49</v>
      </c>
      <c r="J2051" s="7" t="s">
        <v>58</v>
      </c>
      <c r="K2051" s="11" t="s">
        <v>59</v>
      </c>
      <c r="L2051" s="8">
        <v>1.771795364154E12</v>
      </c>
      <c r="M2051" s="9"/>
      <c r="N2051" s="10"/>
      <c r="O2051" s="10"/>
      <c r="P2051" s="10"/>
      <c r="Q2051" s="10"/>
      <c r="R2051" s="10"/>
      <c r="S2051" s="10"/>
      <c r="T2051" s="10"/>
      <c r="U2051" s="10"/>
      <c r="V2051" s="10"/>
    </row>
    <row r="2052" ht="22.5" customHeight="1">
      <c r="A2052" s="5">
        <v>2.04585922107E11</v>
      </c>
      <c r="B2052" s="5" t="s">
        <v>1893</v>
      </c>
      <c r="C2052" s="5">
        <v>51981422156</v>
      </c>
      <c r="D2052" s="5" t="s">
        <v>13</v>
      </c>
      <c r="E2052" s="5">
        <v>8.0566583E7</v>
      </c>
      <c r="F2052" s="5" t="s">
        <v>93</v>
      </c>
      <c r="G2052" s="5"/>
      <c r="H2052" s="5" t="s">
        <v>352</v>
      </c>
      <c r="I2052" s="6" t="s">
        <v>148</v>
      </c>
      <c r="J2052" s="7" t="s">
        <v>124</v>
      </c>
      <c r="K2052" s="7" t="s">
        <v>125</v>
      </c>
      <c r="L2052" s="8">
        <v>1.77179559327E12</v>
      </c>
      <c r="M2052" s="9"/>
      <c r="N2052" s="10"/>
      <c r="O2052" s="10"/>
      <c r="P2052" s="10"/>
      <c r="Q2052" s="10"/>
      <c r="R2052" s="10"/>
      <c r="S2052" s="10"/>
      <c r="T2052" s="10"/>
      <c r="U2052" s="10"/>
      <c r="V2052" s="10"/>
    </row>
    <row r="2053" ht="22.5" customHeight="1">
      <c r="A2053" s="5">
        <v>2.04600018695E11</v>
      </c>
      <c r="B2053" s="5" t="s">
        <v>1894</v>
      </c>
      <c r="C2053" s="5">
        <v>5511997072885</v>
      </c>
      <c r="D2053" s="5" t="s">
        <v>13</v>
      </c>
      <c r="E2053" s="5">
        <v>7.9360573E7</v>
      </c>
      <c r="F2053" s="5" t="s">
        <v>39</v>
      </c>
      <c r="G2053" s="5" t="s">
        <v>15</v>
      </c>
      <c r="H2053" s="5" t="s">
        <v>66</v>
      </c>
      <c r="I2053" s="6" t="s">
        <v>148</v>
      </c>
      <c r="J2053" s="7" t="s">
        <v>34</v>
      </c>
      <c r="K2053" s="7"/>
      <c r="L2053" s="8">
        <v>1.771796319722E12</v>
      </c>
      <c r="M2053" s="9"/>
      <c r="N2053" s="10"/>
      <c r="O2053" s="10"/>
      <c r="P2053" s="10"/>
      <c r="Q2053" s="10"/>
      <c r="R2053" s="10"/>
      <c r="S2053" s="10"/>
      <c r="T2053" s="10"/>
      <c r="U2053" s="10"/>
      <c r="V2053" s="10"/>
    </row>
    <row r="2054" ht="22.5" customHeight="1">
      <c r="A2054" s="5">
        <v>2.0459120654E11</v>
      </c>
      <c r="B2054" s="5" t="s">
        <v>1895</v>
      </c>
      <c r="C2054" s="5">
        <v>529331515608</v>
      </c>
      <c r="D2054" s="5" t="s">
        <v>13</v>
      </c>
      <c r="E2054" s="5">
        <v>8.7547393E7</v>
      </c>
      <c r="F2054" s="5" t="s">
        <v>42</v>
      </c>
      <c r="G2054" s="5" t="s">
        <v>15</v>
      </c>
      <c r="H2054" s="5" t="s">
        <v>16</v>
      </c>
      <c r="I2054" s="6" t="s">
        <v>17</v>
      </c>
      <c r="J2054" s="7" t="s">
        <v>18</v>
      </c>
      <c r="K2054" s="7" t="s">
        <v>61</v>
      </c>
      <c r="L2054" s="8">
        <v>1.771797626556E12</v>
      </c>
      <c r="M2054" s="9"/>
      <c r="N2054" s="10"/>
      <c r="O2054" s="10"/>
      <c r="P2054" s="10"/>
      <c r="Q2054" s="10"/>
      <c r="R2054" s="10"/>
      <c r="S2054" s="10"/>
      <c r="T2054" s="10"/>
      <c r="U2054" s="10"/>
      <c r="V2054" s="10"/>
    </row>
    <row r="2055" ht="22.5" customHeight="1">
      <c r="A2055" s="5">
        <v>2.04592589861E11</v>
      </c>
      <c r="B2055" s="5" t="s">
        <v>1896</v>
      </c>
      <c r="C2055" s="5">
        <v>528336480278</v>
      </c>
      <c r="D2055" s="5" t="s">
        <v>22</v>
      </c>
      <c r="E2055" s="5">
        <v>8.0566583E7</v>
      </c>
      <c r="F2055" s="5" t="s">
        <v>93</v>
      </c>
      <c r="G2055" s="5" t="s">
        <v>44</v>
      </c>
      <c r="H2055" s="5" t="s">
        <v>51</v>
      </c>
      <c r="I2055" s="6" t="s">
        <v>17</v>
      </c>
      <c r="J2055" s="7" t="s">
        <v>18</v>
      </c>
      <c r="K2055" s="7" t="s">
        <v>61</v>
      </c>
      <c r="L2055" s="8">
        <v>1.771798035018E12</v>
      </c>
      <c r="M2055" s="9"/>
      <c r="N2055" s="10"/>
      <c r="O2055" s="10"/>
      <c r="P2055" s="10"/>
      <c r="Q2055" s="10"/>
      <c r="R2055" s="10"/>
      <c r="S2055" s="10"/>
      <c r="T2055" s="10"/>
      <c r="U2055" s="10"/>
      <c r="V2055" s="10"/>
    </row>
    <row r="2056" ht="22.5" customHeight="1">
      <c r="A2056" s="5">
        <v>2.04603932035E11</v>
      </c>
      <c r="B2056" s="5" t="s">
        <v>1897</v>
      </c>
      <c r="C2056" s="5">
        <v>51929805301</v>
      </c>
      <c r="D2056" s="5" t="s">
        <v>13</v>
      </c>
      <c r="E2056" s="5">
        <v>8.7547393E7</v>
      </c>
      <c r="F2056" s="5" t="s">
        <v>42</v>
      </c>
      <c r="G2056" s="5" t="s">
        <v>15</v>
      </c>
      <c r="H2056" s="5" t="s">
        <v>24</v>
      </c>
      <c r="I2056" s="6" t="s">
        <v>17</v>
      </c>
      <c r="J2056" s="7" t="s">
        <v>18</v>
      </c>
      <c r="K2056" s="7" t="s">
        <v>19</v>
      </c>
      <c r="L2056" s="8">
        <v>1.771800259357E12</v>
      </c>
      <c r="M2056" s="9"/>
      <c r="N2056" s="10"/>
      <c r="O2056" s="10"/>
      <c r="P2056" s="10"/>
      <c r="Q2056" s="10"/>
      <c r="R2056" s="10"/>
      <c r="S2056" s="10"/>
      <c r="T2056" s="10"/>
      <c r="U2056" s="10"/>
      <c r="V2056" s="10"/>
    </row>
    <row r="2057" ht="22.5" customHeight="1">
      <c r="A2057" s="5">
        <v>2.04594180663E11</v>
      </c>
      <c r="B2057" s="5" t="s">
        <v>1898</v>
      </c>
      <c r="C2057" s="5">
        <v>5582988407683</v>
      </c>
      <c r="D2057" s="5" t="s">
        <v>13</v>
      </c>
      <c r="E2057" s="5">
        <v>7.9360573E7</v>
      </c>
      <c r="F2057" s="5" t="s">
        <v>259</v>
      </c>
      <c r="G2057" s="5" t="s">
        <v>15</v>
      </c>
      <c r="H2057" s="5" t="s">
        <v>24</v>
      </c>
      <c r="I2057" s="6" t="s">
        <v>36</v>
      </c>
      <c r="J2057" s="7" t="s">
        <v>34</v>
      </c>
      <c r="K2057" s="7"/>
      <c r="L2057" s="8">
        <v>1.771801209873E12</v>
      </c>
      <c r="M2057" s="9"/>
      <c r="N2057" s="10"/>
      <c r="O2057" s="10"/>
      <c r="P2057" s="10"/>
      <c r="Q2057" s="10"/>
      <c r="R2057" s="10"/>
      <c r="S2057" s="10"/>
      <c r="T2057" s="10"/>
      <c r="U2057" s="10"/>
      <c r="V2057" s="10"/>
    </row>
    <row r="2058" ht="22.5" customHeight="1">
      <c r="A2058" s="5">
        <v>2.04605191456E11</v>
      </c>
      <c r="B2058" s="5" t="s">
        <v>1899</v>
      </c>
      <c r="C2058" s="5">
        <v>573207528652</v>
      </c>
      <c r="D2058" s="5" t="s">
        <v>38</v>
      </c>
      <c r="E2058" s="5">
        <v>8.0566583E7</v>
      </c>
      <c r="F2058" s="5" t="s">
        <v>510</v>
      </c>
      <c r="G2058" s="5" t="s">
        <v>15</v>
      </c>
      <c r="H2058" s="5" t="s">
        <v>112</v>
      </c>
      <c r="I2058" s="6" t="s">
        <v>17</v>
      </c>
      <c r="J2058" s="7" t="s">
        <v>34</v>
      </c>
      <c r="K2058" s="7"/>
      <c r="L2058" s="8">
        <v>1.771801493925E12</v>
      </c>
      <c r="M2058" s="9"/>
      <c r="N2058" s="10"/>
      <c r="O2058" s="10"/>
      <c r="P2058" s="10"/>
      <c r="Q2058" s="10"/>
      <c r="R2058" s="10"/>
      <c r="S2058" s="10"/>
      <c r="T2058" s="10"/>
      <c r="U2058" s="10"/>
      <c r="V2058" s="10"/>
    </row>
    <row r="2059" ht="22.5" customHeight="1">
      <c r="A2059" s="5">
        <v>2.04593393806E11</v>
      </c>
      <c r="B2059" s="5" t="s">
        <v>1900</v>
      </c>
      <c r="C2059" s="5">
        <v>51935258134</v>
      </c>
      <c r="D2059" s="5" t="s">
        <v>38</v>
      </c>
      <c r="E2059" s="5">
        <v>8.0566583E7</v>
      </c>
      <c r="F2059" s="5"/>
      <c r="G2059" s="5"/>
      <c r="H2059" s="5"/>
      <c r="I2059" s="6"/>
      <c r="J2059" s="7" t="s">
        <v>34</v>
      </c>
      <c r="K2059" s="7"/>
      <c r="L2059" s="8">
        <v>1.771801544573E12</v>
      </c>
      <c r="M2059" s="9"/>
      <c r="N2059" s="10"/>
      <c r="O2059" s="10"/>
      <c r="P2059" s="10"/>
      <c r="Q2059" s="10"/>
      <c r="R2059" s="10"/>
      <c r="S2059" s="10"/>
      <c r="T2059" s="10"/>
      <c r="U2059" s="10"/>
      <c r="V2059" s="10"/>
    </row>
    <row r="2060" ht="22.5" customHeight="1">
      <c r="A2060" s="5">
        <v>2.04595584798E11</v>
      </c>
      <c r="B2060" s="5" t="s">
        <v>1901</v>
      </c>
      <c r="C2060" s="5">
        <v>5521965401515</v>
      </c>
      <c r="D2060" s="5" t="s">
        <v>22</v>
      </c>
      <c r="E2060" s="5">
        <v>7.9360573E7</v>
      </c>
      <c r="F2060" s="5" t="s">
        <v>28</v>
      </c>
      <c r="G2060" s="5" t="s">
        <v>44</v>
      </c>
      <c r="H2060" s="5" t="s">
        <v>33</v>
      </c>
      <c r="I2060" s="6" t="s">
        <v>17</v>
      </c>
      <c r="J2060" s="7" t="s">
        <v>34</v>
      </c>
      <c r="K2060" s="7"/>
      <c r="L2060" s="8">
        <v>1.771801739432E12</v>
      </c>
      <c r="M2060" s="9"/>
      <c r="N2060" s="10"/>
      <c r="O2060" s="10"/>
      <c r="P2060" s="10"/>
      <c r="Q2060" s="10"/>
      <c r="R2060" s="10"/>
      <c r="S2060" s="10"/>
      <c r="T2060" s="10"/>
      <c r="U2060" s="10"/>
      <c r="V2060" s="10"/>
    </row>
    <row r="2061" ht="22.5" customHeight="1">
      <c r="A2061" s="5">
        <v>2.0460321774E11</v>
      </c>
      <c r="B2061" s="5" t="s">
        <v>1902</v>
      </c>
      <c r="C2061" s="5">
        <v>5562994692633</v>
      </c>
      <c r="D2061" s="5" t="s">
        <v>13</v>
      </c>
      <c r="E2061" s="5">
        <v>7.9360573E7</v>
      </c>
      <c r="F2061" s="5" t="s">
        <v>93</v>
      </c>
      <c r="G2061" s="5" t="s">
        <v>15</v>
      </c>
      <c r="H2061" s="5" t="s">
        <v>24</v>
      </c>
      <c r="I2061" s="6"/>
      <c r="J2061" s="7" t="s">
        <v>34</v>
      </c>
      <c r="K2061" s="7"/>
      <c r="L2061" s="8">
        <v>1.771804101436E12</v>
      </c>
      <c r="M2061" s="9"/>
      <c r="N2061" s="10"/>
      <c r="O2061" s="10"/>
      <c r="P2061" s="10"/>
      <c r="Q2061" s="10"/>
      <c r="R2061" s="10"/>
      <c r="S2061" s="10"/>
      <c r="T2061" s="10"/>
      <c r="U2061" s="10"/>
      <c r="V2061" s="10"/>
    </row>
    <row r="2062" ht="22.5" customHeight="1">
      <c r="A2062" s="5">
        <v>2.04609572134E11</v>
      </c>
      <c r="B2062" s="5" t="s">
        <v>1903</v>
      </c>
      <c r="C2062" s="5">
        <v>5541998964273</v>
      </c>
      <c r="D2062" s="5" t="s">
        <v>22</v>
      </c>
      <c r="E2062" s="5">
        <v>7.9360573E7</v>
      </c>
      <c r="F2062" s="5" t="s">
        <v>42</v>
      </c>
      <c r="G2062" s="5" t="s">
        <v>32</v>
      </c>
      <c r="H2062" s="5" t="s">
        <v>16</v>
      </c>
      <c r="I2062" s="6" t="s">
        <v>17</v>
      </c>
      <c r="J2062" s="7" t="s">
        <v>124</v>
      </c>
      <c r="K2062" s="7" t="s">
        <v>1256</v>
      </c>
      <c r="L2062" s="8">
        <v>1.771804980071E12</v>
      </c>
      <c r="M2062" s="9"/>
      <c r="N2062" s="10"/>
      <c r="O2062" s="10"/>
      <c r="P2062" s="10"/>
      <c r="Q2062" s="10"/>
      <c r="R2062" s="10"/>
      <c r="S2062" s="10"/>
      <c r="T2062" s="10"/>
      <c r="U2062" s="10"/>
      <c r="V2062" s="10"/>
    </row>
    <row r="2063" ht="22.5" customHeight="1">
      <c r="A2063" s="5">
        <v>2.04598754967E11</v>
      </c>
      <c r="B2063" s="5" t="s">
        <v>1904</v>
      </c>
      <c r="C2063" s="5">
        <v>51925010993</v>
      </c>
      <c r="D2063" s="5" t="s">
        <v>13</v>
      </c>
      <c r="E2063" s="5">
        <v>8.0566583E7</v>
      </c>
      <c r="F2063" s="5" t="s">
        <v>39</v>
      </c>
      <c r="G2063" s="5" t="s">
        <v>15</v>
      </c>
      <c r="H2063" s="5" t="s">
        <v>51</v>
      </c>
      <c r="I2063" s="6" t="s">
        <v>17</v>
      </c>
      <c r="J2063" s="7" t="s">
        <v>18</v>
      </c>
      <c r="K2063" s="7" t="s">
        <v>19</v>
      </c>
      <c r="L2063" s="8">
        <v>1.771804980827E12</v>
      </c>
      <c r="M2063" s="9"/>
      <c r="N2063" s="10"/>
      <c r="O2063" s="10"/>
      <c r="P2063" s="10"/>
      <c r="Q2063" s="10"/>
      <c r="R2063" s="10"/>
      <c r="S2063" s="10"/>
      <c r="T2063" s="10"/>
      <c r="U2063" s="10"/>
      <c r="V2063" s="10"/>
    </row>
    <row r="2064" ht="22.5" customHeight="1">
      <c r="A2064" s="5">
        <v>2.04598369371E11</v>
      </c>
      <c r="B2064" s="5" t="s">
        <v>1905</v>
      </c>
      <c r="C2064" s="5">
        <v>526871543727</v>
      </c>
      <c r="D2064" s="5" t="s">
        <v>13</v>
      </c>
      <c r="E2064" s="5">
        <v>8.0566583E7</v>
      </c>
      <c r="F2064" s="5" t="s">
        <v>259</v>
      </c>
      <c r="G2064" s="5" t="s">
        <v>15</v>
      </c>
      <c r="H2064" s="5" t="s">
        <v>66</v>
      </c>
      <c r="I2064" s="6" t="s">
        <v>36</v>
      </c>
      <c r="J2064" s="7" t="s">
        <v>18</v>
      </c>
      <c r="K2064" s="7" t="s">
        <v>61</v>
      </c>
      <c r="L2064" s="8">
        <v>1.771806259082E12</v>
      </c>
      <c r="M2064" s="9"/>
      <c r="N2064" s="10"/>
      <c r="O2064" s="10"/>
      <c r="P2064" s="10"/>
      <c r="Q2064" s="10"/>
      <c r="R2064" s="10"/>
      <c r="S2064" s="10"/>
      <c r="T2064" s="10"/>
      <c r="U2064" s="10"/>
      <c r="V2064" s="10"/>
    </row>
    <row r="2065" ht="22.5" customHeight="1">
      <c r="A2065" s="5">
        <v>2.04598055704E11</v>
      </c>
      <c r="B2065" s="5" t="s">
        <v>1906</v>
      </c>
      <c r="C2065" s="5">
        <v>5541996526951</v>
      </c>
      <c r="D2065" s="5" t="s">
        <v>22</v>
      </c>
      <c r="E2065" s="5">
        <v>7.9360573E7</v>
      </c>
      <c r="F2065" s="5" t="s">
        <v>42</v>
      </c>
      <c r="G2065" s="5">
        <v>50</v>
      </c>
      <c r="H2065" s="5" t="s">
        <v>24</v>
      </c>
      <c r="I2065" s="6" t="s">
        <v>17</v>
      </c>
      <c r="J2065" s="7" t="s">
        <v>34</v>
      </c>
      <c r="K2065" s="7"/>
      <c r="L2065" s="8">
        <v>1.771806385171E12</v>
      </c>
      <c r="M2065" s="9"/>
      <c r="N2065" s="10"/>
      <c r="O2065" s="10"/>
      <c r="P2065" s="10"/>
      <c r="Q2065" s="10"/>
      <c r="R2065" s="10"/>
      <c r="S2065" s="10"/>
      <c r="T2065" s="10"/>
      <c r="U2065" s="10"/>
      <c r="V2065" s="10"/>
    </row>
    <row r="2066" ht="22.5" customHeight="1">
      <c r="A2066" s="5">
        <v>2.04609827849E11</v>
      </c>
      <c r="B2066" s="5" t="s">
        <v>1907</v>
      </c>
      <c r="C2066" s="5">
        <v>51928366849</v>
      </c>
      <c r="D2066" s="5" t="s">
        <v>103</v>
      </c>
      <c r="E2066" s="5">
        <v>8.0566583E7</v>
      </c>
      <c r="F2066" s="5" t="s">
        <v>28</v>
      </c>
      <c r="G2066" s="5" t="s">
        <v>79</v>
      </c>
      <c r="H2066" s="5" t="s">
        <v>239</v>
      </c>
      <c r="I2066" s="6" t="s">
        <v>148</v>
      </c>
      <c r="J2066" s="7" t="s">
        <v>177</v>
      </c>
      <c r="K2066" s="7" t="s">
        <v>36</v>
      </c>
      <c r="L2066" s="8">
        <v>1.771806788607E12</v>
      </c>
      <c r="M2066" s="9"/>
      <c r="N2066" s="10"/>
      <c r="O2066" s="10"/>
      <c r="P2066" s="10"/>
      <c r="Q2066" s="10"/>
      <c r="R2066" s="10"/>
      <c r="S2066" s="10"/>
      <c r="T2066" s="10"/>
      <c r="U2066" s="10"/>
      <c r="V2066" s="10"/>
    </row>
    <row r="2067" ht="22.5" customHeight="1">
      <c r="A2067" s="5">
        <v>2.04610289999E11</v>
      </c>
      <c r="B2067" s="5" t="s">
        <v>1908</v>
      </c>
      <c r="C2067" s="5">
        <v>5532988324893</v>
      </c>
      <c r="D2067" s="5" t="s">
        <v>22</v>
      </c>
      <c r="E2067" s="5">
        <v>7.9360573E7</v>
      </c>
      <c r="F2067" s="5" t="s">
        <v>42</v>
      </c>
      <c r="G2067" s="5" t="s">
        <v>32</v>
      </c>
      <c r="H2067" s="5" t="s">
        <v>24</v>
      </c>
      <c r="I2067" s="6" t="s">
        <v>17</v>
      </c>
      <c r="J2067" s="7" t="s">
        <v>34</v>
      </c>
      <c r="K2067" s="7"/>
      <c r="L2067" s="8">
        <v>1.771807336445E12</v>
      </c>
      <c r="M2067" s="9"/>
      <c r="N2067" s="10"/>
      <c r="O2067" s="10"/>
      <c r="P2067" s="10"/>
      <c r="Q2067" s="10"/>
      <c r="R2067" s="10"/>
      <c r="S2067" s="10"/>
      <c r="T2067" s="10"/>
      <c r="U2067" s="10"/>
      <c r="V2067" s="10"/>
    </row>
    <row r="2068" ht="22.5" customHeight="1">
      <c r="A2068" s="5">
        <v>2.04622761784E11</v>
      </c>
      <c r="B2068" s="5" t="s">
        <v>1909</v>
      </c>
      <c r="C2068" s="5">
        <v>5522997394307</v>
      </c>
      <c r="D2068" s="5" t="s">
        <v>38</v>
      </c>
      <c r="E2068" s="5">
        <v>7.9360573E7</v>
      </c>
      <c r="F2068" s="5" t="s">
        <v>714</v>
      </c>
      <c r="G2068" s="5" t="s">
        <v>44</v>
      </c>
      <c r="H2068" s="5" t="s">
        <v>55</v>
      </c>
      <c r="I2068" s="6" t="s">
        <v>17</v>
      </c>
      <c r="J2068" s="7" t="s">
        <v>34</v>
      </c>
      <c r="K2068" s="7"/>
      <c r="L2068" s="8">
        <v>1.771807803709E12</v>
      </c>
      <c r="M2068" s="9"/>
      <c r="N2068" s="10"/>
      <c r="O2068" s="10"/>
      <c r="P2068" s="10"/>
      <c r="Q2068" s="10"/>
      <c r="R2068" s="10"/>
      <c r="S2068" s="10"/>
      <c r="T2068" s="10"/>
      <c r="U2068" s="10"/>
      <c r="V2068" s="10"/>
    </row>
    <row r="2069" ht="22.5" customHeight="1">
      <c r="A2069" s="5">
        <v>2.04620745055E11</v>
      </c>
      <c r="B2069" s="5" t="s">
        <v>1910</v>
      </c>
      <c r="C2069" s="5">
        <v>51946967112</v>
      </c>
      <c r="D2069" s="5" t="s">
        <v>13</v>
      </c>
      <c r="E2069" s="5">
        <v>8.7547393E7</v>
      </c>
      <c r="F2069" s="5" t="s">
        <v>39</v>
      </c>
      <c r="G2069" s="5" t="s">
        <v>15</v>
      </c>
      <c r="H2069" s="5" t="s">
        <v>33</v>
      </c>
      <c r="I2069" s="6"/>
      <c r="J2069" s="7" t="s">
        <v>34</v>
      </c>
      <c r="K2069" s="7"/>
      <c r="L2069" s="8">
        <v>1.771808343805E12</v>
      </c>
      <c r="M2069" s="9"/>
      <c r="N2069" s="10"/>
      <c r="O2069" s="10"/>
      <c r="P2069" s="10"/>
      <c r="Q2069" s="10"/>
      <c r="R2069" s="10"/>
      <c r="S2069" s="10"/>
      <c r="T2069" s="10"/>
      <c r="U2069" s="10"/>
      <c r="V2069" s="10"/>
    </row>
    <row r="2070" ht="22.5" customHeight="1">
      <c r="A2070" s="5">
        <v>1.44622547514E11</v>
      </c>
      <c r="B2070" s="5" t="s">
        <v>1911</v>
      </c>
      <c r="C2070" s="5">
        <v>51997022212</v>
      </c>
      <c r="D2070" s="5" t="s">
        <v>13</v>
      </c>
      <c r="E2070" s="5"/>
      <c r="F2070" s="5" t="s">
        <v>714</v>
      </c>
      <c r="G2070" s="5" t="s">
        <v>15</v>
      </c>
      <c r="H2070" s="5" t="s">
        <v>16</v>
      </c>
      <c r="I2070" s="6" t="s">
        <v>17</v>
      </c>
      <c r="J2070" s="7" t="s">
        <v>34</v>
      </c>
      <c r="K2070" s="7"/>
      <c r="L2070" s="8">
        <v>1.77180866874E12</v>
      </c>
      <c r="M2070" s="9"/>
      <c r="N2070" s="10"/>
      <c r="O2070" s="10"/>
      <c r="P2070" s="10"/>
      <c r="Q2070" s="10"/>
      <c r="R2070" s="10"/>
      <c r="S2070" s="10"/>
      <c r="T2070" s="10"/>
      <c r="U2070" s="10"/>
      <c r="V2070" s="10"/>
    </row>
    <row r="2071" ht="22.5" customHeight="1">
      <c r="A2071" s="5">
        <v>2.03475417492E11</v>
      </c>
      <c r="B2071" s="5" t="s">
        <v>1912</v>
      </c>
      <c r="C2071" s="5">
        <v>51935428317</v>
      </c>
      <c r="D2071" s="5" t="s">
        <v>13</v>
      </c>
      <c r="E2071" s="5">
        <v>8.7547393E7</v>
      </c>
      <c r="F2071" s="5" t="s">
        <v>259</v>
      </c>
      <c r="G2071" s="5" t="s">
        <v>15</v>
      </c>
      <c r="H2071" s="5" t="s">
        <v>66</v>
      </c>
      <c r="I2071" s="6" t="s">
        <v>17</v>
      </c>
      <c r="J2071" s="7" t="s">
        <v>18</v>
      </c>
      <c r="K2071" s="7" t="s">
        <v>19</v>
      </c>
      <c r="L2071" s="8">
        <v>1.771810166062E12</v>
      </c>
      <c r="M2071" s="9"/>
      <c r="N2071" s="10"/>
      <c r="O2071" s="10"/>
      <c r="P2071" s="10"/>
      <c r="Q2071" s="10"/>
      <c r="R2071" s="10"/>
      <c r="S2071" s="10"/>
      <c r="T2071" s="10"/>
      <c r="U2071" s="10"/>
      <c r="V2071" s="10"/>
    </row>
    <row r="2072" ht="22.5" customHeight="1">
      <c r="A2072" s="5">
        <v>2.04615365779E11</v>
      </c>
      <c r="B2072" s="5" t="s">
        <v>1913</v>
      </c>
      <c r="C2072" s="5">
        <v>5517991404700</v>
      </c>
      <c r="D2072" s="5" t="s">
        <v>13</v>
      </c>
      <c r="E2072" s="5">
        <v>7.9360573E7</v>
      </c>
      <c r="F2072" s="5" t="s">
        <v>28</v>
      </c>
      <c r="G2072" s="5" t="s">
        <v>32</v>
      </c>
      <c r="H2072" s="5" t="s">
        <v>51</v>
      </c>
      <c r="I2072" s="6" t="s">
        <v>17</v>
      </c>
      <c r="J2072" s="7" t="s">
        <v>34</v>
      </c>
      <c r="K2072" s="7"/>
      <c r="L2072" s="8">
        <v>1.771810342442E12</v>
      </c>
      <c r="M2072" s="9"/>
      <c r="N2072" s="10"/>
      <c r="O2072" s="10"/>
      <c r="P2072" s="10"/>
      <c r="Q2072" s="10"/>
      <c r="R2072" s="10"/>
      <c r="S2072" s="10"/>
      <c r="T2072" s="10"/>
      <c r="U2072" s="10"/>
      <c r="V2072" s="10"/>
    </row>
    <row r="2073" ht="22.5" customHeight="1">
      <c r="A2073" s="5">
        <v>2.04616073101E11</v>
      </c>
      <c r="B2073" s="5" t="s">
        <v>1914</v>
      </c>
      <c r="C2073" s="5">
        <v>5527997865206</v>
      </c>
      <c r="D2073" s="5" t="s">
        <v>13</v>
      </c>
      <c r="E2073" s="5">
        <v>7.9360573E7</v>
      </c>
      <c r="F2073" s="5" t="s">
        <v>28</v>
      </c>
      <c r="G2073" s="5" t="s">
        <v>15</v>
      </c>
      <c r="H2073" s="5" t="s">
        <v>24</v>
      </c>
      <c r="I2073" s="6" t="s">
        <v>17</v>
      </c>
      <c r="J2073" s="7" t="s">
        <v>34</v>
      </c>
      <c r="K2073" s="7"/>
      <c r="L2073" s="8">
        <v>1.771811148064E12</v>
      </c>
      <c r="M2073" s="9"/>
      <c r="N2073" s="10"/>
      <c r="O2073" s="10"/>
      <c r="P2073" s="10"/>
      <c r="Q2073" s="10"/>
      <c r="R2073" s="10"/>
      <c r="S2073" s="10"/>
      <c r="T2073" s="10"/>
      <c r="U2073" s="10"/>
      <c r="V2073" s="10"/>
    </row>
    <row r="2074" ht="22.5" customHeight="1">
      <c r="A2074" s="5">
        <v>2.046238073E11</v>
      </c>
      <c r="B2074" s="5" t="s">
        <v>1915</v>
      </c>
      <c r="C2074" s="5">
        <v>5519988288123</v>
      </c>
      <c r="D2074" s="5" t="s">
        <v>13</v>
      </c>
      <c r="E2074" s="5">
        <v>7.9360573E7</v>
      </c>
      <c r="F2074" s="5" t="s">
        <v>42</v>
      </c>
      <c r="G2074" s="5" t="s">
        <v>32</v>
      </c>
      <c r="H2074" s="5"/>
      <c r="I2074" s="6"/>
      <c r="J2074" s="7" t="s">
        <v>124</v>
      </c>
      <c r="K2074" s="7" t="s">
        <v>1256</v>
      </c>
      <c r="L2074" s="8">
        <v>1.77181140594E12</v>
      </c>
      <c r="M2074" s="9"/>
      <c r="N2074" s="10"/>
      <c r="O2074" s="10"/>
      <c r="P2074" s="10"/>
      <c r="Q2074" s="10"/>
      <c r="R2074" s="10"/>
      <c r="S2074" s="10"/>
      <c r="T2074" s="10"/>
      <c r="U2074" s="10"/>
      <c r="V2074" s="10"/>
    </row>
    <row r="2075" ht="22.5" customHeight="1">
      <c r="A2075" s="5">
        <v>2.04010816156E11</v>
      </c>
      <c r="B2075" s="5" t="s">
        <v>1916</v>
      </c>
      <c r="C2075" s="5">
        <v>51934285216</v>
      </c>
      <c r="D2075" s="5" t="s">
        <v>38</v>
      </c>
      <c r="E2075" s="5">
        <v>8.0566583E7</v>
      </c>
      <c r="F2075" s="5" t="s">
        <v>510</v>
      </c>
      <c r="G2075" s="5" t="s">
        <v>15</v>
      </c>
      <c r="H2075" s="5" t="s">
        <v>51</v>
      </c>
      <c r="I2075" s="6" t="s">
        <v>17</v>
      </c>
      <c r="J2075" s="7" t="s">
        <v>25</v>
      </c>
      <c r="K2075" s="7"/>
      <c r="L2075" s="8">
        <v>1.771812176957E12</v>
      </c>
      <c r="M2075" s="9"/>
      <c r="N2075" s="10"/>
      <c r="O2075" s="10"/>
      <c r="P2075" s="10"/>
      <c r="Q2075" s="10"/>
      <c r="R2075" s="10"/>
      <c r="S2075" s="10"/>
      <c r="T2075" s="10"/>
      <c r="U2075" s="10"/>
      <c r="V2075" s="10"/>
    </row>
    <row r="2076" ht="22.5" customHeight="1">
      <c r="A2076" s="5">
        <v>2.04617180161E11</v>
      </c>
      <c r="B2076" s="5" t="s">
        <v>1917</v>
      </c>
      <c r="C2076" s="5">
        <v>5562993189247</v>
      </c>
      <c r="D2076" s="5" t="s">
        <v>13</v>
      </c>
      <c r="E2076" s="5">
        <v>7.9360573E7</v>
      </c>
      <c r="F2076" s="5" t="s">
        <v>39</v>
      </c>
      <c r="G2076" s="5" t="s">
        <v>15</v>
      </c>
      <c r="H2076" s="5" t="s">
        <v>16</v>
      </c>
      <c r="I2076" s="6" t="s">
        <v>36</v>
      </c>
      <c r="J2076" s="7" t="s">
        <v>34</v>
      </c>
      <c r="K2076" s="7"/>
      <c r="L2076" s="8">
        <v>1.771812465693E12</v>
      </c>
      <c r="M2076" s="9"/>
      <c r="N2076" s="10"/>
      <c r="O2076" s="10"/>
      <c r="P2076" s="10"/>
      <c r="Q2076" s="10"/>
      <c r="R2076" s="10"/>
      <c r="S2076" s="10"/>
      <c r="T2076" s="10"/>
      <c r="U2076" s="10"/>
      <c r="V2076" s="10"/>
    </row>
    <row r="2077" ht="22.5" customHeight="1">
      <c r="A2077" s="5">
        <v>2.04616659982E11</v>
      </c>
      <c r="B2077" s="5" t="s">
        <v>1918</v>
      </c>
      <c r="C2077" s="5">
        <v>5519991886404</v>
      </c>
      <c r="D2077" s="5" t="s">
        <v>38</v>
      </c>
      <c r="E2077" s="5">
        <v>7.9360573E7</v>
      </c>
      <c r="F2077" s="5" t="s">
        <v>28</v>
      </c>
      <c r="G2077" s="5" t="s">
        <v>15</v>
      </c>
      <c r="H2077" s="5" t="s">
        <v>66</v>
      </c>
      <c r="I2077" s="6" t="s">
        <v>17</v>
      </c>
      <c r="J2077" s="7" t="s">
        <v>34</v>
      </c>
      <c r="K2077" s="7"/>
      <c r="L2077" s="8">
        <v>1.771812478314E12</v>
      </c>
      <c r="M2077" s="9"/>
      <c r="N2077" s="10"/>
      <c r="O2077" s="10"/>
      <c r="P2077" s="10"/>
      <c r="Q2077" s="10"/>
      <c r="R2077" s="10"/>
      <c r="S2077" s="10"/>
      <c r="T2077" s="10"/>
      <c r="U2077" s="10"/>
      <c r="V2077" s="10"/>
    </row>
    <row r="2078" ht="22.5" customHeight="1">
      <c r="A2078" s="5">
        <v>2.04626175533E11</v>
      </c>
      <c r="B2078" s="5" t="s">
        <v>1919</v>
      </c>
      <c r="C2078" s="5">
        <v>51955144939</v>
      </c>
      <c r="D2078" s="5" t="s">
        <v>13</v>
      </c>
      <c r="E2078" s="5">
        <v>8.0566583E7</v>
      </c>
      <c r="F2078" s="5" t="s">
        <v>39</v>
      </c>
      <c r="G2078" s="5" t="s">
        <v>15</v>
      </c>
      <c r="H2078" s="5" t="s">
        <v>51</v>
      </c>
      <c r="I2078" s="6" t="s">
        <v>17</v>
      </c>
      <c r="J2078" s="7" t="s">
        <v>18</v>
      </c>
      <c r="K2078" s="7" t="s">
        <v>19</v>
      </c>
      <c r="L2078" s="8">
        <v>1.771813565E12</v>
      </c>
      <c r="M2078" s="9"/>
      <c r="N2078" s="10"/>
      <c r="O2078" s="10"/>
      <c r="P2078" s="10"/>
      <c r="Q2078" s="10"/>
      <c r="R2078" s="10"/>
      <c r="S2078" s="10"/>
      <c r="T2078" s="10"/>
      <c r="U2078" s="10"/>
      <c r="V2078" s="10"/>
    </row>
    <row r="2079" ht="22.5" customHeight="1">
      <c r="A2079" s="5">
        <v>2.04628655668E11</v>
      </c>
      <c r="B2079" s="5" t="s">
        <v>1920</v>
      </c>
      <c r="C2079" s="5">
        <v>51930507775</v>
      </c>
      <c r="D2079" s="5" t="s">
        <v>13</v>
      </c>
      <c r="E2079" s="5">
        <v>8.0566583E7</v>
      </c>
      <c r="F2079" s="5" t="s">
        <v>28</v>
      </c>
      <c r="G2079" s="5" t="s">
        <v>15</v>
      </c>
      <c r="H2079" s="5" t="s">
        <v>24</v>
      </c>
      <c r="I2079" s="6" t="s">
        <v>17</v>
      </c>
      <c r="J2079" s="7" t="s">
        <v>124</v>
      </c>
      <c r="K2079" s="7" t="s">
        <v>125</v>
      </c>
      <c r="L2079" s="8">
        <v>1.771816176879E12</v>
      </c>
      <c r="M2079" s="9"/>
      <c r="N2079" s="10"/>
      <c r="O2079" s="10"/>
      <c r="P2079" s="10"/>
      <c r="Q2079" s="10"/>
      <c r="R2079" s="10"/>
      <c r="S2079" s="10"/>
      <c r="T2079" s="10"/>
      <c r="U2079" s="10"/>
      <c r="V2079" s="10"/>
    </row>
    <row r="2080" ht="22.5" customHeight="1">
      <c r="A2080" s="5">
        <v>2.046317159E11</v>
      </c>
      <c r="B2080" s="5" t="s">
        <v>1921</v>
      </c>
      <c r="C2080" s="5">
        <v>5511984694734</v>
      </c>
      <c r="D2080" s="5" t="s">
        <v>22</v>
      </c>
      <c r="E2080" s="5">
        <v>7.9360573E7</v>
      </c>
      <c r="F2080" s="5" t="s">
        <v>28</v>
      </c>
      <c r="G2080" s="5" t="s">
        <v>44</v>
      </c>
      <c r="H2080" s="5" t="s">
        <v>114</v>
      </c>
      <c r="I2080" s="6" t="s">
        <v>17</v>
      </c>
      <c r="J2080" s="7" t="s">
        <v>34</v>
      </c>
      <c r="K2080" s="7"/>
      <c r="L2080" s="8">
        <v>1.771817309288E12</v>
      </c>
      <c r="M2080" s="9"/>
      <c r="N2080" s="10"/>
      <c r="O2080" s="10"/>
      <c r="P2080" s="10"/>
      <c r="Q2080" s="10"/>
      <c r="R2080" s="10"/>
      <c r="S2080" s="10"/>
      <c r="T2080" s="10"/>
      <c r="U2080" s="10"/>
      <c r="V2080" s="10"/>
    </row>
    <row r="2081" ht="22.5" customHeight="1">
      <c r="A2081" s="5">
        <v>2.04628783233E11</v>
      </c>
      <c r="B2081" s="5" t="s">
        <v>1922</v>
      </c>
      <c r="C2081" s="5">
        <v>51904315830</v>
      </c>
      <c r="D2081" s="5" t="s">
        <v>13</v>
      </c>
      <c r="E2081" s="5">
        <v>8.7547393E7</v>
      </c>
      <c r="F2081" s="5" t="s">
        <v>14</v>
      </c>
      <c r="G2081" s="5" t="s">
        <v>32</v>
      </c>
      <c r="H2081" s="5" t="s">
        <v>66</v>
      </c>
      <c r="I2081" s="6" t="s">
        <v>17</v>
      </c>
      <c r="J2081" s="7" t="s">
        <v>18</v>
      </c>
      <c r="K2081" s="7" t="s">
        <v>19</v>
      </c>
      <c r="L2081" s="8">
        <v>1.771817883774E12</v>
      </c>
      <c r="M2081" s="9"/>
      <c r="N2081" s="10"/>
      <c r="O2081" s="10"/>
      <c r="P2081" s="10"/>
      <c r="Q2081" s="10"/>
      <c r="R2081" s="10"/>
      <c r="S2081" s="10"/>
      <c r="T2081" s="10"/>
      <c r="U2081" s="10"/>
      <c r="V2081" s="10"/>
    </row>
    <row r="2082" ht="22.5" customHeight="1">
      <c r="A2082" s="5">
        <v>1.92392012462E11</v>
      </c>
      <c r="B2082" s="5" t="s">
        <v>1923</v>
      </c>
      <c r="C2082" s="5">
        <v>573144112972</v>
      </c>
      <c r="D2082" s="5" t="s">
        <v>13</v>
      </c>
      <c r="E2082" s="5">
        <v>8.0566583E7</v>
      </c>
      <c r="F2082" s="5" t="s">
        <v>65</v>
      </c>
      <c r="G2082" s="5" t="s">
        <v>32</v>
      </c>
      <c r="H2082" s="5" t="s">
        <v>128</v>
      </c>
      <c r="I2082" s="6" t="s">
        <v>36</v>
      </c>
      <c r="J2082" s="7" t="s">
        <v>34</v>
      </c>
      <c r="K2082" s="7"/>
      <c r="L2082" s="8">
        <v>1.771817990486E12</v>
      </c>
      <c r="M2082" s="9"/>
      <c r="N2082" s="10"/>
      <c r="O2082" s="10"/>
      <c r="P2082" s="10"/>
      <c r="Q2082" s="10"/>
      <c r="R2082" s="10"/>
      <c r="S2082" s="10"/>
      <c r="T2082" s="10"/>
      <c r="U2082" s="10"/>
      <c r="V2082" s="10"/>
    </row>
    <row r="2083" ht="22.5" customHeight="1">
      <c r="A2083" s="5">
        <v>1.44707139166E11</v>
      </c>
      <c r="B2083" s="5" t="s">
        <v>1924</v>
      </c>
      <c r="C2083" s="5">
        <v>5515991138241</v>
      </c>
      <c r="D2083" s="5" t="s">
        <v>38</v>
      </c>
      <c r="E2083" s="5">
        <v>7.9360573E7</v>
      </c>
      <c r="F2083" s="5"/>
      <c r="G2083" s="5"/>
      <c r="H2083" s="5"/>
      <c r="I2083" s="6"/>
      <c r="J2083" s="7" t="s">
        <v>124</v>
      </c>
      <c r="K2083" s="7" t="s">
        <v>1256</v>
      </c>
      <c r="L2083" s="8">
        <v>1.771818656652E12</v>
      </c>
      <c r="M2083" s="9"/>
      <c r="N2083" s="10"/>
      <c r="O2083" s="10"/>
      <c r="P2083" s="10"/>
      <c r="Q2083" s="10"/>
      <c r="R2083" s="10"/>
      <c r="S2083" s="10"/>
      <c r="T2083" s="10"/>
      <c r="U2083" s="10"/>
      <c r="V2083" s="10"/>
    </row>
    <row r="2084" ht="22.5" customHeight="1">
      <c r="A2084" s="5">
        <v>2.04634079408E11</v>
      </c>
      <c r="B2084" s="5" t="s">
        <v>1925</v>
      </c>
      <c r="C2084" s="5">
        <v>5596991286083</v>
      </c>
      <c r="D2084" s="5" t="s">
        <v>13</v>
      </c>
      <c r="E2084" s="5">
        <v>7.9360573E7</v>
      </c>
      <c r="F2084" s="5" t="s">
        <v>14</v>
      </c>
      <c r="G2084" s="5" t="s">
        <v>15</v>
      </c>
      <c r="H2084" s="5" t="s">
        <v>66</v>
      </c>
      <c r="I2084" s="6" t="s">
        <v>17</v>
      </c>
      <c r="J2084" s="7" t="s">
        <v>124</v>
      </c>
      <c r="K2084" s="7" t="s">
        <v>1256</v>
      </c>
      <c r="L2084" s="8">
        <v>1.771818904646E12</v>
      </c>
      <c r="M2084" s="9"/>
      <c r="N2084" s="10"/>
      <c r="O2084" s="10"/>
      <c r="P2084" s="10"/>
      <c r="Q2084" s="10"/>
      <c r="R2084" s="10"/>
      <c r="S2084" s="10"/>
      <c r="T2084" s="10"/>
      <c r="U2084" s="10"/>
      <c r="V2084" s="10"/>
    </row>
    <row r="2085" ht="22.5" customHeight="1">
      <c r="A2085" s="5">
        <v>2.04644548937E11</v>
      </c>
      <c r="B2085" s="5" t="s">
        <v>1926</v>
      </c>
      <c r="C2085" s="5">
        <v>5585921464613</v>
      </c>
      <c r="D2085" s="5" t="s">
        <v>13</v>
      </c>
      <c r="E2085" s="5">
        <v>7.9360573E7</v>
      </c>
      <c r="F2085" s="5" t="s">
        <v>28</v>
      </c>
      <c r="G2085" s="5" t="s">
        <v>15</v>
      </c>
      <c r="H2085" s="5"/>
      <c r="I2085" s="6"/>
      <c r="J2085" s="7" t="s">
        <v>34</v>
      </c>
      <c r="K2085" s="7"/>
      <c r="L2085" s="8">
        <v>1.771820042823E12</v>
      </c>
      <c r="M2085" s="9"/>
      <c r="N2085" s="10"/>
      <c r="O2085" s="10"/>
      <c r="P2085" s="10"/>
      <c r="Q2085" s="10"/>
      <c r="R2085" s="10"/>
      <c r="S2085" s="10"/>
      <c r="T2085" s="10"/>
      <c r="U2085" s="10"/>
      <c r="V2085" s="10"/>
    </row>
    <row r="2086" ht="22.5" customHeight="1">
      <c r="A2086" s="5">
        <v>2.04634850313E11</v>
      </c>
      <c r="B2086" s="5" t="s">
        <v>1927</v>
      </c>
      <c r="C2086" s="5">
        <v>526421459437</v>
      </c>
      <c r="D2086" s="5" t="s">
        <v>13</v>
      </c>
      <c r="E2086" s="5">
        <v>8.0566583E7</v>
      </c>
      <c r="F2086" s="5" t="s">
        <v>28</v>
      </c>
      <c r="G2086" s="5" t="s">
        <v>15</v>
      </c>
      <c r="H2086" s="5" t="s">
        <v>114</v>
      </c>
      <c r="I2086" s="6" t="s">
        <v>17</v>
      </c>
      <c r="J2086" s="7" t="s">
        <v>34</v>
      </c>
      <c r="K2086" s="7"/>
      <c r="L2086" s="8">
        <v>1.771820768318E12</v>
      </c>
      <c r="M2086" s="9"/>
      <c r="N2086" s="10"/>
      <c r="O2086" s="10"/>
      <c r="P2086" s="10"/>
      <c r="Q2086" s="10"/>
      <c r="R2086" s="10"/>
      <c r="S2086" s="10"/>
      <c r="T2086" s="10"/>
      <c r="U2086" s="10"/>
      <c r="V2086" s="10"/>
    </row>
    <row r="2087" ht="22.5" customHeight="1">
      <c r="A2087" s="5">
        <v>2.04633867902E11</v>
      </c>
      <c r="B2087" s="5" t="s">
        <v>1928</v>
      </c>
      <c r="C2087" s="5">
        <v>51968630238</v>
      </c>
      <c r="D2087" s="5" t="s">
        <v>13</v>
      </c>
      <c r="E2087" s="5">
        <v>8.7547393E7</v>
      </c>
      <c r="F2087" s="5"/>
      <c r="G2087" s="5" t="s">
        <v>15</v>
      </c>
      <c r="H2087" s="5" t="s">
        <v>66</v>
      </c>
      <c r="I2087" s="6" t="s">
        <v>17</v>
      </c>
      <c r="J2087" s="7" t="s">
        <v>18</v>
      </c>
      <c r="K2087" s="7" t="s">
        <v>19</v>
      </c>
      <c r="L2087" s="8">
        <v>1.771820920502E12</v>
      </c>
      <c r="M2087" s="9"/>
      <c r="N2087" s="10"/>
      <c r="O2087" s="10"/>
      <c r="P2087" s="10"/>
      <c r="Q2087" s="10"/>
      <c r="R2087" s="10"/>
      <c r="S2087" s="10"/>
      <c r="T2087" s="10"/>
      <c r="U2087" s="10"/>
      <c r="V2087" s="10"/>
    </row>
    <row r="2088" ht="22.5" customHeight="1">
      <c r="A2088" s="5">
        <v>2.04634513439E11</v>
      </c>
      <c r="B2088" s="5" t="s">
        <v>1929</v>
      </c>
      <c r="C2088" s="5">
        <v>525577238551</v>
      </c>
      <c r="D2088" s="5" t="s">
        <v>13</v>
      </c>
      <c r="E2088" s="5">
        <v>8.0566583E7</v>
      </c>
      <c r="F2088" s="5" t="s">
        <v>39</v>
      </c>
      <c r="G2088" s="5" t="s">
        <v>32</v>
      </c>
      <c r="H2088" s="5" t="s">
        <v>29</v>
      </c>
      <c r="I2088" s="6" t="s">
        <v>17</v>
      </c>
      <c r="J2088" s="7" t="s">
        <v>18</v>
      </c>
      <c r="K2088" s="7" t="s">
        <v>61</v>
      </c>
      <c r="L2088" s="8">
        <v>1.771822065289E12</v>
      </c>
      <c r="M2088" s="9"/>
      <c r="N2088" s="10"/>
      <c r="O2088" s="10"/>
      <c r="P2088" s="10"/>
      <c r="Q2088" s="10"/>
      <c r="R2088" s="10"/>
      <c r="S2088" s="10"/>
      <c r="T2088" s="10"/>
      <c r="U2088" s="10"/>
      <c r="V2088" s="10"/>
    </row>
    <row r="2089" ht="22.5" customHeight="1">
      <c r="A2089" s="5">
        <v>2.04635678984E11</v>
      </c>
      <c r="B2089" s="5" t="s">
        <v>1930</v>
      </c>
      <c r="C2089" s="5">
        <v>5579996391783</v>
      </c>
      <c r="D2089" s="5" t="s">
        <v>38</v>
      </c>
      <c r="E2089" s="5">
        <v>7.9360573E7</v>
      </c>
      <c r="F2089" s="5"/>
      <c r="G2089" s="5"/>
      <c r="H2089" s="5"/>
      <c r="I2089" s="6"/>
      <c r="J2089" s="7" t="s">
        <v>34</v>
      </c>
      <c r="K2089" s="7"/>
      <c r="L2089" s="8">
        <v>1.77182214342E12</v>
      </c>
      <c r="M2089" s="9"/>
      <c r="N2089" s="10"/>
      <c r="O2089" s="10"/>
      <c r="P2089" s="10"/>
      <c r="Q2089" s="10"/>
      <c r="R2089" s="10"/>
      <c r="S2089" s="10"/>
      <c r="T2089" s="10"/>
      <c r="U2089" s="10"/>
      <c r="V2089" s="10"/>
    </row>
    <row r="2090" ht="22.5" customHeight="1">
      <c r="A2090" s="5">
        <v>2.04644548937E11</v>
      </c>
      <c r="B2090" s="5" t="s">
        <v>1926</v>
      </c>
      <c r="C2090" s="5">
        <v>5585921464613</v>
      </c>
      <c r="D2090" s="5" t="s">
        <v>13</v>
      </c>
      <c r="E2090" s="5">
        <v>7.9360573E7</v>
      </c>
      <c r="F2090" s="5" t="s">
        <v>28</v>
      </c>
      <c r="G2090" s="5" t="s">
        <v>15</v>
      </c>
      <c r="H2090" s="5"/>
      <c r="I2090" s="6"/>
      <c r="J2090" s="7" t="s">
        <v>34</v>
      </c>
      <c r="K2090" s="7"/>
      <c r="L2090" s="8">
        <v>1.771823068454E12</v>
      </c>
      <c r="M2090" s="9"/>
      <c r="N2090" s="10"/>
      <c r="O2090" s="10"/>
      <c r="P2090" s="10"/>
      <c r="Q2090" s="10"/>
      <c r="R2090" s="10"/>
      <c r="S2090" s="10"/>
      <c r="T2090" s="10"/>
      <c r="U2090" s="10"/>
      <c r="V2090" s="10"/>
    </row>
    <row r="2091" ht="22.5" customHeight="1">
      <c r="A2091" s="5">
        <v>2.04554746526E11</v>
      </c>
      <c r="B2091" s="5" t="s">
        <v>1931</v>
      </c>
      <c r="C2091" s="5">
        <v>527208121225</v>
      </c>
      <c r="D2091" s="5" t="s">
        <v>13</v>
      </c>
      <c r="E2091" s="5">
        <v>8.0566583E7</v>
      </c>
      <c r="F2091" s="5" t="s">
        <v>65</v>
      </c>
      <c r="G2091" s="5" t="s">
        <v>15</v>
      </c>
      <c r="H2091" s="5" t="s">
        <v>51</v>
      </c>
      <c r="I2091" s="6" t="s">
        <v>17</v>
      </c>
      <c r="J2091" s="7" t="s">
        <v>18</v>
      </c>
      <c r="K2091" s="7" t="s">
        <v>61</v>
      </c>
      <c r="L2091" s="8">
        <v>1.771823568773E12</v>
      </c>
      <c r="M2091" s="9"/>
      <c r="N2091" s="10"/>
      <c r="O2091" s="10"/>
      <c r="P2091" s="10"/>
      <c r="Q2091" s="10"/>
      <c r="R2091" s="10"/>
      <c r="S2091" s="10"/>
      <c r="T2091" s="10"/>
      <c r="U2091" s="10"/>
      <c r="V2091" s="10"/>
    </row>
    <row r="2092" ht="22.5" customHeight="1">
      <c r="A2092" s="5">
        <v>2.04554746526E11</v>
      </c>
      <c r="B2092" s="5" t="s">
        <v>1931</v>
      </c>
      <c r="C2092" s="5">
        <v>527208121225</v>
      </c>
      <c r="D2092" s="5" t="s">
        <v>13</v>
      </c>
      <c r="E2092" s="5">
        <v>8.0566583E7</v>
      </c>
      <c r="F2092" s="5" t="s">
        <v>65</v>
      </c>
      <c r="G2092" s="5" t="s">
        <v>15</v>
      </c>
      <c r="H2092" s="5" t="s">
        <v>51</v>
      </c>
      <c r="I2092" s="6" t="s">
        <v>17</v>
      </c>
      <c r="J2092" s="7" t="s">
        <v>18</v>
      </c>
      <c r="K2092" s="7" t="s">
        <v>61</v>
      </c>
      <c r="L2092" s="8">
        <v>1.771823593729E12</v>
      </c>
      <c r="M2092" s="9"/>
      <c r="N2092" s="10"/>
      <c r="O2092" s="10"/>
      <c r="P2092" s="10"/>
      <c r="Q2092" s="10"/>
      <c r="R2092" s="10"/>
      <c r="S2092" s="10"/>
      <c r="T2092" s="10"/>
      <c r="U2092" s="10"/>
      <c r="V2092" s="10"/>
    </row>
    <row r="2093" ht="22.5" customHeight="1">
      <c r="A2093" s="5">
        <v>2.04648972857E11</v>
      </c>
      <c r="B2093" s="5" t="s">
        <v>1932</v>
      </c>
      <c r="C2093" s="5">
        <v>51984031497</v>
      </c>
      <c r="D2093" s="5" t="s">
        <v>13</v>
      </c>
      <c r="E2093" s="5">
        <v>8.0566583E7</v>
      </c>
      <c r="F2093" s="5" t="s">
        <v>714</v>
      </c>
      <c r="G2093" s="5" t="s">
        <v>15</v>
      </c>
      <c r="H2093" s="5" t="s">
        <v>51</v>
      </c>
      <c r="I2093" s="6" t="s">
        <v>17</v>
      </c>
      <c r="J2093" s="7" t="s">
        <v>18</v>
      </c>
      <c r="K2093" s="7" t="s">
        <v>19</v>
      </c>
      <c r="L2093" s="8">
        <v>1.771825361123E12</v>
      </c>
      <c r="M2093" s="9"/>
      <c r="N2093" s="10"/>
      <c r="O2093" s="10"/>
      <c r="P2093" s="10"/>
      <c r="Q2093" s="10"/>
      <c r="R2093" s="10"/>
      <c r="S2093" s="10"/>
      <c r="T2093" s="10"/>
      <c r="U2093" s="10"/>
      <c r="V2093" s="10"/>
    </row>
    <row r="2094" ht="22.5" customHeight="1">
      <c r="A2094" s="5">
        <v>2.0248942396E11</v>
      </c>
      <c r="B2094" s="5" t="s">
        <v>1933</v>
      </c>
      <c r="C2094" s="5">
        <v>51956209724</v>
      </c>
      <c r="D2094" s="5" t="s">
        <v>13</v>
      </c>
      <c r="E2094" s="5">
        <v>8.7547393E7</v>
      </c>
      <c r="F2094" s="5" t="s">
        <v>14</v>
      </c>
      <c r="G2094" s="5" t="s">
        <v>15</v>
      </c>
      <c r="H2094" s="5" t="s">
        <v>51</v>
      </c>
      <c r="I2094" s="6" t="s">
        <v>17</v>
      </c>
      <c r="J2094" s="7" t="s">
        <v>25</v>
      </c>
      <c r="K2094" s="7" t="s">
        <v>501</v>
      </c>
      <c r="L2094" s="8">
        <v>1.771825555674E12</v>
      </c>
      <c r="M2094" s="9"/>
      <c r="N2094" s="10"/>
      <c r="O2094" s="10"/>
      <c r="P2094" s="10"/>
      <c r="Q2094" s="10"/>
      <c r="R2094" s="10"/>
      <c r="S2094" s="10"/>
      <c r="T2094" s="10"/>
      <c r="U2094" s="10"/>
      <c r="V2094" s="10"/>
    </row>
    <row r="2095" ht="22.5" customHeight="1">
      <c r="A2095" s="5">
        <v>1.80647507546E11</v>
      </c>
      <c r="B2095" s="5" t="s">
        <v>1934</v>
      </c>
      <c r="C2095" s="5">
        <v>51980492629</v>
      </c>
      <c r="D2095" s="5" t="s">
        <v>38</v>
      </c>
      <c r="E2095" s="5"/>
      <c r="F2095" s="5" t="s">
        <v>28</v>
      </c>
      <c r="G2095" s="5" t="s">
        <v>15</v>
      </c>
      <c r="H2095" s="5" t="s">
        <v>66</v>
      </c>
      <c r="I2095" s="6" t="s">
        <v>17</v>
      </c>
      <c r="J2095" s="7" t="s">
        <v>18</v>
      </c>
      <c r="K2095" s="7" t="s">
        <v>19</v>
      </c>
      <c r="L2095" s="8">
        <v>1.7718258272E12</v>
      </c>
      <c r="M2095" s="9"/>
      <c r="N2095" s="10"/>
      <c r="O2095" s="10"/>
      <c r="P2095" s="10"/>
      <c r="Q2095" s="10"/>
      <c r="R2095" s="10"/>
      <c r="S2095" s="10"/>
      <c r="T2095" s="10"/>
      <c r="U2095" s="10"/>
      <c r="V2095" s="10"/>
    </row>
    <row r="2096" ht="22.5" customHeight="1">
      <c r="A2096" s="5">
        <v>1.61588411552E11</v>
      </c>
      <c r="B2096" s="5" t="s">
        <v>1935</v>
      </c>
      <c r="C2096" s="5">
        <v>51984851140</v>
      </c>
      <c r="D2096" s="5" t="s">
        <v>38</v>
      </c>
      <c r="E2096" s="5"/>
      <c r="F2096" s="5" t="s">
        <v>28</v>
      </c>
      <c r="G2096" s="5" t="s">
        <v>32</v>
      </c>
      <c r="H2096" s="5" t="s">
        <v>24</v>
      </c>
      <c r="I2096" s="6" t="s">
        <v>17</v>
      </c>
      <c r="J2096" s="7" t="s">
        <v>18</v>
      </c>
      <c r="K2096" s="7" t="s">
        <v>116</v>
      </c>
      <c r="L2096" s="8">
        <v>1.771828123444E12</v>
      </c>
      <c r="M2096" s="9"/>
      <c r="N2096" s="10"/>
      <c r="O2096" s="10"/>
      <c r="P2096" s="10"/>
      <c r="Q2096" s="10"/>
      <c r="R2096" s="10"/>
      <c r="S2096" s="10"/>
      <c r="T2096" s="10"/>
      <c r="U2096" s="10"/>
      <c r="V2096" s="10"/>
    </row>
    <row r="2097" ht="22.5" customHeight="1">
      <c r="A2097" s="5">
        <v>2.0465049498E11</v>
      </c>
      <c r="B2097" s="5" t="s">
        <v>1936</v>
      </c>
      <c r="C2097" s="5">
        <v>526861584281</v>
      </c>
      <c r="D2097" s="5" t="s">
        <v>38</v>
      </c>
      <c r="E2097" s="5">
        <v>8.7547393E7</v>
      </c>
      <c r="F2097" s="5" t="s">
        <v>42</v>
      </c>
      <c r="G2097" s="5" t="s">
        <v>15</v>
      </c>
      <c r="H2097" s="5" t="s">
        <v>51</v>
      </c>
      <c r="I2097" s="6" t="s">
        <v>17</v>
      </c>
      <c r="J2097" s="7" t="s">
        <v>18</v>
      </c>
      <c r="K2097" s="7" t="s">
        <v>61</v>
      </c>
      <c r="L2097" s="8">
        <v>1.771828141891E12</v>
      </c>
      <c r="M2097" s="9"/>
      <c r="N2097" s="10"/>
      <c r="O2097" s="10"/>
      <c r="P2097" s="10"/>
      <c r="Q2097" s="10"/>
      <c r="R2097" s="10"/>
      <c r="S2097" s="10"/>
      <c r="T2097" s="10"/>
      <c r="U2097" s="10"/>
      <c r="V2097" s="10"/>
    </row>
    <row r="2098" ht="22.5" customHeight="1">
      <c r="A2098" s="5">
        <v>2.03130633868E11</v>
      </c>
      <c r="B2098" s="5" t="s">
        <v>1287</v>
      </c>
      <c r="C2098" s="5">
        <v>5527997442586</v>
      </c>
      <c r="D2098" s="5" t="s">
        <v>13</v>
      </c>
      <c r="E2098" s="5">
        <v>7.9360573E7</v>
      </c>
      <c r="F2098" s="5" t="s">
        <v>65</v>
      </c>
      <c r="G2098" s="5" t="s">
        <v>15</v>
      </c>
      <c r="H2098" s="5" t="s">
        <v>16</v>
      </c>
      <c r="I2098" s="6" t="s">
        <v>17</v>
      </c>
      <c r="J2098" s="7" t="s">
        <v>34</v>
      </c>
      <c r="K2098" s="7"/>
      <c r="L2098" s="8">
        <v>1.771828196558E12</v>
      </c>
      <c r="M2098" s="9"/>
      <c r="N2098" s="10"/>
      <c r="O2098" s="10"/>
      <c r="P2098" s="10"/>
      <c r="Q2098" s="10"/>
      <c r="R2098" s="10"/>
      <c r="S2098" s="10"/>
      <c r="T2098" s="10"/>
      <c r="U2098" s="10"/>
      <c r="V2098" s="10"/>
    </row>
    <row r="2099" ht="22.5" customHeight="1">
      <c r="A2099" s="5">
        <v>2.04653910103E11</v>
      </c>
      <c r="B2099" s="5" t="s">
        <v>1937</v>
      </c>
      <c r="C2099" s="5">
        <v>51905852862</v>
      </c>
      <c r="D2099" s="5" t="s">
        <v>38</v>
      </c>
      <c r="E2099" s="5">
        <v>8.7547393E7</v>
      </c>
      <c r="F2099" s="5"/>
      <c r="G2099" s="5"/>
      <c r="H2099" s="5"/>
      <c r="I2099" s="6"/>
      <c r="J2099" s="7" t="s">
        <v>18</v>
      </c>
      <c r="K2099" s="7" t="s">
        <v>19</v>
      </c>
      <c r="L2099" s="8">
        <v>1.771828543207E12</v>
      </c>
      <c r="M2099" s="9"/>
      <c r="N2099" s="10"/>
      <c r="O2099" s="10"/>
      <c r="P2099" s="10"/>
      <c r="Q2099" s="10"/>
      <c r="R2099" s="10"/>
      <c r="S2099" s="10"/>
      <c r="T2099" s="10"/>
      <c r="U2099" s="10"/>
      <c r="V2099" s="10"/>
    </row>
    <row r="2100" ht="22.5" customHeight="1">
      <c r="A2100" s="5">
        <v>2.04652132519E11</v>
      </c>
      <c r="B2100" s="5" t="s">
        <v>1938</v>
      </c>
      <c r="C2100" s="5">
        <v>5585989066670</v>
      </c>
      <c r="D2100" s="5" t="s">
        <v>13</v>
      </c>
      <c r="E2100" s="5">
        <v>7.9360573E7</v>
      </c>
      <c r="F2100" s="5" t="s">
        <v>510</v>
      </c>
      <c r="G2100" s="5" t="s">
        <v>15</v>
      </c>
      <c r="H2100" s="5" t="s">
        <v>16</v>
      </c>
      <c r="I2100" s="6"/>
      <c r="J2100" s="7" t="s">
        <v>34</v>
      </c>
      <c r="K2100" s="7"/>
      <c r="L2100" s="8">
        <v>1.771830162006E12</v>
      </c>
      <c r="M2100" s="9"/>
      <c r="N2100" s="10"/>
      <c r="O2100" s="10"/>
      <c r="P2100" s="10"/>
      <c r="Q2100" s="10"/>
      <c r="R2100" s="10"/>
      <c r="S2100" s="10"/>
      <c r="T2100" s="10"/>
      <c r="U2100" s="10"/>
      <c r="V2100" s="10"/>
    </row>
    <row r="2101" ht="22.5" customHeight="1">
      <c r="A2101" s="5">
        <v>2.04655480374E11</v>
      </c>
      <c r="B2101" s="5" t="s">
        <v>1939</v>
      </c>
      <c r="C2101" s="5">
        <v>51925102604</v>
      </c>
      <c r="D2101" s="5" t="s">
        <v>13</v>
      </c>
      <c r="E2101" s="5">
        <v>8.0566583E7</v>
      </c>
      <c r="F2101" s="5" t="s">
        <v>65</v>
      </c>
      <c r="G2101" s="5" t="s">
        <v>32</v>
      </c>
      <c r="H2101" s="5" t="s">
        <v>24</v>
      </c>
      <c r="I2101" s="6" t="s">
        <v>17</v>
      </c>
      <c r="J2101" s="7" t="s">
        <v>18</v>
      </c>
      <c r="K2101" s="7" t="s">
        <v>19</v>
      </c>
      <c r="L2101" s="8">
        <v>1.771830193246E12</v>
      </c>
      <c r="M2101" s="9"/>
      <c r="N2101" s="10"/>
      <c r="O2101" s="10"/>
      <c r="P2101" s="10"/>
      <c r="Q2101" s="10"/>
      <c r="R2101" s="10"/>
      <c r="S2101" s="10"/>
      <c r="T2101" s="10"/>
      <c r="U2101" s="10"/>
      <c r="V2101" s="10"/>
    </row>
    <row r="2102" ht="22.5" customHeight="1">
      <c r="A2102" s="5">
        <v>2.04656744339E11</v>
      </c>
      <c r="B2102" s="5" t="s">
        <v>1940</v>
      </c>
      <c r="C2102" s="5">
        <v>51925296887</v>
      </c>
      <c r="D2102" s="5" t="s">
        <v>13</v>
      </c>
      <c r="E2102" s="5">
        <v>8.0566583E7</v>
      </c>
      <c r="F2102" s="5"/>
      <c r="G2102" s="5" t="s">
        <v>15</v>
      </c>
      <c r="H2102" s="5" t="s">
        <v>66</v>
      </c>
      <c r="I2102" s="6" t="s">
        <v>63</v>
      </c>
      <c r="J2102" s="7" t="s">
        <v>18</v>
      </c>
      <c r="K2102" s="7" t="s">
        <v>19</v>
      </c>
      <c r="L2102" s="8">
        <v>1.771830301348E12</v>
      </c>
      <c r="M2102" s="9"/>
      <c r="N2102" s="10"/>
      <c r="O2102" s="10"/>
      <c r="P2102" s="10"/>
      <c r="Q2102" s="10"/>
      <c r="R2102" s="10"/>
      <c r="S2102" s="10"/>
      <c r="T2102" s="10"/>
      <c r="U2102" s="10"/>
      <c r="V2102" s="10"/>
    </row>
    <row r="2103" ht="22.5" customHeight="1">
      <c r="A2103" s="5">
        <v>2.04671008555E11</v>
      </c>
      <c r="B2103" s="5" t="s">
        <v>1941</v>
      </c>
      <c r="C2103" s="5">
        <v>522722339074</v>
      </c>
      <c r="D2103" s="5" t="s">
        <v>38</v>
      </c>
      <c r="E2103" s="5">
        <v>8.7547393E7</v>
      </c>
      <c r="F2103" s="5"/>
      <c r="G2103" s="5"/>
      <c r="H2103" s="5"/>
      <c r="I2103" s="6"/>
      <c r="J2103" s="7" t="s">
        <v>18</v>
      </c>
      <c r="K2103" s="7" t="s">
        <v>61</v>
      </c>
      <c r="L2103" s="8">
        <v>1.77183503858E12</v>
      </c>
      <c r="M2103" s="9"/>
      <c r="N2103" s="10"/>
      <c r="O2103" s="10"/>
      <c r="P2103" s="10"/>
      <c r="Q2103" s="10"/>
      <c r="R2103" s="10"/>
      <c r="S2103" s="10"/>
      <c r="T2103" s="10"/>
      <c r="U2103" s="10"/>
      <c r="V2103" s="10"/>
    </row>
    <row r="2104" ht="22.5" customHeight="1">
      <c r="A2104" s="5">
        <v>2.04666989143E11</v>
      </c>
      <c r="B2104" s="5" t="s">
        <v>1942</v>
      </c>
      <c r="C2104" s="5">
        <v>51923096502</v>
      </c>
      <c r="D2104" s="5" t="s">
        <v>38</v>
      </c>
      <c r="E2104" s="5">
        <v>8.7547393E7</v>
      </c>
      <c r="F2104" s="5" t="s">
        <v>65</v>
      </c>
      <c r="G2104" s="5" t="s">
        <v>15</v>
      </c>
      <c r="H2104" s="5" t="s">
        <v>51</v>
      </c>
      <c r="I2104" s="6" t="s">
        <v>17</v>
      </c>
      <c r="J2104" s="7" t="s">
        <v>18</v>
      </c>
      <c r="K2104" s="7" t="s">
        <v>19</v>
      </c>
      <c r="L2104" s="8">
        <v>1.771836105073E12</v>
      </c>
      <c r="M2104" s="9"/>
      <c r="N2104" s="10"/>
      <c r="O2104" s="10"/>
      <c r="P2104" s="10"/>
      <c r="Q2104" s="10"/>
      <c r="R2104" s="10"/>
      <c r="S2104" s="10"/>
      <c r="T2104" s="10"/>
      <c r="U2104" s="10"/>
      <c r="V2104" s="10"/>
    </row>
    <row r="2105" ht="22.5" customHeight="1">
      <c r="A2105" s="5">
        <v>2.04683665823E11</v>
      </c>
      <c r="B2105" s="5" t="s">
        <v>1943</v>
      </c>
      <c r="C2105" s="5">
        <v>51932544435</v>
      </c>
      <c r="D2105" s="5" t="s">
        <v>13</v>
      </c>
      <c r="E2105" s="5">
        <v>8.0566583E7</v>
      </c>
      <c r="F2105" s="5" t="s">
        <v>259</v>
      </c>
      <c r="G2105" s="5" t="s">
        <v>15</v>
      </c>
      <c r="H2105" s="5" t="s">
        <v>69</v>
      </c>
      <c r="I2105" s="6" t="s">
        <v>63</v>
      </c>
      <c r="J2105" s="7" t="s">
        <v>18</v>
      </c>
      <c r="K2105" s="7" t="s">
        <v>19</v>
      </c>
      <c r="L2105" s="8">
        <v>1.771836572565E12</v>
      </c>
      <c r="M2105" s="9"/>
      <c r="N2105" s="10"/>
      <c r="O2105" s="10"/>
      <c r="P2105" s="10"/>
      <c r="Q2105" s="10"/>
      <c r="R2105" s="10"/>
      <c r="S2105" s="10"/>
      <c r="T2105" s="10"/>
      <c r="U2105" s="10"/>
      <c r="V2105" s="10"/>
    </row>
    <row r="2106" ht="22.5" customHeight="1">
      <c r="A2106" s="5">
        <v>2.04684451434E11</v>
      </c>
      <c r="B2106" s="5" t="s">
        <v>1944</v>
      </c>
      <c r="C2106" s="5">
        <v>526515137285</v>
      </c>
      <c r="D2106" s="5" t="s">
        <v>38</v>
      </c>
      <c r="E2106" s="5">
        <v>8.0566583E7</v>
      </c>
      <c r="F2106" s="5"/>
      <c r="G2106" s="5"/>
      <c r="H2106" s="5"/>
      <c r="I2106" s="6"/>
      <c r="J2106" s="7" t="s">
        <v>18</v>
      </c>
      <c r="K2106" s="7" t="s">
        <v>61</v>
      </c>
      <c r="L2106" s="8">
        <v>1.771836646864E12</v>
      </c>
      <c r="M2106" s="9"/>
      <c r="N2106" s="10"/>
      <c r="O2106" s="10"/>
      <c r="P2106" s="10"/>
      <c r="Q2106" s="10"/>
      <c r="R2106" s="10"/>
      <c r="S2106" s="10"/>
      <c r="T2106" s="10"/>
      <c r="U2106" s="10"/>
      <c r="V2106" s="10"/>
    </row>
    <row r="2107" ht="22.5" customHeight="1">
      <c r="A2107" s="5">
        <v>2.04667667053E11</v>
      </c>
      <c r="B2107" s="5" t="s">
        <v>1945</v>
      </c>
      <c r="C2107" s="5">
        <v>5511992929062</v>
      </c>
      <c r="D2107" s="5" t="s">
        <v>13</v>
      </c>
      <c r="E2107" s="5">
        <v>7.9360573E7</v>
      </c>
      <c r="F2107" s="5" t="s">
        <v>714</v>
      </c>
      <c r="G2107" s="5" t="s">
        <v>15</v>
      </c>
      <c r="H2107" s="5" t="s">
        <v>51</v>
      </c>
      <c r="I2107" s="6" t="s">
        <v>17</v>
      </c>
      <c r="J2107" s="7" t="s">
        <v>34</v>
      </c>
      <c r="K2107" s="7"/>
      <c r="L2107" s="8">
        <v>1.771837395126E12</v>
      </c>
      <c r="M2107" s="9"/>
      <c r="N2107" s="10"/>
      <c r="O2107" s="10"/>
      <c r="P2107" s="10"/>
      <c r="Q2107" s="10"/>
      <c r="R2107" s="10"/>
      <c r="S2107" s="10"/>
      <c r="T2107" s="10"/>
      <c r="U2107" s="10"/>
      <c r="V2107" s="10"/>
    </row>
    <row r="2108" ht="22.5" customHeight="1">
      <c r="A2108" s="5">
        <v>2.04721606422E11</v>
      </c>
      <c r="B2108" s="5" t="s">
        <v>1946</v>
      </c>
      <c r="C2108" s="5">
        <v>524454624317</v>
      </c>
      <c r="D2108" s="5" t="s">
        <v>38</v>
      </c>
      <c r="E2108" s="5">
        <v>8.0566583E7</v>
      </c>
      <c r="F2108" s="5"/>
      <c r="G2108" s="5"/>
      <c r="H2108" s="5"/>
      <c r="I2108" s="6"/>
      <c r="J2108" s="7" t="s">
        <v>18</v>
      </c>
      <c r="K2108" s="7" t="s">
        <v>61</v>
      </c>
      <c r="L2108" s="8">
        <v>1.771846311231E12</v>
      </c>
      <c r="M2108" s="9"/>
      <c r="N2108" s="10"/>
      <c r="O2108" s="10"/>
      <c r="P2108" s="10"/>
      <c r="Q2108" s="10"/>
      <c r="R2108" s="10"/>
      <c r="S2108" s="10"/>
      <c r="T2108" s="10"/>
      <c r="U2108" s="10"/>
      <c r="V2108" s="10"/>
    </row>
    <row r="2109" ht="22.5" customHeight="1">
      <c r="A2109" s="5">
        <v>1.44622547514E11</v>
      </c>
      <c r="B2109" s="5" t="s">
        <v>1911</v>
      </c>
      <c r="C2109" s="5">
        <v>51997022212</v>
      </c>
      <c r="D2109" s="5" t="s">
        <v>13</v>
      </c>
      <c r="E2109" s="5"/>
      <c r="F2109" s="5" t="s">
        <v>714</v>
      </c>
      <c r="G2109" s="5" t="s">
        <v>15</v>
      </c>
      <c r="H2109" s="5" t="s">
        <v>16</v>
      </c>
      <c r="I2109" s="6" t="s">
        <v>17</v>
      </c>
      <c r="J2109" s="7" t="s">
        <v>34</v>
      </c>
      <c r="K2109" s="7"/>
      <c r="L2109" s="8">
        <v>1.771847748546E12</v>
      </c>
      <c r="M2109" s="9"/>
      <c r="N2109" s="10"/>
      <c r="O2109" s="10"/>
      <c r="P2109" s="10"/>
      <c r="Q2109" s="10"/>
      <c r="R2109" s="10"/>
      <c r="S2109" s="10"/>
      <c r="T2109" s="10"/>
      <c r="U2109" s="10"/>
      <c r="V2109" s="10"/>
    </row>
    <row r="2110" ht="22.5" customHeight="1">
      <c r="A2110" s="5">
        <v>2.04731208002E11</v>
      </c>
      <c r="B2110" s="5" t="s">
        <v>1947</v>
      </c>
      <c r="C2110" s="5">
        <v>51995839862</v>
      </c>
      <c r="D2110" s="5" t="s">
        <v>13</v>
      </c>
      <c r="E2110" s="5">
        <v>8.7547393E7</v>
      </c>
      <c r="F2110" s="5" t="s">
        <v>39</v>
      </c>
      <c r="G2110" s="5" t="s">
        <v>32</v>
      </c>
      <c r="H2110" s="5" t="s">
        <v>66</v>
      </c>
      <c r="I2110" s="6" t="s">
        <v>17</v>
      </c>
      <c r="J2110" s="7" t="s">
        <v>18</v>
      </c>
      <c r="K2110" s="7" t="s">
        <v>19</v>
      </c>
      <c r="L2110" s="8">
        <v>1.771848965664E12</v>
      </c>
      <c r="M2110" s="9"/>
      <c r="N2110" s="10"/>
      <c r="O2110" s="10"/>
      <c r="P2110" s="10"/>
      <c r="Q2110" s="10"/>
      <c r="R2110" s="10"/>
      <c r="S2110" s="10"/>
      <c r="T2110" s="10"/>
      <c r="U2110" s="10"/>
      <c r="V2110" s="10"/>
    </row>
    <row r="2111" ht="22.5" customHeight="1">
      <c r="A2111" s="5">
        <v>2.04729260189E11</v>
      </c>
      <c r="B2111" s="5" t="s">
        <v>1948</v>
      </c>
      <c r="C2111" s="5">
        <v>51986092900</v>
      </c>
      <c r="D2111" s="5" t="s">
        <v>13</v>
      </c>
      <c r="E2111" s="5">
        <v>8.7547393E7</v>
      </c>
      <c r="F2111" s="5" t="s">
        <v>39</v>
      </c>
      <c r="G2111" s="5" t="s">
        <v>15</v>
      </c>
      <c r="H2111" s="5" t="s">
        <v>51</v>
      </c>
      <c r="I2111" s="6" t="s">
        <v>63</v>
      </c>
      <c r="J2111" s="7" t="s">
        <v>18</v>
      </c>
      <c r="K2111" s="7" t="s">
        <v>19</v>
      </c>
      <c r="L2111" s="8">
        <v>1.771849717154E12</v>
      </c>
      <c r="M2111" s="9"/>
      <c r="N2111" s="10"/>
      <c r="O2111" s="10"/>
      <c r="P2111" s="10"/>
      <c r="Q2111" s="10"/>
      <c r="R2111" s="10"/>
      <c r="S2111" s="10"/>
      <c r="T2111" s="10"/>
      <c r="U2111" s="10"/>
      <c r="V2111" s="10"/>
    </row>
    <row r="2112" ht="22.5" customHeight="1">
      <c r="A2112" s="5">
        <v>2.04738227619E11</v>
      </c>
      <c r="B2112" s="5" t="s">
        <v>1949</v>
      </c>
      <c r="C2112" s="5">
        <v>51968476064</v>
      </c>
      <c r="D2112" s="5" t="s">
        <v>38</v>
      </c>
      <c r="E2112" s="5">
        <v>8.7547393E7</v>
      </c>
      <c r="F2112" s="5"/>
      <c r="G2112" s="5"/>
      <c r="H2112" s="5"/>
      <c r="I2112" s="6"/>
      <c r="J2112" s="7" t="s">
        <v>25</v>
      </c>
      <c r="K2112" s="7" t="s">
        <v>501</v>
      </c>
      <c r="L2112" s="8">
        <v>1.771850154322E12</v>
      </c>
      <c r="M2112" s="9"/>
      <c r="N2112" s="10"/>
      <c r="O2112" s="10"/>
      <c r="P2112" s="10"/>
      <c r="Q2112" s="10"/>
      <c r="R2112" s="10"/>
      <c r="S2112" s="10"/>
      <c r="T2112" s="10"/>
      <c r="U2112" s="10"/>
      <c r="V2112" s="10"/>
    </row>
    <row r="2113" ht="22.5" customHeight="1">
      <c r="A2113" s="5">
        <v>2.0473922588E11</v>
      </c>
      <c r="B2113" s="5" t="s">
        <v>1950</v>
      </c>
      <c r="C2113" s="5">
        <v>51970724199</v>
      </c>
      <c r="D2113" s="5" t="s">
        <v>13</v>
      </c>
      <c r="E2113" s="5">
        <v>8.7547393E7</v>
      </c>
      <c r="F2113" s="5" t="s">
        <v>39</v>
      </c>
      <c r="G2113" s="5" t="s">
        <v>15</v>
      </c>
      <c r="H2113" s="5" t="s">
        <v>51</v>
      </c>
      <c r="I2113" s="6" t="s">
        <v>17</v>
      </c>
      <c r="J2113" s="7" t="s">
        <v>18</v>
      </c>
      <c r="K2113" s="7" t="s">
        <v>19</v>
      </c>
      <c r="L2113" s="8">
        <v>1.771851902582E12</v>
      </c>
      <c r="M2113" s="9"/>
      <c r="N2113" s="10"/>
      <c r="O2113" s="10"/>
      <c r="P2113" s="10"/>
      <c r="Q2113" s="10"/>
      <c r="R2113" s="10"/>
      <c r="S2113" s="10"/>
      <c r="T2113" s="10"/>
      <c r="U2113" s="10"/>
      <c r="V2113" s="10"/>
    </row>
    <row r="2114" ht="22.5" customHeight="1">
      <c r="A2114" s="5">
        <v>2.04738943363E11</v>
      </c>
      <c r="B2114" s="5" t="s">
        <v>1951</v>
      </c>
      <c r="C2114" s="5">
        <v>51966323260</v>
      </c>
      <c r="D2114" s="5" t="s">
        <v>13</v>
      </c>
      <c r="E2114" s="5">
        <v>8.7547393E7</v>
      </c>
      <c r="F2114" s="5" t="s">
        <v>42</v>
      </c>
      <c r="G2114" s="5" t="s">
        <v>15</v>
      </c>
      <c r="H2114" s="5" t="s">
        <v>33</v>
      </c>
      <c r="I2114" s="6" t="s">
        <v>63</v>
      </c>
      <c r="J2114" s="7" t="s">
        <v>18</v>
      </c>
      <c r="K2114" s="7" t="s">
        <v>19</v>
      </c>
      <c r="L2114" s="8">
        <v>1.771851958723E12</v>
      </c>
      <c r="M2114" s="9"/>
      <c r="N2114" s="10"/>
      <c r="O2114" s="10"/>
      <c r="P2114" s="10"/>
      <c r="Q2114" s="10"/>
      <c r="R2114" s="10"/>
      <c r="S2114" s="10"/>
      <c r="T2114" s="10"/>
      <c r="U2114" s="10"/>
      <c r="V2114" s="10"/>
    </row>
    <row r="2115" ht="22.5" customHeight="1">
      <c r="A2115" s="5">
        <v>2.04734672731E11</v>
      </c>
      <c r="B2115" s="5" t="s">
        <v>1952</v>
      </c>
      <c r="C2115" s="5">
        <v>51949821797</v>
      </c>
      <c r="D2115" s="5" t="s">
        <v>22</v>
      </c>
      <c r="E2115" s="5">
        <v>8.0566583E7</v>
      </c>
      <c r="F2115" s="5" t="s">
        <v>259</v>
      </c>
      <c r="G2115" s="5">
        <v>50</v>
      </c>
      <c r="H2115" s="5" t="s">
        <v>69</v>
      </c>
      <c r="I2115" s="6" t="s">
        <v>17</v>
      </c>
      <c r="J2115" s="7" t="s">
        <v>34</v>
      </c>
      <c r="K2115" s="7"/>
      <c r="L2115" s="8">
        <v>1.771852099798E12</v>
      </c>
      <c r="M2115" s="9"/>
      <c r="N2115" s="10"/>
      <c r="O2115" s="10"/>
      <c r="P2115" s="10"/>
      <c r="Q2115" s="10"/>
      <c r="R2115" s="10"/>
      <c r="S2115" s="10"/>
      <c r="T2115" s="10"/>
      <c r="U2115" s="10"/>
      <c r="V2115" s="10"/>
    </row>
    <row r="2116" ht="22.5" customHeight="1">
      <c r="A2116" s="5">
        <v>2.04741464976E11</v>
      </c>
      <c r="B2116" s="5" t="s">
        <v>1953</v>
      </c>
      <c r="C2116" s="5">
        <v>51932093298</v>
      </c>
      <c r="D2116" s="5" t="s">
        <v>13</v>
      </c>
      <c r="E2116" s="5">
        <v>8.7547393E7</v>
      </c>
      <c r="F2116" s="5" t="s">
        <v>42</v>
      </c>
      <c r="G2116" s="5" t="s">
        <v>15</v>
      </c>
      <c r="H2116" s="5" t="s">
        <v>51</v>
      </c>
      <c r="I2116" s="6" t="s">
        <v>36</v>
      </c>
      <c r="J2116" s="7" t="s">
        <v>34</v>
      </c>
      <c r="K2116" s="7"/>
      <c r="L2116" s="8">
        <v>1.771853441782E12</v>
      </c>
      <c r="M2116" s="9"/>
      <c r="N2116" s="10"/>
      <c r="O2116" s="10"/>
      <c r="P2116" s="10"/>
      <c r="Q2116" s="10"/>
      <c r="R2116" s="10"/>
      <c r="S2116" s="10"/>
      <c r="T2116" s="10"/>
      <c r="U2116" s="10"/>
      <c r="V2116" s="10"/>
    </row>
    <row r="2117" ht="22.5" customHeight="1">
      <c r="A2117" s="5">
        <v>2.04742349907E11</v>
      </c>
      <c r="B2117" s="5" t="s">
        <v>1954</v>
      </c>
      <c r="C2117" s="5">
        <v>51992880873</v>
      </c>
      <c r="D2117" s="5" t="s">
        <v>22</v>
      </c>
      <c r="E2117" s="5">
        <v>8.0566583E7</v>
      </c>
      <c r="F2117" s="5" t="s">
        <v>42</v>
      </c>
      <c r="G2117" s="5" t="s">
        <v>44</v>
      </c>
      <c r="H2117" s="5" t="s">
        <v>24</v>
      </c>
      <c r="I2117" s="6" t="s">
        <v>17</v>
      </c>
      <c r="J2117" s="7" t="s">
        <v>18</v>
      </c>
      <c r="K2117" s="7" t="s">
        <v>19</v>
      </c>
      <c r="L2117" s="8">
        <v>1.771854995899E12</v>
      </c>
      <c r="M2117" s="9"/>
      <c r="N2117" s="10"/>
      <c r="O2117" s="10"/>
      <c r="P2117" s="10"/>
      <c r="Q2117" s="10"/>
      <c r="R2117" s="10"/>
      <c r="S2117" s="10"/>
      <c r="T2117" s="10"/>
      <c r="U2117" s="10"/>
      <c r="V2117" s="10"/>
    </row>
    <row r="2118" ht="22.5" customHeight="1">
      <c r="A2118" s="5">
        <v>2.04744102264E11</v>
      </c>
      <c r="B2118" s="5" t="s">
        <v>1955</v>
      </c>
      <c r="C2118" s="5">
        <v>51918168461</v>
      </c>
      <c r="D2118" s="5" t="s">
        <v>13</v>
      </c>
      <c r="E2118" s="5">
        <v>8.0566583E7</v>
      </c>
      <c r="F2118" s="5" t="s">
        <v>14</v>
      </c>
      <c r="G2118" s="5" t="s">
        <v>44</v>
      </c>
      <c r="H2118" s="5" t="s">
        <v>24</v>
      </c>
      <c r="I2118" s="6" t="s">
        <v>36</v>
      </c>
      <c r="J2118" s="7" t="s">
        <v>18</v>
      </c>
      <c r="K2118" s="7" t="s">
        <v>19</v>
      </c>
      <c r="L2118" s="8">
        <v>1.77185625053E12</v>
      </c>
      <c r="M2118" s="9"/>
      <c r="N2118" s="10"/>
      <c r="O2118" s="10"/>
      <c r="P2118" s="10"/>
      <c r="Q2118" s="10"/>
      <c r="R2118" s="10"/>
      <c r="S2118" s="10"/>
      <c r="T2118" s="10"/>
      <c r="U2118" s="10"/>
      <c r="V2118" s="10"/>
    </row>
    <row r="2119" ht="22.5" customHeight="1">
      <c r="A2119" s="5">
        <v>2.04753791659E11</v>
      </c>
      <c r="B2119" s="5" t="s">
        <v>1956</v>
      </c>
      <c r="C2119" s="5">
        <v>51986068026</v>
      </c>
      <c r="D2119" s="5" t="s">
        <v>13</v>
      </c>
      <c r="E2119" s="5">
        <v>8.7547393E7</v>
      </c>
      <c r="F2119" s="5" t="s">
        <v>39</v>
      </c>
      <c r="G2119" s="5" t="s">
        <v>15</v>
      </c>
      <c r="H2119" s="5" t="s">
        <v>66</v>
      </c>
      <c r="I2119" s="6" t="s">
        <v>63</v>
      </c>
      <c r="J2119" s="7" t="s">
        <v>18</v>
      </c>
      <c r="K2119" s="7" t="s">
        <v>19</v>
      </c>
      <c r="L2119" s="8">
        <v>1.771857688366E12</v>
      </c>
      <c r="M2119" s="9"/>
      <c r="N2119" s="10"/>
      <c r="O2119" s="10"/>
      <c r="P2119" s="10"/>
      <c r="Q2119" s="10"/>
      <c r="R2119" s="10"/>
      <c r="S2119" s="10"/>
      <c r="T2119" s="10"/>
      <c r="U2119" s="10"/>
      <c r="V2119" s="10"/>
    </row>
    <row r="2120" ht="22.5" customHeight="1">
      <c r="A2120" s="5">
        <v>2.04751157546E11</v>
      </c>
      <c r="B2120" s="5" t="s">
        <v>1957</v>
      </c>
      <c r="C2120" s="5">
        <v>525530299431</v>
      </c>
      <c r="D2120" s="5" t="s">
        <v>13</v>
      </c>
      <c r="E2120" s="5">
        <v>8.0566583E7</v>
      </c>
      <c r="F2120" s="5" t="s">
        <v>28</v>
      </c>
      <c r="G2120" s="5" t="s">
        <v>15</v>
      </c>
      <c r="H2120" s="5" t="s">
        <v>16</v>
      </c>
      <c r="I2120" s="6" t="s">
        <v>17</v>
      </c>
      <c r="J2120" s="7" t="s">
        <v>18</v>
      </c>
      <c r="K2120" s="7" t="s">
        <v>61</v>
      </c>
      <c r="L2120" s="8">
        <v>1.771857996727E12</v>
      </c>
      <c r="M2120" s="9"/>
      <c r="N2120" s="10"/>
      <c r="O2120" s="10"/>
      <c r="P2120" s="10"/>
      <c r="Q2120" s="10"/>
      <c r="R2120" s="10"/>
      <c r="S2120" s="10"/>
      <c r="T2120" s="10"/>
      <c r="U2120" s="10"/>
      <c r="V2120" s="10"/>
    </row>
    <row r="2121" ht="22.5" customHeight="1">
      <c r="A2121" s="5">
        <v>2.0475237363E11</v>
      </c>
      <c r="B2121" s="5" t="s">
        <v>1958</v>
      </c>
      <c r="C2121" s="5">
        <v>5524993342812</v>
      </c>
      <c r="D2121" s="5" t="s">
        <v>22</v>
      </c>
      <c r="E2121" s="5">
        <v>7.9360573E7</v>
      </c>
      <c r="F2121" s="5" t="s">
        <v>259</v>
      </c>
      <c r="G2121" s="5" t="s">
        <v>44</v>
      </c>
      <c r="H2121" s="5" t="s">
        <v>114</v>
      </c>
      <c r="I2121" s="6" t="s">
        <v>17</v>
      </c>
      <c r="J2121" s="7" t="s">
        <v>34</v>
      </c>
      <c r="K2121" s="7"/>
      <c r="L2121" s="8">
        <v>1.771858523575E12</v>
      </c>
      <c r="M2121" s="9"/>
      <c r="N2121" s="10"/>
      <c r="O2121" s="10"/>
      <c r="P2121" s="10"/>
      <c r="Q2121" s="10"/>
      <c r="R2121" s="10"/>
      <c r="S2121" s="10"/>
      <c r="T2121" s="10"/>
      <c r="U2121" s="10"/>
      <c r="V2121" s="10"/>
    </row>
    <row r="2122" ht="22.5" customHeight="1">
      <c r="A2122" s="5">
        <v>2.04761225364E11</v>
      </c>
      <c r="B2122" s="5" t="s">
        <v>1959</v>
      </c>
      <c r="C2122" s="5">
        <v>5511961303808</v>
      </c>
      <c r="D2122" s="5" t="s">
        <v>22</v>
      </c>
      <c r="E2122" s="5">
        <v>7.9360573E7</v>
      </c>
      <c r="F2122" s="5" t="s">
        <v>28</v>
      </c>
      <c r="G2122" s="5" t="s">
        <v>32</v>
      </c>
      <c r="H2122" s="5" t="s">
        <v>188</v>
      </c>
      <c r="I2122" s="6" t="s">
        <v>17</v>
      </c>
      <c r="J2122" s="7" t="s">
        <v>34</v>
      </c>
      <c r="K2122" s="7"/>
      <c r="L2122" s="8">
        <v>1.771858916892E12</v>
      </c>
      <c r="M2122" s="9"/>
      <c r="N2122" s="10"/>
      <c r="O2122" s="10"/>
      <c r="P2122" s="10"/>
      <c r="Q2122" s="10"/>
      <c r="R2122" s="10"/>
      <c r="S2122" s="10"/>
      <c r="T2122" s="10"/>
      <c r="U2122" s="10"/>
      <c r="V2122" s="10"/>
    </row>
    <row r="2123" ht="22.5" customHeight="1">
      <c r="A2123" s="5">
        <v>2.04754524073E11</v>
      </c>
      <c r="B2123" s="5" t="s">
        <v>1960</v>
      </c>
      <c r="C2123" s="5">
        <v>51975112401</v>
      </c>
      <c r="D2123" s="5" t="s">
        <v>13</v>
      </c>
      <c r="E2123" s="5">
        <v>8.7547393E7</v>
      </c>
      <c r="F2123" s="5" t="s">
        <v>28</v>
      </c>
      <c r="G2123" s="5" t="s">
        <v>15</v>
      </c>
      <c r="H2123" s="5" t="s">
        <v>51</v>
      </c>
      <c r="I2123" s="6"/>
      <c r="J2123" s="7" t="s">
        <v>18</v>
      </c>
      <c r="K2123" s="7" t="s">
        <v>19</v>
      </c>
      <c r="L2123" s="8">
        <v>1.77185928591E12</v>
      </c>
      <c r="M2123" s="9"/>
      <c r="N2123" s="10"/>
      <c r="O2123" s="10"/>
      <c r="P2123" s="10"/>
      <c r="Q2123" s="10"/>
      <c r="R2123" s="10"/>
      <c r="S2123" s="10"/>
      <c r="T2123" s="10"/>
      <c r="U2123" s="10"/>
      <c r="V2123" s="10"/>
    </row>
    <row r="2124" ht="22.5" customHeight="1">
      <c r="A2124" s="5">
        <v>1.87467257205E11</v>
      </c>
      <c r="B2124" s="5" t="s">
        <v>1961</v>
      </c>
      <c r="C2124" s="5">
        <v>51976525333</v>
      </c>
      <c r="D2124" s="5" t="s">
        <v>22</v>
      </c>
      <c r="E2124" s="5">
        <v>8.0566583E7</v>
      </c>
      <c r="F2124" s="5" t="s">
        <v>28</v>
      </c>
      <c r="G2124" s="5" t="s">
        <v>104</v>
      </c>
      <c r="H2124" s="5"/>
      <c r="I2124" s="6"/>
      <c r="J2124" s="7" t="s">
        <v>34</v>
      </c>
      <c r="K2124" s="7"/>
      <c r="L2124" s="8">
        <v>1.771859320429E12</v>
      </c>
      <c r="M2124" s="9"/>
      <c r="N2124" s="10"/>
      <c r="O2124" s="10"/>
      <c r="P2124" s="10"/>
      <c r="Q2124" s="10"/>
      <c r="R2124" s="10"/>
      <c r="S2124" s="10"/>
      <c r="T2124" s="10"/>
      <c r="U2124" s="10"/>
      <c r="V2124" s="10"/>
    </row>
    <row r="2125" ht="22.5" customHeight="1">
      <c r="A2125" s="5">
        <v>2.04773333011E11</v>
      </c>
      <c r="B2125" s="5" t="s">
        <v>1962</v>
      </c>
      <c r="C2125" s="5">
        <v>524427485831</v>
      </c>
      <c r="D2125" s="5" t="s">
        <v>13</v>
      </c>
      <c r="E2125" s="5">
        <v>8.7547393E7</v>
      </c>
      <c r="F2125" s="5" t="s">
        <v>259</v>
      </c>
      <c r="G2125" s="5" t="s">
        <v>15</v>
      </c>
      <c r="H2125" s="5" t="s">
        <v>51</v>
      </c>
      <c r="I2125" s="6" t="s">
        <v>17</v>
      </c>
      <c r="J2125" s="7" t="s">
        <v>18</v>
      </c>
      <c r="K2125" s="7" t="s">
        <v>61</v>
      </c>
      <c r="L2125" s="8">
        <v>1.771860259387E12</v>
      </c>
      <c r="M2125" s="9"/>
      <c r="N2125" s="10"/>
      <c r="O2125" s="10"/>
      <c r="P2125" s="10"/>
      <c r="Q2125" s="10"/>
      <c r="R2125" s="10"/>
      <c r="S2125" s="10"/>
      <c r="T2125" s="10"/>
      <c r="U2125" s="10"/>
      <c r="V2125" s="10"/>
    </row>
    <row r="2126" ht="22.5" customHeight="1">
      <c r="A2126" s="5">
        <v>2.04761472549E11</v>
      </c>
      <c r="B2126" s="5" t="s">
        <v>1963</v>
      </c>
      <c r="C2126" s="5">
        <v>51945458967</v>
      </c>
      <c r="D2126" s="5" t="s">
        <v>38</v>
      </c>
      <c r="E2126" s="5">
        <v>8.7547393E7</v>
      </c>
      <c r="F2126" s="5"/>
      <c r="G2126" s="5"/>
      <c r="H2126" s="5"/>
      <c r="I2126" s="6" t="s">
        <v>36</v>
      </c>
      <c r="J2126" s="7" t="s">
        <v>18</v>
      </c>
      <c r="K2126" s="7" t="s">
        <v>19</v>
      </c>
      <c r="L2126" s="8">
        <v>1.77186028692E12</v>
      </c>
      <c r="M2126" s="9"/>
      <c r="N2126" s="10"/>
      <c r="O2126" s="10"/>
      <c r="P2126" s="10"/>
      <c r="Q2126" s="10"/>
      <c r="R2126" s="10"/>
      <c r="S2126" s="10"/>
      <c r="T2126" s="10"/>
      <c r="U2126" s="10"/>
      <c r="V2126" s="10"/>
    </row>
    <row r="2127" ht="22.5" customHeight="1">
      <c r="A2127" s="5">
        <v>1.43600771642E11</v>
      </c>
      <c r="B2127" s="5" t="s">
        <v>1964</v>
      </c>
      <c r="C2127" s="5">
        <v>51972973010</v>
      </c>
      <c r="D2127" s="5" t="s">
        <v>13</v>
      </c>
      <c r="E2127" s="5">
        <v>8.0566583E7</v>
      </c>
      <c r="F2127" s="5" t="s">
        <v>259</v>
      </c>
      <c r="G2127" s="5" t="s">
        <v>15</v>
      </c>
      <c r="H2127" s="5" t="s">
        <v>80</v>
      </c>
      <c r="I2127" s="6" t="s">
        <v>17</v>
      </c>
      <c r="J2127" s="7" t="s">
        <v>18</v>
      </c>
      <c r="K2127" s="7" t="s">
        <v>116</v>
      </c>
      <c r="L2127" s="8">
        <v>1.771861078204E12</v>
      </c>
      <c r="M2127" s="9"/>
      <c r="N2127" s="10"/>
      <c r="O2127" s="10"/>
      <c r="P2127" s="10"/>
      <c r="Q2127" s="10"/>
      <c r="R2127" s="10"/>
      <c r="S2127" s="10"/>
      <c r="T2127" s="10"/>
      <c r="U2127" s="10"/>
      <c r="V2127" s="10"/>
    </row>
    <row r="2128" ht="22.5" customHeight="1">
      <c r="A2128" s="5">
        <v>2.0477351563E11</v>
      </c>
      <c r="B2128" s="5" t="s">
        <v>1965</v>
      </c>
      <c r="C2128" s="5">
        <v>528444556011</v>
      </c>
      <c r="D2128" s="5" t="s">
        <v>13</v>
      </c>
      <c r="E2128" s="5">
        <v>8.7547393E7</v>
      </c>
      <c r="F2128" s="5" t="s">
        <v>42</v>
      </c>
      <c r="G2128" s="5" t="s">
        <v>15</v>
      </c>
      <c r="H2128" s="5" t="s">
        <v>66</v>
      </c>
      <c r="I2128" s="6" t="s">
        <v>17</v>
      </c>
      <c r="J2128" s="7" t="s">
        <v>34</v>
      </c>
      <c r="K2128" s="7"/>
      <c r="L2128" s="8">
        <v>1.771862481766E12</v>
      </c>
      <c r="M2128" s="9"/>
      <c r="N2128" s="10"/>
      <c r="O2128" s="10"/>
      <c r="P2128" s="10"/>
      <c r="Q2128" s="10"/>
      <c r="R2128" s="10"/>
      <c r="S2128" s="10"/>
      <c r="T2128" s="10"/>
      <c r="U2128" s="10"/>
      <c r="V2128" s="10"/>
    </row>
    <row r="2129" ht="22.5" customHeight="1">
      <c r="A2129" s="5">
        <v>2.04773636371E11</v>
      </c>
      <c r="B2129" s="5" t="s">
        <v>1966</v>
      </c>
      <c r="C2129" s="5">
        <v>5582996460915</v>
      </c>
      <c r="D2129" s="5" t="s">
        <v>38</v>
      </c>
      <c r="E2129" s="5">
        <v>7.9360573E7</v>
      </c>
      <c r="F2129" s="5" t="s">
        <v>93</v>
      </c>
      <c r="G2129" s="5" t="s">
        <v>15</v>
      </c>
      <c r="H2129" s="5" t="s">
        <v>51</v>
      </c>
      <c r="I2129" s="6" t="s">
        <v>17</v>
      </c>
      <c r="J2129" s="7" t="s">
        <v>124</v>
      </c>
      <c r="K2129" s="7" t="s">
        <v>1256</v>
      </c>
      <c r="L2129" s="8">
        <v>1.771862869605E12</v>
      </c>
      <c r="M2129" s="9"/>
      <c r="N2129" s="10"/>
      <c r="O2129" s="10"/>
      <c r="P2129" s="10"/>
      <c r="Q2129" s="10"/>
      <c r="R2129" s="10"/>
      <c r="S2129" s="10"/>
      <c r="T2129" s="10"/>
      <c r="U2129" s="10"/>
      <c r="V2129" s="10"/>
    </row>
    <row r="2130" ht="22.5" customHeight="1">
      <c r="A2130" s="5">
        <v>2.04770396294E11</v>
      </c>
      <c r="B2130" s="5" t="s">
        <v>1967</v>
      </c>
      <c r="C2130" s="5">
        <v>51977316051</v>
      </c>
      <c r="D2130" s="5" t="s">
        <v>13</v>
      </c>
      <c r="E2130" s="5">
        <v>8.0566583E7</v>
      </c>
      <c r="F2130" s="5" t="s">
        <v>714</v>
      </c>
      <c r="G2130" s="5" t="s">
        <v>44</v>
      </c>
      <c r="H2130" s="5" t="s">
        <v>100</v>
      </c>
      <c r="I2130" s="6" t="s">
        <v>17</v>
      </c>
      <c r="J2130" s="7" t="s">
        <v>34</v>
      </c>
      <c r="K2130" s="7"/>
      <c r="L2130" s="8">
        <v>1.771864186343E12</v>
      </c>
      <c r="M2130" s="9"/>
      <c r="N2130" s="10"/>
      <c r="O2130" s="10"/>
      <c r="P2130" s="10"/>
      <c r="Q2130" s="10"/>
      <c r="R2130" s="10"/>
      <c r="S2130" s="10"/>
      <c r="T2130" s="10"/>
      <c r="U2130" s="10"/>
      <c r="V2130" s="10"/>
    </row>
    <row r="2131" ht="22.5" customHeight="1">
      <c r="A2131" s="5">
        <v>2.04628783233E11</v>
      </c>
      <c r="B2131" s="5" t="s">
        <v>1922</v>
      </c>
      <c r="C2131" s="5">
        <v>51904315830</v>
      </c>
      <c r="D2131" s="5" t="s">
        <v>13</v>
      </c>
      <c r="E2131" s="5">
        <v>8.7547393E7</v>
      </c>
      <c r="F2131" s="5" t="s">
        <v>14</v>
      </c>
      <c r="G2131" s="5" t="s">
        <v>32</v>
      </c>
      <c r="H2131" s="5" t="s">
        <v>66</v>
      </c>
      <c r="I2131" s="6" t="s">
        <v>17</v>
      </c>
      <c r="J2131" s="7" t="s">
        <v>34</v>
      </c>
      <c r="K2131" s="7"/>
      <c r="L2131" s="8">
        <v>1.771864855161E12</v>
      </c>
      <c r="M2131" s="9"/>
      <c r="N2131" s="10"/>
      <c r="O2131" s="10"/>
      <c r="P2131" s="10"/>
      <c r="Q2131" s="10"/>
      <c r="R2131" s="10"/>
      <c r="S2131" s="10"/>
      <c r="T2131" s="10"/>
      <c r="U2131" s="10"/>
      <c r="V2131" s="10"/>
    </row>
    <row r="2132" ht="22.5" customHeight="1">
      <c r="A2132" s="5">
        <v>2.04778416043E11</v>
      </c>
      <c r="B2132" s="5" t="s">
        <v>1968</v>
      </c>
      <c r="C2132" s="5">
        <v>5515997519279</v>
      </c>
      <c r="D2132" s="5" t="s">
        <v>38</v>
      </c>
      <c r="E2132" s="5">
        <v>7.9360573E7</v>
      </c>
      <c r="F2132" s="5" t="s">
        <v>259</v>
      </c>
      <c r="G2132" s="5" t="s">
        <v>15</v>
      </c>
      <c r="H2132" s="5" t="s">
        <v>51</v>
      </c>
      <c r="I2132" s="6" t="s">
        <v>17</v>
      </c>
      <c r="J2132" s="7" t="s">
        <v>34</v>
      </c>
      <c r="K2132" s="7"/>
      <c r="L2132" s="8">
        <v>1.771865457542E12</v>
      </c>
      <c r="M2132" s="9"/>
      <c r="N2132" s="10"/>
      <c r="O2132" s="10"/>
      <c r="P2132" s="10"/>
      <c r="Q2132" s="10"/>
      <c r="R2132" s="10"/>
      <c r="S2132" s="10"/>
      <c r="T2132" s="10"/>
      <c r="U2132" s="10"/>
      <c r="V2132" s="10"/>
    </row>
    <row r="2133" ht="22.5" customHeight="1">
      <c r="A2133" s="5">
        <v>1.43886405424E11</v>
      </c>
      <c r="B2133" s="5" t="s">
        <v>1969</v>
      </c>
      <c r="C2133" s="5">
        <v>51931545923</v>
      </c>
      <c r="D2133" s="5" t="s">
        <v>38</v>
      </c>
      <c r="E2133" s="5"/>
      <c r="F2133" s="5"/>
      <c r="G2133" s="5"/>
      <c r="H2133" s="5"/>
      <c r="I2133" s="6"/>
      <c r="J2133" s="7" t="s">
        <v>18</v>
      </c>
      <c r="K2133" s="7" t="s">
        <v>116</v>
      </c>
      <c r="L2133" s="8">
        <v>1.771865745536E12</v>
      </c>
      <c r="M2133" s="9"/>
      <c r="N2133" s="10"/>
      <c r="O2133" s="10"/>
      <c r="P2133" s="10"/>
      <c r="Q2133" s="10"/>
      <c r="R2133" s="10"/>
      <c r="S2133" s="10"/>
      <c r="T2133" s="10"/>
      <c r="U2133" s="10"/>
      <c r="V2133" s="10"/>
    </row>
    <row r="2134" ht="22.5" customHeight="1">
      <c r="A2134" s="5">
        <v>1.43886405424E11</v>
      </c>
      <c r="B2134" s="5" t="s">
        <v>1969</v>
      </c>
      <c r="C2134" s="5">
        <v>51931545923</v>
      </c>
      <c r="D2134" s="5" t="s">
        <v>38</v>
      </c>
      <c r="E2134" s="5"/>
      <c r="F2134" s="5"/>
      <c r="G2134" s="5"/>
      <c r="H2134" s="5"/>
      <c r="I2134" s="6"/>
      <c r="J2134" s="7" t="s">
        <v>18</v>
      </c>
      <c r="K2134" s="7" t="s">
        <v>116</v>
      </c>
      <c r="L2134" s="8">
        <v>1.771865834325E12</v>
      </c>
      <c r="M2134" s="9"/>
      <c r="N2134" s="10"/>
      <c r="O2134" s="10"/>
      <c r="P2134" s="10"/>
      <c r="Q2134" s="10"/>
      <c r="R2134" s="10"/>
      <c r="S2134" s="10"/>
      <c r="T2134" s="10"/>
      <c r="U2134" s="10"/>
      <c r="V2134" s="10"/>
    </row>
    <row r="2135" ht="22.5" customHeight="1">
      <c r="A2135" s="5">
        <v>1.41990863197E11</v>
      </c>
      <c r="B2135" s="5" t="s">
        <v>1970</v>
      </c>
      <c r="C2135" s="5">
        <v>51920466936</v>
      </c>
      <c r="D2135" s="5" t="s">
        <v>38</v>
      </c>
      <c r="E2135" s="5"/>
      <c r="F2135" s="5"/>
      <c r="G2135" s="5"/>
      <c r="H2135" s="5"/>
      <c r="I2135" s="6"/>
      <c r="J2135" s="7" t="s">
        <v>18</v>
      </c>
      <c r="K2135" s="7" t="s">
        <v>116</v>
      </c>
      <c r="L2135" s="8">
        <v>1.771866495015E12</v>
      </c>
      <c r="M2135" s="9"/>
      <c r="N2135" s="10"/>
      <c r="O2135" s="10"/>
      <c r="P2135" s="10"/>
      <c r="Q2135" s="10"/>
      <c r="R2135" s="10"/>
      <c r="S2135" s="10"/>
      <c r="T2135" s="10"/>
      <c r="U2135" s="10"/>
      <c r="V2135" s="10"/>
    </row>
    <row r="2136" ht="22.5" customHeight="1">
      <c r="A2136" s="5">
        <v>2.04772285834E11</v>
      </c>
      <c r="B2136" s="5" t="s">
        <v>1971</v>
      </c>
      <c r="C2136" s="5">
        <v>51987433861</v>
      </c>
      <c r="D2136" s="5" t="s">
        <v>13</v>
      </c>
      <c r="E2136" s="5">
        <v>8.0566583E7</v>
      </c>
      <c r="F2136" s="5"/>
      <c r="G2136" s="5" t="s">
        <v>15</v>
      </c>
      <c r="H2136" s="5" t="s">
        <v>51</v>
      </c>
      <c r="I2136" s="6" t="s">
        <v>36</v>
      </c>
      <c r="J2136" s="7" t="s">
        <v>18</v>
      </c>
      <c r="K2136" s="7" t="s">
        <v>19</v>
      </c>
      <c r="L2136" s="8">
        <v>1.771866562772E12</v>
      </c>
      <c r="M2136" s="9"/>
      <c r="N2136" s="10"/>
      <c r="O2136" s="10"/>
      <c r="P2136" s="10"/>
      <c r="Q2136" s="10"/>
      <c r="R2136" s="10"/>
      <c r="S2136" s="10"/>
      <c r="T2136" s="10"/>
      <c r="U2136" s="10"/>
      <c r="V2136" s="10"/>
    </row>
    <row r="2137" ht="22.5" customHeight="1">
      <c r="A2137" s="5">
        <v>2.04782021786E11</v>
      </c>
      <c r="B2137" s="5" t="s">
        <v>1972</v>
      </c>
      <c r="C2137" s="5">
        <v>51949011564</v>
      </c>
      <c r="D2137" s="5" t="s">
        <v>13</v>
      </c>
      <c r="E2137" s="5">
        <v>8.0566583E7</v>
      </c>
      <c r="F2137" s="5" t="s">
        <v>28</v>
      </c>
      <c r="G2137" s="5" t="s">
        <v>15</v>
      </c>
      <c r="H2137" s="5" t="s">
        <v>66</v>
      </c>
      <c r="I2137" s="6" t="s">
        <v>17</v>
      </c>
      <c r="J2137" s="7" t="s">
        <v>18</v>
      </c>
      <c r="K2137" s="7" t="s">
        <v>19</v>
      </c>
      <c r="L2137" s="8">
        <v>1.771866656364E12</v>
      </c>
      <c r="M2137" s="9"/>
      <c r="N2137" s="10"/>
      <c r="O2137" s="10"/>
      <c r="P2137" s="10"/>
      <c r="Q2137" s="10"/>
      <c r="R2137" s="10"/>
      <c r="S2137" s="10"/>
      <c r="T2137" s="10"/>
      <c r="U2137" s="10"/>
      <c r="V2137" s="10"/>
    </row>
    <row r="2138" ht="22.5" customHeight="1">
      <c r="A2138" s="5">
        <v>2.04773101345E11</v>
      </c>
      <c r="B2138" s="5" t="s">
        <v>1973</v>
      </c>
      <c r="C2138" s="5">
        <v>51921704977</v>
      </c>
      <c r="D2138" s="5" t="s">
        <v>13</v>
      </c>
      <c r="E2138" s="5">
        <v>8.0566583E7</v>
      </c>
      <c r="F2138" s="5" t="s">
        <v>259</v>
      </c>
      <c r="G2138" s="5" t="s">
        <v>15</v>
      </c>
      <c r="H2138" s="5" t="s">
        <v>53</v>
      </c>
      <c r="I2138" s="6" t="s">
        <v>17</v>
      </c>
      <c r="J2138" s="7" t="s">
        <v>18</v>
      </c>
      <c r="K2138" s="7" t="s">
        <v>19</v>
      </c>
      <c r="L2138" s="8">
        <v>1.771866852782E12</v>
      </c>
      <c r="M2138" s="9"/>
      <c r="N2138" s="10"/>
      <c r="O2138" s="10"/>
      <c r="P2138" s="10"/>
      <c r="Q2138" s="10"/>
      <c r="R2138" s="10"/>
      <c r="S2138" s="10"/>
      <c r="T2138" s="10"/>
      <c r="U2138" s="10"/>
      <c r="V2138" s="10"/>
    </row>
    <row r="2139" ht="22.5" customHeight="1">
      <c r="A2139" s="5">
        <v>7.2912158756E10</v>
      </c>
      <c r="B2139" s="5" t="s">
        <v>1974</v>
      </c>
      <c r="C2139" s="5">
        <v>51987592655</v>
      </c>
      <c r="D2139" s="5" t="s">
        <v>13</v>
      </c>
      <c r="E2139" s="5">
        <v>8.7547393E7</v>
      </c>
      <c r="F2139" s="5" t="s">
        <v>510</v>
      </c>
      <c r="G2139" s="5" t="s">
        <v>79</v>
      </c>
      <c r="H2139" s="5" t="s">
        <v>24</v>
      </c>
      <c r="I2139" s="6" t="s">
        <v>63</v>
      </c>
      <c r="J2139" s="7" t="s">
        <v>34</v>
      </c>
      <c r="K2139" s="7"/>
      <c r="L2139" s="8">
        <v>1.771866882443E12</v>
      </c>
      <c r="M2139" s="9"/>
      <c r="N2139" s="10"/>
      <c r="O2139" s="10"/>
      <c r="P2139" s="10"/>
      <c r="Q2139" s="10"/>
      <c r="R2139" s="10"/>
      <c r="S2139" s="10"/>
      <c r="T2139" s="10"/>
      <c r="U2139" s="10"/>
      <c r="V2139" s="10"/>
    </row>
    <row r="2140" ht="22.5" customHeight="1">
      <c r="A2140" s="5">
        <v>2.0478596747E11</v>
      </c>
      <c r="B2140" s="5" t="s">
        <v>1975</v>
      </c>
      <c r="C2140" s="5">
        <v>527778933042</v>
      </c>
      <c r="D2140" s="5" t="s">
        <v>13</v>
      </c>
      <c r="E2140" s="5">
        <v>8.7547393E7</v>
      </c>
      <c r="F2140" s="5" t="s">
        <v>93</v>
      </c>
      <c r="G2140" s="5" t="s">
        <v>15</v>
      </c>
      <c r="H2140" s="5" t="s">
        <v>66</v>
      </c>
      <c r="I2140" s="6" t="s">
        <v>17</v>
      </c>
      <c r="J2140" s="7" t="s">
        <v>18</v>
      </c>
      <c r="K2140" s="7" t="s">
        <v>61</v>
      </c>
      <c r="L2140" s="8">
        <v>1.771867288162E12</v>
      </c>
      <c r="M2140" s="9"/>
      <c r="N2140" s="10"/>
      <c r="O2140" s="10"/>
      <c r="P2140" s="10"/>
      <c r="Q2140" s="10"/>
      <c r="R2140" s="10"/>
      <c r="S2140" s="10"/>
      <c r="T2140" s="10"/>
      <c r="U2140" s="10"/>
      <c r="V2140" s="10"/>
    </row>
    <row r="2141" ht="22.5" customHeight="1">
      <c r="A2141" s="5">
        <v>2.01914552113E11</v>
      </c>
      <c r="B2141" s="5" t="s">
        <v>920</v>
      </c>
      <c r="C2141" s="5">
        <v>51947243168</v>
      </c>
      <c r="D2141" s="5" t="s">
        <v>13</v>
      </c>
      <c r="E2141" s="5">
        <v>8.7547393E7</v>
      </c>
      <c r="F2141" s="5" t="s">
        <v>510</v>
      </c>
      <c r="G2141" s="5" t="s">
        <v>32</v>
      </c>
      <c r="H2141" s="5" t="s">
        <v>24</v>
      </c>
      <c r="I2141" s="6" t="s">
        <v>49</v>
      </c>
      <c r="J2141" s="7" t="s">
        <v>58</v>
      </c>
      <c r="K2141" s="11" t="s">
        <v>59</v>
      </c>
      <c r="L2141" s="8">
        <v>1.771868006136E12</v>
      </c>
      <c r="M2141" s="9"/>
      <c r="N2141" s="10"/>
      <c r="O2141" s="10"/>
      <c r="P2141" s="10"/>
      <c r="Q2141" s="10"/>
      <c r="R2141" s="10"/>
      <c r="S2141" s="10"/>
      <c r="T2141" s="10"/>
      <c r="U2141" s="10"/>
      <c r="V2141" s="10"/>
    </row>
    <row r="2142" ht="22.5" customHeight="1">
      <c r="A2142" s="5">
        <v>2.04787908878E11</v>
      </c>
      <c r="B2142" s="5" t="s">
        <v>1976</v>
      </c>
      <c r="C2142" s="5">
        <v>529988502484</v>
      </c>
      <c r="D2142" s="5" t="s">
        <v>13</v>
      </c>
      <c r="E2142" s="5">
        <v>8.0566583E7</v>
      </c>
      <c r="F2142" s="5" t="s">
        <v>82</v>
      </c>
      <c r="G2142" s="5" t="s">
        <v>15</v>
      </c>
      <c r="H2142" s="5" t="s">
        <v>55</v>
      </c>
      <c r="I2142" s="6" t="s">
        <v>36</v>
      </c>
      <c r="J2142" s="7" t="s">
        <v>18</v>
      </c>
      <c r="K2142" s="7" t="s">
        <v>61</v>
      </c>
      <c r="L2142" s="8">
        <v>1.771868146281E12</v>
      </c>
      <c r="M2142" s="9"/>
      <c r="N2142" s="10"/>
      <c r="O2142" s="10"/>
      <c r="P2142" s="10"/>
      <c r="Q2142" s="10"/>
      <c r="R2142" s="10"/>
      <c r="S2142" s="10"/>
      <c r="T2142" s="10"/>
      <c r="U2142" s="10"/>
      <c r="V2142" s="10"/>
    </row>
    <row r="2143" ht="22.5" customHeight="1">
      <c r="A2143" s="5">
        <v>2.04734206211E11</v>
      </c>
      <c r="B2143" s="5" t="s">
        <v>1977</v>
      </c>
      <c r="C2143" s="5">
        <v>51994344166</v>
      </c>
      <c r="D2143" s="5" t="s">
        <v>13</v>
      </c>
      <c r="E2143" s="5">
        <v>8.0566583E7</v>
      </c>
      <c r="F2143" s="5" t="s">
        <v>714</v>
      </c>
      <c r="G2143" s="5" t="s">
        <v>15</v>
      </c>
      <c r="H2143" s="5" t="s">
        <v>24</v>
      </c>
      <c r="I2143" s="6" t="s">
        <v>17</v>
      </c>
      <c r="J2143" s="7" t="s">
        <v>18</v>
      </c>
      <c r="K2143" s="7" t="s">
        <v>19</v>
      </c>
      <c r="L2143" s="8">
        <v>1.771868451097E12</v>
      </c>
      <c r="M2143" s="9"/>
      <c r="N2143" s="10"/>
      <c r="O2143" s="10"/>
      <c r="P2143" s="10"/>
      <c r="Q2143" s="10"/>
      <c r="R2143" s="10"/>
      <c r="S2143" s="10"/>
      <c r="T2143" s="10"/>
      <c r="U2143" s="10"/>
      <c r="V2143" s="10"/>
    </row>
    <row r="2144" ht="22.5" customHeight="1">
      <c r="A2144" s="5">
        <v>2.04790674532E11</v>
      </c>
      <c r="B2144" s="5" t="s">
        <v>1978</v>
      </c>
      <c r="C2144" s="5">
        <v>523327156914</v>
      </c>
      <c r="D2144" s="5" t="s">
        <v>13</v>
      </c>
      <c r="E2144" s="5">
        <v>8.7547393E7</v>
      </c>
      <c r="F2144" s="5" t="s">
        <v>28</v>
      </c>
      <c r="G2144" s="5" t="s">
        <v>15</v>
      </c>
      <c r="H2144" s="5" t="s">
        <v>165</v>
      </c>
      <c r="I2144" s="6" t="s">
        <v>17</v>
      </c>
      <c r="J2144" s="7" t="s">
        <v>18</v>
      </c>
      <c r="K2144" s="7" t="s">
        <v>61</v>
      </c>
      <c r="L2144" s="8">
        <v>1.771870305317E12</v>
      </c>
      <c r="M2144" s="9"/>
      <c r="N2144" s="10"/>
      <c r="O2144" s="10"/>
      <c r="P2144" s="10"/>
      <c r="Q2144" s="10"/>
      <c r="R2144" s="10"/>
      <c r="S2144" s="10"/>
      <c r="T2144" s="10"/>
      <c r="U2144" s="10"/>
      <c r="V2144" s="10"/>
    </row>
    <row r="2145" ht="22.5" customHeight="1">
      <c r="A2145" s="5">
        <v>2.04805965627E11</v>
      </c>
      <c r="B2145" s="5" t="s">
        <v>1979</v>
      </c>
      <c r="C2145" s="5">
        <v>51928681102</v>
      </c>
      <c r="D2145" s="5" t="s">
        <v>13</v>
      </c>
      <c r="E2145" s="5">
        <v>8.7547393E7</v>
      </c>
      <c r="F2145" s="5" t="s">
        <v>39</v>
      </c>
      <c r="G2145" s="5" t="s">
        <v>15</v>
      </c>
      <c r="H2145" s="5" t="s">
        <v>51</v>
      </c>
      <c r="I2145" s="6" t="s">
        <v>17</v>
      </c>
      <c r="J2145" s="7" t="s">
        <v>18</v>
      </c>
      <c r="K2145" s="7" t="s">
        <v>19</v>
      </c>
      <c r="L2145" s="8">
        <v>1.771873994602E12</v>
      </c>
      <c r="M2145" s="9"/>
      <c r="N2145" s="10"/>
      <c r="O2145" s="10"/>
      <c r="P2145" s="10"/>
      <c r="Q2145" s="10"/>
      <c r="R2145" s="10"/>
      <c r="S2145" s="10"/>
      <c r="T2145" s="10"/>
      <c r="U2145" s="10"/>
      <c r="V2145" s="10"/>
    </row>
    <row r="2146" ht="22.5" customHeight="1">
      <c r="A2146" s="5">
        <v>2.04839246881E11</v>
      </c>
      <c r="B2146" s="5" t="s">
        <v>1980</v>
      </c>
      <c r="C2146" s="5">
        <v>51979790564</v>
      </c>
      <c r="D2146" s="5" t="s">
        <v>13</v>
      </c>
      <c r="E2146" s="5">
        <v>8.0566583E7</v>
      </c>
      <c r="F2146" s="5" t="s">
        <v>510</v>
      </c>
      <c r="G2146" s="5" t="s">
        <v>15</v>
      </c>
      <c r="H2146" s="5" t="s">
        <v>51</v>
      </c>
      <c r="I2146" s="6" t="s">
        <v>17</v>
      </c>
      <c r="J2146" s="7" t="s">
        <v>18</v>
      </c>
      <c r="K2146" s="7" t="s">
        <v>19</v>
      </c>
      <c r="L2146" s="8">
        <v>1.771875143544E12</v>
      </c>
      <c r="M2146" s="9"/>
      <c r="N2146" s="10"/>
      <c r="O2146" s="10"/>
      <c r="P2146" s="10"/>
      <c r="Q2146" s="10"/>
      <c r="R2146" s="10"/>
      <c r="S2146" s="10"/>
      <c r="T2146" s="10"/>
      <c r="U2146" s="10"/>
      <c r="V2146" s="10"/>
    </row>
    <row r="2147" ht="22.5" customHeight="1">
      <c r="A2147" s="5">
        <v>1.89166484054E11</v>
      </c>
      <c r="B2147" s="5" t="s">
        <v>1981</v>
      </c>
      <c r="C2147" s="5">
        <v>51950161251</v>
      </c>
      <c r="D2147" s="5" t="s">
        <v>13</v>
      </c>
      <c r="E2147" s="5">
        <v>8.0566583E7</v>
      </c>
      <c r="F2147" s="5" t="s">
        <v>39</v>
      </c>
      <c r="G2147" s="5" t="s">
        <v>15</v>
      </c>
      <c r="H2147" s="5" t="s">
        <v>51</v>
      </c>
      <c r="I2147" s="6" t="s">
        <v>17</v>
      </c>
      <c r="J2147" s="7" t="s">
        <v>18</v>
      </c>
      <c r="K2147" s="7" t="s">
        <v>19</v>
      </c>
      <c r="L2147" s="8">
        <v>1.771875444002E12</v>
      </c>
      <c r="M2147" s="9"/>
      <c r="N2147" s="10"/>
      <c r="O2147" s="10"/>
      <c r="P2147" s="10"/>
      <c r="Q2147" s="10"/>
      <c r="R2147" s="10"/>
      <c r="S2147" s="10"/>
      <c r="T2147" s="10"/>
      <c r="U2147" s="10"/>
      <c r="V2147" s="10"/>
    </row>
    <row r="2148" ht="22.5" customHeight="1">
      <c r="A2148" s="5">
        <v>2.04822381912E11</v>
      </c>
      <c r="B2148" s="5" t="s">
        <v>1982</v>
      </c>
      <c r="C2148" s="5">
        <v>51946638174</v>
      </c>
      <c r="D2148" s="5" t="s">
        <v>13</v>
      </c>
      <c r="E2148" s="5">
        <v>8.7547393E7</v>
      </c>
      <c r="F2148" s="5" t="s">
        <v>28</v>
      </c>
      <c r="G2148" s="5" t="s">
        <v>32</v>
      </c>
      <c r="H2148" s="5" t="s">
        <v>165</v>
      </c>
      <c r="I2148" s="6" t="s">
        <v>17</v>
      </c>
      <c r="J2148" s="7" t="s">
        <v>18</v>
      </c>
      <c r="K2148" s="7" t="s">
        <v>19</v>
      </c>
      <c r="L2148" s="8">
        <v>1.771875978904E12</v>
      </c>
      <c r="M2148" s="9"/>
      <c r="N2148" s="10"/>
      <c r="O2148" s="10"/>
      <c r="P2148" s="10"/>
      <c r="Q2148" s="10"/>
      <c r="R2148" s="10"/>
      <c r="S2148" s="10"/>
      <c r="T2148" s="10"/>
      <c r="U2148" s="10"/>
      <c r="V2148" s="10"/>
    </row>
    <row r="2149" ht="22.5" customHeight="1">
      <c r="A2149" s="5">
        <v>2.04822938796E11</v>
      </c>
      <c r="B2149" s="5" t="s">
        <v>1983</v>
      </c>
      <c r="C2149" s="5">
        <v>51926582918</v>
      </c>
      <c r="D2149" s="5" t="s">
        <v>13</v>
      </c>
      <c r="E2149" s="5">
        <v>8.0566583E7</v>
      </c>
      <c r="F2149" s="5" t="s">
        <v>93</v>
      </c>
      <c r="G2149" s="5" t="s">
        <v>15</v>
      </c>
      <c r="H2149" s="5" t="s">
        <v>66</v>
      </c>
      <c r="I2149" s="6" t="s">
        <v>17</v>
      </c>
      <c r="J2149" s="7" t="s">
        <v>18</v>
      </c>
      <c r="K2149" s="7" t="s">
        <v>19</v>
      </c>
      <c r="L2149" s="8">
        <v>1.77187663027E12</v>
      </c>
      <c r="M2149" s="9"/>
      <c r="N2149" s="10"/>
      <c r="O2149" s="10"/>
      <c r="P2149" s="10"/>
      <c r="Q2149" s="10"/>
      <c r="R2149" s="10"/>
      <c r="S2149" s="10"/>
      <c r="T2149" s="10"/>
      <c r="U2149" s="10"/>
      <c r="V2149" s="10"/>
    </row>
    <row r="2150" ht="22.5" customHeight="1">
      <c r="A2150" s="5">
        <v>2.04819362428E11</v>
      </c>
      <c r="B2150" s="5" t="s">
        <v>1984</v>
      </c>
      <c r="C2150" s="5">
        <v>51936607276</v>
      </c>
      <c r="D2150" s="5" t="s">
        <v>22</v>
      </c>
      <c r="E2150" s="5">
        <v>8.7547393E7</v>
      </c>
      <c r="F2150" s="5" t="s">
        <v>39</v>
      </c>
      <c r="G2150" s="5" t="s">
        <v>44</v>
      </c>
      <c r="H2150" s="5" t="s">
        <v>16</v>
      </c>
      <c r="I2150" s="6" t="s">
        <v>17</v>
      </c>
      <c r="J2150" s="7" t="s">
        <v>18</v>
      </c>
      <c r="K2150" s="7" t="s">
        <v>19</v>
      </c>
      <c r="L2150" s="8">
        <v>1.771876832676E12</v>
      </c>
      <c r="M2150" s="9"/>
      <c r="N2150" s="10"/>
      <c r="O2150" s="10"/>
      <c r="P2150" s="10"/>
      <c r="Q2150" s="10"/>
      <c r="R2150" s="10"/>
      <c r="S2150" s="10"/>
      <c r="T2150" s="10"/>
      <c r="U2150" s="10"/>
      <c r="V2150" s="10"/>
    </row>
    <row r="2151" ht="22.5" customHeight="1">
      <c r="A2151" s="5">
        <v>2.04838441393E11</v>
      </c>
      <c r="B2151" s="5" t="s">
        <v>1985</v>
      </c>
      <c r="C2151" s="5">
        <v>525549050810</v>
      </c>
      <c r="D2151" s="5" t="s">
        <v>22</v>
      </c>
      <c r="E2151" s="5">
        <v>8.7547393E7</v>
      </c>
      <c r="F2151" s="5" t="s">
        <v>28</v>
      </c>
      <c r="G2151" s="5" t="s">
        <v>44</v>
      </c>
      <c r="H2151" s="5" t="s">
        <v>16</v>
      </c>
      <c r="I2151" s="6" t="s">
        <v>17</v>
      </c>
      <c r="J2151" s="7" t="s">
        <v>18</v>
      </c>
      <c r="K2151" s="7" t="s">
        <v>61</v>
      </c>
      <c r="L2151" s="8">
        <v>1.771877773549E12</v>
      </c>
      <c r="M2151" s="9"/>
      <c r="N2151" s="10"/>
      <c r="O2151" s="10"/>
      <c r="P2151" s="10"/>
      <c r="Q2151" s="10"/>
      <c r="R2151" s="10"/>
      <c r="S2151" s="10"/>
      <c r="T2151" s="10"/>
      <c r="U2151" s="10"/>
      <c r="V2151" s="10"/>
    </row>
    <row r="2152" ht="22.5" customHeight="1">
      <c r="A2152" s="5">
        <v>2.04837322061E11</v>
      </c>
      <c r="B2152" s="5" t="s">
        <v>1986</v>
      </c>
      <c r="C2152" s="5">
        <v>543755294722</v>
      </c>
      <c r="D2152" s="5" t="s">
        <v>13</v>
      </c>
      <c r="E2152" s="5">
        <v>8.7547393E7</v>
      </c>
      <c r="F2152" s="5" t="s">
        <v>510</v>
      </c>
      <c r="G2152" s="5" t="s">
        <v>15</v>
      </c>
      <c r="H2152" s="5" t="s">
        <v>24</v>
      </c>
      <c r="I2152" s="6" t="s">
        <v>36</v>
      </c>
      <c r="J2152" s="7" t="s">
        <v>177</v>
      </c>
      <c r="K2152" s="7" t="s">
        <v>1987</v>
      </c>
      <c r="L2152" s="8">
        <v>1.771878014628E12</v>
      </c>
      <c r="M2152" s="9"/>
      <c r="N2152" s="10"/>
      <c r="O2152" s="10"/>
      <c r="P2152" s="10"/>
      <c r="Q2152" s="10"/>
      <c r="R2152" s="10"/>
      <c r="S2152" s="10"/>
      <c r="T2152" s="10"/>
      <c r="U2152" s="10"/>
      <c r="V2152" s="10"/>
    </row>
    <row r="2153" ht="22.5" customHeight="1">
      <c r="A2153" s="5">
        <v>2.04826182259E11</v>
      </c>
      <c r="B2153" s="5" t="s">
        <v>1988</v>
      </c>
      <c r="C2153" s="5">
        <v>51960377573</v>
      </c>
      <c r="D2153" s="5" t="s">
        <v>38</v>
      </c>
      <c r="E2153" s="5">
        <v>8.0566583E7</v>
      </c>
      <c r="F2153" s="5"/>
      <c r="G2153" s="5"/>
      <c r="H2153" s="5"/>
      <c r="I2153" s="6"/>
      <c r="J2153" s="7" t="s">
        <v>34</v>
      </c>
      <c r="K2153" s="7"/>
      <c r="L2153" s="8">
        <v>1.77187884858E12</v>
      </c>
      <c r="M2153" s="9"/>
      <c r="N2153" s="10"/>
      <c r="O2153" s="10"/>
      <c r="P2153" s="10"/>
      <c r="Q2153" s="10"/>
      <c r="R2153" s="10"/>
      <c r="S2153" s="10"/>
      <c r="T2153" s="10"/>
      <c r="U2153" s="10"/>
      <c r="V2153" s="10"/>
    </row>
    <row r="2154" ht="22.5" customHeight="1">
      <c r="A2154" s="5">
        <v>2.04843378577E11</v>
      </c>
      <c r="B2154" s="5" t="s">
        <v>1989</v>
      </c>
      <c r="C2154" s="5">
        <v>525568040455</v>
      </c>
      <c r="D2154" s="5" t="s">
        <v>13</v>
      </c>
      <c r="E2154" s="5">
        <v>8.0566583E7</v>
      </c>
      <c r="F2154" s="5" t="s">
        <v>259</v>
      </c>
      <c r="G2154" s="5" t="s">
        <v>15</v>
      </c>
      <c r="H2154" s="5" t="s">
        <v>51</v>
      </c>
      <c r="I2154" s="6" t="s">
        <v>17</v>
      </c>
      <c r="J2154" s="7" t="s">
        <v>18</v>
      </c>
      <c r="K2154" s="7" t="s">
        <v>61</v>
      </c>
      <c r="L2154" s="8">
        <v>1.771879869127E12</v>
      </c>
      <c r="M2154" s="9"/>
      <c r="N2154" s="10"/>
      <c r="O2154" s="10"/>
      <c r="P2154" s="10"/>
      <c r="Q2154" s="10"/>
      <c r="R2154" s="10"/>
      <c r="S2154" s="10"/>
      <c r="T2154" s="10"/>
      <c r="U2154" s="10"/>
      <c r="V2154" s="10"/>
    </row>
    <row r="2155" ht="22.5" customHeight="1">
      <c r="A2155" s="5">
        <v>2.04860806473E11</v>
      </c>
      <c r="B2155" s="5" t="s">
        <v>1990</v>
      </c>
      <c r="C2155" s="5">
        <v>51913509479</v>
      </c>
      <c r="D2155" s="5" t="s">
        <v>13</v>
      </c>
      <c r="E2155" s="5">
        <v>8.0566583E7</v>
      </c>
      <c r="F2155" s="5" t="s">
        <v>714</v>
      </c>
      <c r="G2155" s="5" t="s">
        <v>15</v>
      </c>
      <c r="H2155" s="5" t="s">
        <v>51</v>
      </c>
      <c r="I2155" s="6" t="s">
        <v>17</v>
      </c>
      <c r="J2155" s="7" t="s">
        <v>18</v>
      </c>
      <c r="K2155" s="7" t="s">
        <v>19</v>
      </c>
      <c r="L2155" s="8">
        <v>1.771880796762E12</v>
      </c>
      <c r="M2155" s="9"/>
      <c r="N2155" s="10"/>
      <c r="O2155" s="10"/>
      <c r="P2155" s="10"/>
      <c r="Q2155" s="10"/>
      <c r="R2155" s="10"/>
      <c r="S2155" s="10"/>
      <c r="T2155" s="10"/>
      <c r="U2155" s="10"/>
      <c r="V2155" s="10"/>
    </row>
    <row r="2156" ht="22.5" customHeight="1">
      <c r="A2156" s="5">
        <v>2.04845807788E11</v>
      </c>
      <c r="B2156" s="5" t="s">
        <v>1991</v>
      </c>
      <c r="C2156" s="5">
        <v>525584050437</v>
      </c>
      <c r="D2156" s="5" t="s">
        <v>13</v>
      </c>
      <c r="E2156" s="5">
        <v>8.0566583E7</v>
      </c>
      <c r="F2156" s="5" t="s">
        <v>28</v>
      </c>
      <c r="G2156" s="5" t="s">
        <v>32</v>
      </c>
      <c r="H2156" s="5" t="s">
        <v>16</v>
      </c>
      <c r="I2156" s="6" t="s">
        <v>17</v>
      </c>
      <c r="J2156" s="7" t="s">
        <v>58</v>
      </c>
      <c r="K2156" s="11" t="s">
        <v>59</v>
      </c>
      <c r="L2156" s="8">
        <v>1.771882086944E12</v>
      </c>
      <c r="M2156" s="9"/>
      <c r="N2156" s="10"/>
      <c r="O2156" s="10"/>
      <c r="P2156" s="10"/>
      <c r="Q2156" s="10"/>
      <c r="R2156" s="10"/>
      <c r="S2156" s="10"/>
      <c r="T2156" s="10"/>
      <c r="U2156" s="10"/>
      <c r="V2156" s="10"/>
    </row>
    <row r="2157" ht="22.5" customHeight="1">
      <c r="A2157" s="5">
        <v>2.04873990951E11</v>
      </c>
      <c r="B2157" s="5" t="s">
        <v>1992</v>
      </c>
      <c r="C2157" s="5">
        <v>527291269194</v>
      </c>
      <c r="D2157" s="5" t="s">
        <v>13</v>
      </c>
      <c r="E2157" s="5">
        <v>8.0566583E7</v>
      </c>
      <c r="F2157" s="5" t="s">
        <v>259</v>
      </c>
      <c r="G2157" s="5" t="s">
        <v>15</v>
      </c>
      <c r="H2157" s="5" t="s">
        <v>51</v>
      </c>
      <c r="I2157" s="6" t="s">
        <v>36</v>
      </c>
      <c r="J2157" s="7" t="s">
        <v>34</v>
      </c>
      <c r="K2157" s="7"/>
      <c r="L2157" s="8">
        <v>1.771882081546E12</v>
      </c>
      <c r="M2157" s="9"/>
      <c r="N2157" s="10"/>
      <c r="O2157" s="10"/>
      <c r="P2157" s="10"/>
      <c r="Q2157" s="10"/>
      <c r="R2157" s="10"/>
      <c r="S2157" s="10"/>
      <c r="T2157" s="10"/>
      <c r="U2157" s="10"/>
      <c r="V2157" s="10"/>
    </row>
    <row r="2158" ht="22.5" customHeight="1">
      <c r="A2158" s="5">
        <v>2.04741868135E11</v>
      </c>
      <c r="B2158" s="5" t="s">
        <v>1993</v>
      </c>
      <c r="C2158" s="5">
        <v>5546991047358</v>
      </c>
      <c r="D2158" s="5" t="s">
        <v>13</v>
      </c>
      <c r="E2158" s="5">
        <v>7.9360573E7</v>
      </c>
      <c r="F2158" s="5" t="s">
        <v>39</v>
      </c>
      <c r="G2158" s="5" t="s">
        <v>15</v>
      </c>
      <c r="H2158" s="5" t="s">
        <v>80</v>
      </c>
      <c r="I2158" s="6" t="s">
        <v>17</v>
      </c>
      <c r="J2158" s="7" t="s">
        <v>34</v>
      </c>
      <c r="K2158" s="7"/>
      <c r="L2158" s="8">
        <v>1.771882309338E12</v>
      </c>
      <c r="M2158" s="9"/>
      <c r="N2158" s="10"/>
      <c r="O2158" s="10"/>
      <c r="P2158" s="10"/>
      <c r="Q2158" s="10"/>
      <c r="R2158" s="10"/>
      <c r="S2158" s="10"/>
      <c r="T2158" s="10"/>
      <c r="U2158" s="10"/>
      <c r="V2158" s="10"/>
    </row>
    <row r="2159" ht="22.5" customHeight="1">
      <c r="A2159" s="5">
        <v>2.04879617444E11</v>
      </c>
      <c r="B2159" s="5" t="s">
        <v>1994</v>
      </c>
      <c r="C2159" s="5">
        <v>51983790729</v>
      </c>
      <c r="D2159" s="5" t="s">
        <v>13</v>
      </c>
      <c r="E2159" s="5">
        <v>8.7547393E7</v>
      </c>
      <c r="F2159" s="5"/>
      <c r="G2159" s="5" t="s">
        <v>15</v>
      </c>
      <c r="H2159" s="5" t="s">
        <v>51</v>
      </c>
      <c r="I2159" s="6" t="s">
        <v>17</v>
      </c>
      <c r="J2159" s="7" t="s">
        <v>18</v>
      </c>
      <c r="K2159" s="7" t="s">
        <v>19</v>
      </c>
      <c r="L2159" s="8">
        <v>1.771882396877E12</v>
      </c>
      <c r="M2159" s="9"/>
      <c r="N2159" s="10"/>
      <c r="O2159" s="10"/>
      <c r="P2159" s="10"/>
      <c r="Q2159" s="10"/>
      <c r="R2159" s="10"/>
      <c r="S2159" s="10"/>
      <c r="T2159" s="10"/>
      <c r="U2159" s="10"/>
      <c r="V2159" s="10"/>
    </row>
    <row r="2160" ht="22.5" customHeight="1">
      <c r="A2160" s="5">
        <v>2.04874016065E11</v>
      </c>
      <c r="B2160" s="5" t="s">
        <v>1995</v>
      </c>
      <c r="C2160" s="5">
        <v>529222970191</v>
      </c>
      <c r="D2160" s="5" t="s">
        <v>13</v>
      </c>
      <c r="E2160" s="5">
        <v>8.0566583E7</v>
      </c>
      <c r="F2160" s="5" t="s">
        <v>259</v>
      </c>
      <c r="G2160" s="5" t="s">
        <v>15</v>
      </c>
      <c r="H2160" s="5" t="s">
        <v>16</v>
      </c>
      <c r="I2160" s="6" t="s">
        <v>17</v>
      </c>
      <c r="J2160" s="7" t="s">
        <v>18</v>
      </c>
      <c r="K2160" s="7" t="s">
        <v>61</v>
      </c>
      <c r="L2160" s="8">
        <v>1.771882681326E12</v>
      </c>
      <c r="M2160" s="9"/>
      <c r="N2160" s="10"/>
      <c r="O2160" s="10"/>
      <c r="P2160" s="10"/>
      <c r="Q2160" s="10"/>
      <c r="R2160" s="10"/>
      <c r="S2160" s="10"/>
      <c r="T2160" s="10"/>
      <c r="U2160" s="10"/>
      <c r="V2160" s="10"/>
    </row>
    <row r="2161" ht="22.5" customHeight="1">
      <c r="A2161" s="5">
        <v>2.0488124652E11</v>
      </c>
      <c r="B2161" s="5" t="s">
        <v>1996</v>
      </c>
      <c r="C2161" s="5">
        <v>573216479319</v>
      </c>
      <c r="D2161" s="5" t="s">
        <v>13</v>
      </c>
      <c r="E2161" s="5">
        <v>8.7547393E7</v>
      </c>
      <c r="F2161" s="5" t="s">
        <v>39</v>
      </c>
      <c r="G2161" s="5" t="s">
        <v>32</v>
      </c>
      <c r="H2161" s="5" t="s">
        <v>188</v>
      </c>
      <c r="I2161" s="6" t="s">
        <v>63</v>
      </c>
      <c r="J2161" s="7" t="s">
        <v>34</v>
      </c>
      <c r="K2161" s="7"/>
      <c r="L2161" s="8">
        <v>1.771883989633E12</v>
      </c>
      <c r="M2161" s="9"/>
      <c r="N2161" s="10"/>
      <c r="O2161" s="10"/>
      <c r="P2161" s="10"/>
      <c r="Q2161" s="10"/>
      <c r="R2161" s="10"/>
      <c r="S2161" s="10"/>
      <c r="T2161" s="10"/>
      <c r="U2161" s="10"/>
      <c r="V2161" s="10"/>
    </row>
    <row r="2162" ht="22.5" customHeight="1">
      <c r="A2162" s="5">
        <v>1.97056208303E11</v>
      </c>
      <c r="B2162" s="5" t="s">
        <v>1997</v>
      </c>
      <c r="C2162" s="5">
        <v>50433279228</v>
      </c>
      <c r="D2162" s="5" t="s">
        <v>13</v>
      </c>
      <c r="E2162" s="5">
        <v>8.7547393E7</v>
      </c>
      <c r="F2162" s="5" t="s">
        <v>259</v>
      </c>
      <c r="G2162" s="5" t="s">
        <v>32</v>
      </c>
      <c r="H2162" s="5" t="s">
        <v>24</v>
      </c>
      <c r="I2162" s="6" t="s">
        <v>17</v>
      </c>
      <c r="J2162" s="7" t="s">
        <v>34</v>
      </c>
      <c r="K2162" s="7"/>
      <c r="L2162" s="8">
        <v>1.771886081914E12</v>
      </c>
      <c r="M2162" s="9"/>
      <c r="N2162" s="10"/>
      <c r="O2162" s="10"/>
      <c r="P2162" s="10"/>
      <c r="Q2162" s="10"/>
      <c r="R2162" s="10"/>
      <c r="S2162" s="10"/>
      <c r="T2162" s="10"/>
      <c r="U2162" s="10"/>
      <c r="V2162" s="10"/>
    </row>
    <row r="2163" ht="22.5" customHeight="1">
      <c r="A2163" s="5">
        <v>2.04906252296E11</v>
      </c>
      <c r="B2163" s="5" t="s">
        <v>1998</v>
      </c>
      <c r="C2163" s="5">
        <v>51976699098</v>
      </c>
      <c r="D2163" s="5" t="s">
        <v>38</v>
      </c>
      <c r="E2163" s="5">
        <v>8.0566583E7</v>
      </c>
      <c r="F2163" s="5" t="s">
        <v>65</v>
      </c>
      <c r="G2163" s="5" t="s">
        <v>15</v>
      </c>
      <c r="H2163" s="5" t="s">
        <v>188</v>
      </c>
      <c r="I2163" s="6" t="s">
        <v>17</v>
      </c>
      <c r="J2163" s="7" t="s">
        <v>18</v>
      </c>
      <c r="K2163" s="7" t="s">
        <v>19</v>
      </c>
      <c r="L2163" s="8">
        <v>1.77188720349E12</v>
      </c>
      <c r="M2163" s="9"/>
      <c r="N2163" s="10"/>
      <c r="O2163" s="10"/>
      <c r="P2163" s="10"/>
      <c r="Q2163" s="10"/>
      <c r="R2163" s="10"/>
      <c r="S2163" s="10"/>
      <c r="T2163" s="10"/>
      <c r="U2163" s="10"/>
      <c r="V2163" s="10"/>
    </row>
    <row r="2164" ht="22.5" customHeight="1">
      <c r="A2164" s="5">
        <v>2.04901192535E11</v>
      </c>
      <c r="B2164" s="5" t="s">
        <v>1999</v>
      </c>
      <c r="C2164" s="5">
        <v>573012788894</v>
      </c>
      <c r="D2164" s="5" t="s">
        <v>13</v>
      </c>
      <c r="E2164" s="5">
        <v>8.7547393E7</v>
      </c>
      <c r="F2164" s="5" t="s">
        <v>39</v>
      </c>
      <c r="G2164" s="5" t="s">
        <v>15</v>
      </c>
      <c r="H2164" s="5" t="s">
        <v>33</v>
      </c>
      <c r="I2164" s="6" t="s">
        <v>49</v>
      </c>
      <c r="J2164" s="7" t="s">
        <v>34</v>
      </c>
      <c r="K2164" s="7"/>
      <c r="L2164" s="8">
        <v>1.771888107688E12</v>
      </c>
      <c r="M2164" s="9"/>
      <c r="N2164" s="10"/>
      <c r="O2164" s="10"/>
      <c r="P2164" s="10"/>
      <c r="Q2164" s="10"/>
      <c r="R2164" s="10"/>
      <c r="S2164" s="10"/>
      <c r="T2164" s="10"/>
      <c r="U2164" s="10"/>
      <c r="V2164" s="10"/>
    </row>
    <row r="2165" ht="22.5" customHeight="1">
      <c r="A2165" s="5">
        <v>2.0488801058E11</v>
      </c>
      <c r="B2165" s="5" t="s">
        <v>2000</v>
      </c>
      <c r="C2165" s="5">
        <v>527351595431</v>
      </c>
      <c r="D2165" s="5" t="s">
        <v>38</v>
      </c>
      <c r="E2165" s="5">
        <v>8.0566583E7</v>
      </c>
      <c r="F2165" s="5"/>
      <c r="G2165" s="5"/>
      <c r="H2165" s="5"/>
      <c r="I2165" s="6"/>
      <c r="J2165" s="7" t="s">
        <v>34</v>
      </c>
      <c r="K2165" s="7"/>
      <c r="L2165" s="8">
        <v>1.771888321127E12</v>
      </c>
      <c r="M2165" s="9"/>
      <c r="N2165" s="10"/>
      <c r="O2165" s="10"/>
      <c r="P2165" s="10"/>
      <c r="Q2165" s="10"/>
      <c r="R2165" s="10"/>
      <c r="S2165" s="10"/>
      <c r="T2165" s="10"/>
      <c r="U2165" s="10"/>
      <c r="V2165" s="10"/>
    </row>
    <row r="2166" ht="22.5" customHeight="1">
      <c r="A2166" s="5">
        <v>2.04902311062E11</v>
      </c>
      <c r="B2166" s="5" t="s">
        <v>2001</v>
      </c>
      <c r="C2166" s="5">
        <v>5513997330025</v>
      </c>
      <c r="D2166" s="5" t="s">
        <v>22</v>
      </c>
      <c r="E2166" s="5">
        <v>7.9360573E7</v>
      </c>
      <c r="F2166" s="5" t="s">
        <v>93</v>
      </c>
      <c r="G2166" s="5" t="s">
        <v>32</v>
      </c>
      <c r="H2166" s="5" t="s">
        <v>33</v>
      </c>
      <c r="I2166" s="6" t="s">
        <v>17</v>
      </c>
      <c r="J2166" s="7" t="s">
        <v>124</v>
      </c>
      <c r="K2166" s="7" t="s">
        <v>125</v>
      </c>
      <c r="L2166" s="8">
        <v>1.771888375118E12</v>
      </c>
      <c r="M2166" s="9"/>
      <c r="N2166" s="10"/>
      <c r="O2166" s="10"/>
      <c r="P2166" s="10"/>
      <c r="Q2166" s="10"/>
      <c r="R2166" s="10"/>
      <c r="S2166" s="10"/>
      <c r="T2166" s="10"/>
      <c r="U2166" s="10"/>
      <c r="V2166" s="10"/>
    </row>
    <row r="2167" ht="22.5" customHeight="1">
      <c r="A2167" s="5">
        <v>2.04908062813E11</v>
      </c>
      <c r="B2167" s="5" t="s">
        <v>2002</v>
      </c>
      <c r="C2167" s="5">
        <v>5577981552347</v>
      </c>
      <c r="D2167" s="5" t="s">
        <v>13</v>
      </c>
      <c r="E2167" s="5">
        <v>7.9360573E7</v>
      </c>
      <c r="F2167" s="5" t="s">
        <v>39</v>
      </c>
      <c r="G2167" s="5"/>
      <c r="H2167" s="5" t="s">
        <v>24</v>
      </c>
      <c r="I2167" s="6" t="s">
        <v>63</v>
      </c>
      <c r="J2167" s="7" t="s">
        <v>124</v>
      </c>
      <c r="K2167" s="7" t="s">
        <v>1256</v>
      </c>
      <c r="L2167" s="8">
        <v>1.771888789071E12</v>
      </c>
      <c r="M2167" s="9"/>
      <c r="N2167" s="10"/>
      <c r="O2167" s="10"/>
      <c r="P2167" s="10"/>
      <c r="Q2167" s="10"/>
      <c r="R2167" s="10"/>
      <c r="S2167" s="10"/>
      <c r="T2167" s="10"/>
      <c r="U2167" s="10"/>
      <c r="V2167" s="10"/>
    </row>
    <row r="2168" ht="22.5" customHeight="1">
      <c r="A2168" s="5">
        <v>2.04907764835E11</v>
      </c>
      <c r="B2168" s="5" t="s">
        <v>2003</v>
      </c>
      <c r="C2168" s="5">
        <v>5585988814546</v>
      </c>
      <c r="D2168" s="5" t="s">
        <v>22</v>
      </c>
      <c r="E2168" s="5">
        <v>7.9360573E7</v>
      </c>
      <c r="F2168" s="5" t="s">
        <v>39</v>
      </c>
      <c r="G2168" s="5" t="s">
        <v>44</v>
      </c>
      <c r="H2168" s="5" t="s">
        <v>326</v>
      </c>
      <c r="I2168" s="6" t="s">
        <v>148</v>
      </c>
      <c r="J2168" s="7" t="s">
        <v>58</v>
      </c>
      <c r="K2168" s="11" t="s">
        <v>59</v>
      </c>
      <c r="L2168" s="8">
        <v>1.771888922795E12</v>
      </c>
      <c r="M2168" s="9"/>
      <c r="N2168" s="10"/>
      <c r="O2168" s="10"/>
      <c r="P2168" s="10"/>
      <c r="Q2168" s="10"/>
      <c r="R2168" s="10"/>
      <c r="S2168" s="10"/>
      <c r="T2168" s="10"/>
      <c r="U2168" s="10"/>
      <c r="V2168" s="10"/>
    </row>
    <row r="2169" ht="22.5" customHeight="1">
      <c r="A2169" s="5">
        <v>1.40354555225E11</v>
      </c>
      <c r="B2169" s="5" t="s">
        <v>2004</v>
      </c>
      <c r="C2169" s="5">
        <v>51996195787</v>
      </c>
      <c r="D2169" s="5" t="s">
        <v>38</v>
      </c>
      <c r="E2169" s="5"/>
      <c r="F2169" s="5"/>
      <c r="G2169" s="5"/>
      <c r="H2169" s="5"/>
      <c r="I2169" s="6"/>
      <c r="J2169" s="7" t="s">
        <v>34</v>
      </c>
      <c r="K2169" s="7"/>
      <c r="L2169" s="8">
        <v>1.771891083992E12</v>
      </c>
      <c r="M2169" s="9"/>
      <c r="N2169" s="10"/>
      <c r="O2169" s="10"/>
      <c r="P2169" s="10"/>
      <c r="Q2169" s="10"/>
      <c r="R2169" s="10"/>
      <c r="S2169" s="10"/>
      <c r="T2169" s="10"/>
      <c r="U2169" s="10"/>
      <c r="V2169" s="10"/>
    </row>
    <row r="2170" ht="22.5" customHeight="1">
      <c r="A2170" s="5">
        <v>2.0490506736E11</v>
      </c>
      <c r="B2170" s="5" t="s">
        <v>2005</v>
      </c>
      <c r="C2170" s="5">
        <v>51956957550</v>
      </c>
      <c r="D2170" s="5" t="s">
        <v>13</v>
      </c>
      <c r="E2170" s="5">
        <v>8.7547393E7</v>
      </c>
      <c r="F2170" s="5" t="s">
        <v>28</v>
      </c>
      <c r="G2170" s="5" t="s">
        <v>15</v>
      </c>
      <c r="H2170" s="5" t="s">
        <v>24</v>
      </c>
      <c r="I2170" s="6" t="s">
        <v>17</v>
      </c>
      <c r="J2170" s="7" t="s">
        <v>18</v>
      </c>
      <c r="K2170" s="7" t="s">
        <v>19</v>
      </c>
      <c r="L2170" s="8">
        <v>1.771891770087E12</v>
      </c>
      <c r="M2170" s="9"/>
      <c r="N2170" s="10"/>
      <c r="O2170" s="10"/>
      <c r="P2170" s="10"/>
      <c r="Q2170" s="10"/>
      <c r="R2170" s="10"/>
      <c r="S2170" s="10"/>
      <c r="T2170" s="10"/>
      <c r="U2170" s="10"/>
      <c r="V2170" s="10"/>
    </row>
    <row r="2171" ht="22.5" customHeight="1">
      <c r="A2171" s="5">
        <v>2.04914544135E11</v>
      </c>
      <c r="B2171" s="5" t="s">
        <v>2006</v>
      </c>
      <c r="C2171" s="5">
        <v>51976087808</v>
      </c>
      <c r="D2171" s="5" t="s">
        <v>38</v>
      </c>
      <c r="E2171" s="5">
        <v>8.7547393E7</v>
      </c>
      <c r="F2171" s="5"/>
      <c r="G2171" s="5"/>
      <c r="H2171" s="5"/>
      <c r="I2171" s="6"/>
      <c r="J2171" s="7" t="s">
        <v>18</v>
      </c>
      <c r="K2171" s="7" t="s">
        <v>19</v>
      </c>
      <c r="L2171" s="8">
        <v>1.771894801182E12</v>
      </c>
      <c r="M2171" s="9"/>
      <c r="N2171" s="10"/>
      <c r="O2171" s="10"/>
      <c r="P2171" s="10"/>
      <c r="Q2171" s="10"/>
      <c r="R2171" s="10"/>
      <c r="S2171" s="10"/>
      <c r="T2171" s="10"/>
      <c r="U2171" s="10"/>
      <c r="V2171" s="10"/>
    </row>
    <row r="2172" ht="22.5" customHeight="1">
      <c r="A2172" s="5">
        <v>2.04913010227E11</v>
      </c>
      <c r="B2172" s="5" t="s">
        <v>2007</v>
      </c>
      <c r="C2172" s="5">
        <v>51955438065</v>
      </c>
      <c r="D2172" s="5" t="s">
        <v>38</v>
      </c>
      <c r="E2172" s="5">
        <v>8.7547393E7</v>
      </c>
      <c r="F2172" s="5"/>
      <c r="G2172" s="5"/>
      <c r="H2172" s="5"/>
      <c r="I2172" s="6"/>
      <c r="J2172" s="7" t="s">
        <v>18</v>
      </c>
      <c r="K2172" s="7" t="s">
        <v>19</v>
      </c>
      <c r="L2172" s="8">
        <v>1.771895579198E12</v>
      </c>
      <c r="M2172" s="9"/>
      <c r="N2172" s="10"/>
      <c r="O2172" s="10"/>
      <c r="P2172" s="10"/>
      <c r="Q2172" s="10"/>
      <c r="R2172" s="10"/>
      <c r="S2172" s="10"/>
      <c r="T2172" s="10"/>
      <c r="U2172" s="10"/>
      <c r="V2172" s="10"/>
    </row>
    <row r="2173" ht="22.5" customHeight="1">
      <c r="A2173" s="5">
        <v>2.04917950516E11</v>
      </c>
      <c r="B2173" s="5" t="s">
        <v>2008</v>
      </c>
      <c r="C2173" s="5">
        <v>573183904119</v>
      </c>
      <c r="D2173" s="5" t="s">
        <v>38</v>
      </c>
      <c r="E2173" s="5">
        <v>8.7547393E7</v>
      </c>
      <c r="F2173" s="5" t="s">
        <v>714</v>
      </c>
      <c r="G2173" s="5" t="s">
        <v>15</v>
      </c>
      <c r="H2173" s="5" t="s">
        <v>16</v>
      </c>
      <c r="I2173" s="6" t="s">
        <v>89</v>
      </c>
      <c r="J2173" s="7" t="s">
        <v>34</v>
      </c>
      <c r="K2173" s="7"/>
      <c r="L2173" s="8">
        <v>1.771898389028E12</v>
      </c>
      <c r="M2173" s="9"/>
      <c r="N2173" s="10"/>
      <c r="O2173" s="10"/>
      <c r="P2173" s="10"/>
      <c r="Q2173" s="10"/>
      <c r="R2173" s="10"/>
      <c r="S2173" s="10"/>
      <c r="T2173" s="10"/>
      <c r="U2173" s="10"/>
      <c r="V2173" s="10"/>
    </row>
    <row r="2174" ht="22.5" customHeight="1">
      <c r="A2174" s="5">
        <v>2.04920435322E11</v>
      </c>
      <c r="B2174" s="5" t="s">
        <v>2009</v>
      </c>
      <c r="C2174" s="5">
        <v>5538998396885</v>
      </c>
      <c r="D2174" s="5" t="s">
        <v>13</v>
      </c>
      <c r="E2174" s="5">
        <v>7.9360573E7</v>
      </c>
      <c r="F2174" s="5" t="s">
        <v>28</v>
      </c>
      <c r="G2174" s="5" t="s">
        <v>32</v>
      </c>
      <c r="H2174" s="5" t="s">
        <v>24</v>
      </c>
      <c r="I2174" s="6"/>
      <c r="J2174" s="7" t="s">
        <v>34</v>
      </c>
      <c r="K2174" s="7"/>
      <c r="L2174" s="8">
        <v>1.771899213054E12</v>
      </c>
      <c r="M2174" s="9"/>
      <c r="N2174" s="10"/>
      <c r="O2174" s="10"/>
      <c r="P2174" s="10"/>
      <c r="Q2174" s="10"/>
      <c r="R2174" s="10"/>
      <c r="S2174" s="10"/>
      <c r="T2174" s="10"/>
      <c r="U2174" s="10"/>
      <c r="V2174" s="10"/>
    </row>
    <row r="2175" ht="22.5" customHeight="1">
      <c r="A2175" s="5">
        <v>2.04913208396E11</v>
      </c>
      <c r="B2175" s="5" t="s">
        <v>2010</v>
      </c>
      <c r="C2175" s="5">
        <v>5583988643010</v>
      </c>
      <c r="D2175" s="5" t="s">
        <v>38</v>
      </c>
      <c r="E2175" s="5">
        <v>7.9360573E7</v>
      </c>
      <c r="F2175" s="5"/>
      <c r="G2175" s="5"/>
      <c r="H2175" s="5"/>
      <c r="I2175" s="6"/>
      <c r="J2175" s="7" t="s">
        <v>34</v>
      </c>
      <c r="K2175" s="7"/>
      <c r="L2175" s="8">
        <v>1.771899677775E12</v>
      </c>
      <c r="M2175" s="9"/>
      <c r="N2175" s="10"/>
      <c r="O2175" s="10"/>
      <c r="P2175" s="10"/>
      <c r="Q2175" s="10"/>
      <c r="R2175" s="10"/>
      <c r="S2175" s="10"/>
      <c r="T2175" s="10"/>
      <c r="U2175" s="10"/>
      <c r="V2175" s="10"/>
    </row>
    <row r="2176" ht="22.5" customHeight="1">
      <c r="A2176" s="5">
        <v>2.04921872785E11</v>
      </c>
      <c r="B2176" s="5" t="s">
        <v>2011</v>
      </c>
      <c r="C2176" s="5">
        <v>51986880136</v>
      </c>
      <c r="D2176" s="5" t="s">
        <v>13</v>
      </c>
      <c r="E2176" s="5">
        <v>8.7547393E7</v>
      </c>
      <c r="F2176" s="5" t="s">
        <v>28</v>
      </c>
      <c r="G2176" s="5" t="s">
        <v>15</v>
      </c>
      <c r="H2176" s="5" t="s">
        <v>51</v>
      </c>
      <c r="I2176" s="6" t="s">
        <v>17</v>
      </c>
      <c r="J2176" s="7" t="s">
        <v>18</v>
      </c>
      <c r="K2176" s="7" t="s">
        <v>19</v>
      </c>
      <c r="L2176" s="8">
        <v>1.771899709332E12</v>
      </c>
      <c r="M2176" s="9"/>
      <c r="N2176" s="10"/>
      <c r="O2176" s="10"/>
      <c r="P2176" s="10"/>
      <c r="Q2176" s="10"/>
      <c r="R2176" s="10"/>
      <c r="S2176" s="10"/>
      <c r="T2176" s="10"/>
      <c r="U2176" s="10"/>
      <c r="V2176" s="10"/>
    </row>
    <row r="2177" ht="22.5" customHeight="1">
      <c r="A2177" s="5">
        <v>2.04914291246E11</v>
      </c>
      <c r="B2177" s="5" t="s">
        <v>2012</v>
      </c>
      <c r="C2177" s="5">
        <v>5581997279151</v>
      </c>
      <c r="D2177" s="5" t="s">
        <v>13</v>
      </c>
      <c r="E2177" s="5">
        <v>7.9360573E7</v>
      </c>
      <c r="F2177" s="5" t="s">
        <v>28</v>
      </c>
      <c r="G2177" s="5" t="s">
        <v>15</v>
      </c>
      <c r="H2177" s="5" t="s">
        <v>29</v>
      </c>
      <c r="I2177" s="6"/>
      <c r="J2177" s="7" t="s">
        <v>34</v>
      </c>
      <c r="K2177" s="7"/>
      <c r="L2177" s="8">
        <v>1.77190030593E12</v>
      </c>
      <c r="M2177" s="9"/>
      <c r="N2177" s="10"/>
      <c r="O2177" s="10"/>
      <c r="P2177" s="10"/>
      <c r="Q2177" s="10"/>
      <c r="R2177" s="10"/>
      <c r="S2177" s="10"/>
      <c r="T2177" s="10"/>
      <c r="U2177" s="10"/>
      <c r="V2177" s="10"/>
    </row>
    <row r="2178" ht="22.5" customHeight="1">
      <c r="A2178" s="5">
        <v>2.04805965627E11</v>
      </c>
      <c r="B2178" s="5" t="s">
        <v>1979</v>
      </c>
      <c r="C2178" s="5">
        <v>51928681102</v>
      </c>
      <c r="D2178" s="5" t="s">
        <v>13</v>
      </c>
      <c r="E2178" s="5">
        <v>8.7547393E7</v>
      </c>
      <c r="F2178" s="5" t="s">
        <v>39</v>
      </c>
      <c r="G2178" s="5" t="s">
        <v>15</v>
      </c>
      <c r="H2178" s="5" t="s">
        <v>51</v>
      </c>
      <c r="I2178" s="6" t="s">
        <v>17</v>
      </c>
      <c r="J2178" s="7" t="s">
        <v>34</v>
      </c>
      <c r="K2178" s="7"/>
      <c r="L2178" s="8">
        <v>1.771901856088E12</v>
      </c>
      <c r="M2178" s="9"/>
      <c r="N2178" s="10"/>
      <c r="O2178" s="10"/>
      <c r="P2178" s="10"/>
      <c r="Q2178" s="10"/>
      <c r="R2178" s="10"/>
      <c r="S2178" s="10"/>
      <c r="T2178" s="10"/>
      <c r="U2178" s="10"/>
      <c r="V2178" s="10"/>
    </row>
    <row r="2179" ht="22.5" customHeight="1">
      <c r="A2179" s="5">
        <v>2.04944113709E11</v>
      </c>
      <c r="B2179" s="5" t="s">
        <v>2013</v>
      </c>
      <c r="C2179" s="5">
        <v>51920558532</v>
      </c>
      <c r="D2179" s="5" t="s">
        <v>13</v>
      </c>
      <c r="E2179" s="5">
        <v>8.0566583E7</v>
      </c>
      <c r="F2179" s="5" t="s">
        <v>714</v>
      </c>
      <c r="G2179" s="5" t="s">
        <v>15</v>
      </c>
      <c r="H2179" s="5" t="s">
        <v>16</v>
      </c>
      <c r="I2179" s="6" t="s">
        <v>17</v>
      </c>
      <c r="J2179" s="7" t="s">
        <v>18</v>
      </c>
      <c r="K2179" s="7" t="s">
        <v>19</v>
      </c>
      <c r="L2179" s="8">
        <v>1.771903847315E12</v>
      </c>
      <c r="M2179" s="9"/>
      <c r="N2179" s="10"/>
      <c r="O2179" s="10"/>
      <c r="P2179" s="10"/>
      <c r="Q2179" s="10"/>
      <c r="R2179" s="10"/>
      <c r="S2179" s="10"/>
      <c r="T2179" s="10"/>
      <c r="U2179" s="10"/>
      <c r="V2179" s="10"/>
    </row>
    <row r="2180" ht="22.5" customHeight="1">
      <c r="A2180" s="5">
        <v>2.04924653401E11</v>
      </c>
      <c r="B2180" s="5" t="s">
        <v>2014</v>
      </c>
      <c r="C2180" s="5">
        <v>5521995299257</v>
      </c>
      <c r="D2180" s="5" t="s">
        <v>13</v>
      </c>
      <c r="E2180" s="5">
        <v>7.9360573E7</v>
      </c>
      <c r="F2180" s="5" t="s">
        <v>28</v>
      </c>
      <c r="G2180" s="5" t="s">
        <v>32</v>
      </c>
      <c r="H2180" s="5" t="s">
        <v>24</v>
      </c>
      <c r="I2180" s="6" t="s">
        <v>17</v>
      </c>
      <c r="J2180" s="7" t="s">
        <v>34</v>
      </c>
      <c r="K2180" s="7"/>
      <c r="L2180" s="8">
        <v>1.771904763139E12</v>
      </c>
      <c r="M2180" s="9"/>
      <c r="N2180" s="10"/>
      <c r="O2180" s="10"/>
      <c r="P2180" s="10"/>
      <c r="Q2180" s="10"/>
      <c r="R2180" s="10"/>
      <c r="S2180" s="10"/>
      <c r="T2180" s="10"/>
      <c r="U2180" s="10"/>
      <c r="V2180" s="10"/>
    </row>
    <row r="2181" ht="22.5" customHeight="1">
      <c r="A2181" s="5">
        <v>2.04944734994E11</v>
      </c>
      <c r="B2181" s="5" t="s">
        <v>2015</v>
      </c>
      <c r="C2181" s="5">
        <v>51902178351</v>
      </c>
      <c r="D2181" s="5" t="s">
        <v>13</v>
      </c>
      <c r="E2181" s="5">
        <v>8.7547393E7</v>
      </c>
      <c r="F2181" s="5" t="s">
        <v>93</v>
      </c>
      <c r="G2181" s="5" t="s">
        <v>15</v>
      </c>
      <c r="H2181" s="5" t="s">
        <v>51</v>
      </c>
      <c r="I2181" s="6" t="s">
        <v>17</v>
      </c>
      <c r="J2181" s="7" t="s">
        <v>18</v>
      </c>
      <c r="K2181" s="7" t="s">
        <v>19</v>
      </c>
      <c r="L2181" s="8">
        <v>1.771904921012E12</v>
      </c>
      <c r="M2181" s="9"/>
      <c r="N2181" s="10"/>
      <c r="O2181" s="10"/>
      <c r="P2181" s="10"/>
      <c r="Q2181" s="10"/>
      <c r="R2181" s="10"/>
      <c r="S2181" s="10"/>
      <c r="T2181" s="10"/>
      <c r="U2181" s="10"/>
      <c r="V2181" s="10"/>
    </row>
    <row r="2182" ht="22.5" customHeight="1">
      <c r="A2182" s="5">
        <v>2.04925844816E11</v>
      </c>
      <c r="B2182" s="5" t="s">
        <v>2016</v>
      </c>
      <c r="C2182" s="5">
        <v>51940090047</v>
      </c>
      <c r="D2182" s="5" t="s">
        <v>22</v>
      </c>
      <c r="E2182" s="5">
        <v>8.0566583E7</v>
      </c>
      <c r="F2182" s="5" t="s">
        <v>28</v>
      </c>
      <c r="G2182" s="5" t="s">
        <v>44</v>
      </c>
      <c r="H2182" s="5" t="s">
        <v>51</v>
      </c>
      <c r="I2182" s="6" t="s">
        <v>63</v>
      </c>
      <c r="J2182" s="7" t="s">
        <v>18</v>
      </c>
      <c r="K2182" s="7" t="s">
        <v>1122</v>
      </c>
      <c r="L2182" s="8">
        <v>1.771905168409E12</v>
      </c>
      <c r="M2182" s="9"/>
      <c r="N2182" s="10"/>
      <c r="O2182" s="10"/>
      <c r="P2182" s="10"/>
      <c r="Q2182" s="10"/>
      <c r="R2182" s="10"/>
      <c r="S2182" s="10"/>
      <c r="T2182" s="10"/>
      <c r="U2182" s="10"/>
      <c r="V2182" s="10"/>
    </row>
    <row r="2183" ht="22.5" customHeight="1">
      <c r="A2183" s="5">
        <v>2.04945476208E11</v>
      </c>
      <c r="B2183" s="5" t="s">
        <v>2017</v>
      </c>
      <c r="C2183" s="5">
        <v>51989444078</v>
      </c>
      <c r="D2183" s="5" t="s">
        <v>13</v>
      </c>
      <c r="E2183" s="5">
        <v>8.7547393E7</v>
      </c>
      <c r="F2183" s="5" t="s">
        <v>714</v>
      </c>
      <c r="G2183" s="5" t="s">
        <v>15</v>
      </c>
      <c r="H2183" s="5" t="s">
        <v>16</v>
      </c>
      <c r="I2183" s="6" t="s">
        <v>17</v>
      </c>
      <c r="J2183" s="7" t="s">
        <v>18</v>
      </c>
      <c r="K2183" s="7" t="s">
        <v>19</v>
      </c>
      <c r="L2183" s="8">
        <v>1.771906617485E12</v>
      </c>
      <c r="M2183" s="9"/>
      <c r="N2183" s="10"/>
      <c r="O2183" s="10"/>
      <c r="P2183" s="10"/>
      <c r="Q2183" s="10"/>
      <c r="R2183" s="10"/>
      <c r="S2183" s="10"/>
      <c r="T2183" s="10"/>
      <c r="U2183" s="10"/>
      <c r="V2183" s="10"/>
    </row>
    <row r="2184" ht="22.5" customHeight="1">
      <c r="A2184" s="5">
        <v>2.04926850572E11</v>
      </c>
      <c r="B2184" s="5" t="s">
        <v>2018</v>
      </c>
      <c r="C2184" s="5">
        <v>51901414991</v>
      </c>
      <c r="D2184" s="5" t="s">
        <v>13</v>
      </c>
      <c r="E2184" s="5">
        <v>8.0566583E7</v>
      </c>
      <c r="F2184" s="5" t="s">
        <v>93</v>
      </c>
      <c r="G2184" s="5" t="s">
        <v>15</v>
      </c>
      <c r="H2184" s="5" t="s">
        <v>29</v>
      </c>
      <c r="I2184" s="6" t="s">
        <v>17</v>
      </c>
      <c r="J2184" s="7" t="s">
        <v>18</v>
      </c>
      <c r="K2184" s="7" t="s">
        <v>19</v>
      </c>
      <c r="L2184" s="8">
        <v>1.77190749618E12</v>
      </c>
      <c r="M2184" s="9"/>
      <c r="N2184" s="10"/>
      <c r="O2184" s="10"/>
      <c r="P2184" s="10"/>
      <c r="Q2184" s="10"/>
      <c r="R2184" s="10"/>
      <c r="S2184" s="10"/>
      <c r="T2184" s="10"/>
      <c r="U2184" s="10"/>
      <c r="V2184" s="10"/>
    </row>
    <row r="2185" ht="22.5" customHeight="1">
      <c r="A2185" s="5">
        <v>2.04946729814E11</v>
      </c>
      <c r="B2185" s="5" t="s">
        <v>2019</v>
      </c>
      <c r="C2185" s="5">
        <v>51942392111</v>
      </c>
      <c r="D2185" s="5" t="s">
        <v>13</v>
      </c>
      <c r="E2185" s="5">
        <v>8.7547393E7</v>
      </c>
      <c r="F2185" s="5" t="s">
        <v>28</v>
      </c>
      <c r="G2185" s="5" t="s">
        <v>15</v>
      </c>
      <c r="H2185" s="5" t="s">
        <v>51</v>
      </c>
      <c r="I2185" s="6" t="s">
        <v>17</v>
      </c>
      <c r="J2185" s="7" t="s">
        <v>25</v>
      </c>
      <c r="K2185" s="7" t="s">
        <v>26</v>
      </c>
      <c r="L2185" s="8">
        <v>1.771908106087E12</v>
      </c>
      <c r="M2185" s="9"/>
      <c r="N2185" s="10"/>
      <c r="O2185" s="10"/>
      <c r="P2185" s="10"/>
      <c r="Q2185" s="10"/>
      <c r="R2185" s="10"/>
      <c r="S2185" s="10"/>
      <c r="T2185" s="10"/>
      <c r="U2185" s="10"/>
      <c r="V2185" s="10"/>
    </row>
    <row r="2186" ht="22.5" customHeight="1">
      <c r="A2186" s="5">
        <v>2.04943079044E11</v>
      </c>
      <c r="B2186" s="5" t="s">
        <v>2020</v>
      </c>
      <c r="C2186" s="5">
        <v>51920220170</v>
      </c>
      <c r="D2186" s="5" t="s">
        <v>103</v>
      </c>
      <c r="E2186" s="5">
        <v>8.0566583E7</v>
      </c>
      <c r="F2186" s="5" t="s">
        <v>28</v>
      </c>
      <c r="G2186" s="5" t="s">
        <v>79</v>
      </c>
      <c r="H2186" s="5" t="s">
        <v>114</v>
      </c>
      <c r="I2186" s="6" t="s">
        <v>49</v>
      </c>
      <c r="J2186" s="7" t="s">
        <v>34</v>
      </c>
      <c r="K2186" s="7"/>
      <c r="L2186" s="8">
        <v>1.771909117157E12</v>
      </c>
      <c r="M2186" s="9"/>
      <c r="N2186" s="10"/>
      <c r="O2186" s="10"/>
      <c r="P2186" s="10"/>
      <c r="Q2186" s="10"/>
      <c r="R2186" s="10"/>
      <c r="S2186" s="10"/>
      <c r="T2186" s="10"/>
      <c r="U2186" s="10"/>
      <c r="V2186" s="10"/>
    </row>
    <row r="2187" ht="22.5" customHeight="1">
      <c r="A2187" s="5">
        <v>2.04949003943E11</v>
      </c>
      <c r="B2187" s="5" t="s">
        <v>2021</v>
      </c>
      <c r="C2187" s="5">
        <v>5562983438500</v>
      </c>
      <c r="D2187" s="5" t="s">
        <v>38</v>
      </c>
      <c r="E2187" s="5">
        <v>7.9360573E7</v>
      </c>
      <c r="F2187" s="5" t="s">
        <v>28</v>
      </c>
      <c r="G2187" s="5" t="s">
        <v>104</v>
      </c>
      <c r="H2187" s="5" t="s">
        <v>24</v>
      </c>
      <c r="I2187" s="6" t="s">
        <v>17</v>
      </c>
      <c r="J2187" s="7" t="s">
        <v>34</v>
      </c>
      <c r="K2187" s="7"/>
      <c r="L2187" s="8">
        <v>1.771909615468E12</v>
      </c>
      <c r="M2187" s="9"/>
      <c r="N2187" s="10"/>
      <c r="O2187" s="10"/>
      <c r="P2187" s="10"/>
      <c r="Q2187" s="10"/>
      <c r="R2187" s="10"/>
      <c r="S2187" s="10"/>
      <c r="T2187" s="10"/>
      <c r="U2187" s="10"/>
      <c r="V2187" s="10"/>
    </row>
    <row r="2188" ht="22.5" customHeight="1">
      <c r="A2188" s="5">
        <v>2.04949044574E11</v>
      </c>
      <c r="B2188" s="5" t="s">
        <v>2022</v>
      </c>
      <c r="C2188" s="5">
        <v>51906611907</v>
      </c>
      <c r="D2188" s="5" t="s">
        <v>38</v>
      </c>
      <c r="E2188" s="5">
        <v>8.0566583E7</v>
      </c>
      <c r="F2188" s="5" t="s">
        <v>42</v>
      </c>
      <c r="G2188" s="5" t="s">
        <v>15</v>
      </c>
      <c r="H2188" s="5" t="s">
        <v>51</v>
      </c>
      <c r="I2188" s="6" t="s">
        <v>17</v>
      </c>
      <c r="J2188" s="7" t="s">
        <v>18</v>
      </c>
      <c r="K2188" s="7" t="s">
        <v>19</v>
      </c>
      <c r="L2188" s="8">
        <v>1.771910501793E12</v>
      </c>
      <c r="M2188" s="9"/>
      <c r="N2188" s="10"/>
      <c r="O2188" s="10"/>
      <c r="P2188" s="10"/>
      <c r="Q2188" s="10"/>
      <c r="R2188" s="10"/>
      <c r="S2188" s="10"/>
      <c r="T2188" s="10"/>
      <c r="U2188" s="10"/>
      <c r="V2188" s="10"/>
    </row>
    <row r="2189" ht="22.5" customHeight="1">
      <c r="A2189" s="5">
        <v>2.04929904655E11</v>
      </c>
      <c r="B2189" s="5" t="s">
        <v>2023</v>
      </c>
      <c r="C2189" s="5">
        <v>51955529220</v>
      </c>
      <c r="D2189" s="5" t="s">
        <v>13</v>
      </c>
      <c r="E2189" s="5">
        <v>8.7547393E7</v>
      </c>
      <c r="F2189" s="5" t="s">
        <v>39</v>
      </c>
      <c r="G2189" s="5" t="s">
        <v>15</v>
      </c>
      <c r="H2189" s="5" t="s">
        <v>51</v>
      </c>
      <c r="I2189" s="6" t="s">
        <v>17</v>
      </c>
      <c r="J2189" s="7" t="s">
        <v>34</v>
      </c>
      <c r="K2189" s="7"/>
      <c r="L2189" s="8">
        <v>1.771911279316E12</v>
      </c>
      <c r="M2189" s="9"/>
      <c r="N2189" s="10"/>
      <c r="O2189" s="10"/>
      <c r="P2189" s="10"/>
      <c r="Q2189" s="10"/>
      <c r="R2189" s="10"/>
      <c r="S2189" s="10"/>
      <c r="T2189" s="10"/>
      <c r="U2189" s="10"/>
      <c r="V2189" s="10"/>
    </row>
    <row r="2190" ht="22.5" customHeight="1">
      <c r="A2190" s="5">
        <v>2.04932639923E11</v>
      </c>
      <c r="B2190" s="5" t="s">
        <v>2024</v>
      </c>
      <c r="C2190" s="5">
        <v>5522999503472</v>
      </c>
      <c r="D2190" s="5" t="s">
        <v>13</v>
      </c>
      <c r="E2190" s="5">
        <v>7.9360573E7</v>
      </c>
      <c r="F2190" s="5" t="s">
        <v>28</v>
      </c>
      <c r="G2190" s="5" t="s">
        <v>32</v>
      </c>
      <c r="H2190" s="5" t="s">
        <v>16</v>
      </c>
      <c r="I2190" s="6" t="s">
        <v>17</v>
      </c>
      <c r="J2190" s="7" t="s">
        <v>34</v>
      </c>
      <c r="K2190" s="7"/>
      <c r="L2190" s="8">
        <v>1.771914911172E12</v>
      </c>
      <c r="M2190" s="9"/>
      <c r="N2190" s="10"/>
      <c r="O2190" s="10"/>
      <c r="P2190" s="10"/>
      <c r="Q2190" s="10"/>
      <c r="R2190" s="10"/>
      <c r="S2190" s="10"/>
      <c r="T2190" s="10"/>
      <c r="U2190" s="10"/>
      <c r="V2190" s="10"/>
    </row>
    <row r="2191" ht="22.5" customHeight="1">
      <c r="A2191" s="5">
        <v>2.04934246066E11</v>
      </c>
      <c r="B2191" s="5" t="s">
        <v>2025</v>
      </c>
      <c r="C2191" s="5">
        <v>51935818036</v>
      </c>
      <c r="D2191" s="5" t="s">
        <v>13</v>
      </c>
      <c r="E2191" s="5">
        <v>8.0566583E7</v>
      </c>
      <c r="F2191" s="5" t="s">
        <v>28</v>
      </c>
      <c r="G2191" s="5" t="s">
        <v>32</v>
      </c>
      <c r="H2191" s="5" t="s">
        <v>24</v>
      </c>
      <c r="I2191" s="6" t="s">
        <v>17</v>
      </c>
      <c r="J2191" s="7" t="s">
        <v>34</v>
      </c>
      <c r="K2191" s="7"/>
      <c r="L2191" s="8">
        <v>1.771915617247E12</v>
      </c>
      <c r="M2191" s="9"/>
      <c r="N2191" s="10"/>
      <c r="O2191" s="10"/>
      <c r="P2191" s="10"/>
      <c r="Q2191" s="10"/>
      <c r="R2191" s="10"/>
      <c r="S2191" s="10"/>
      <c r="T2191" s="10"/>
      <c r="U2191" s="10"/>
      <c r="V2191" s="10"/>
    </row>
    <row r="2192" ht="22.5" customHeight="1">
      <c r="A2192" s="5">
        <v>2.04950247276E11</v>
      </c>
      <c r="B2192" s="5" t="s">
        <v>2026</v>
      </c>
      <c r="C2192" s="5">
        <v>51958550076</v>
      </c>
      <c r="D2192" s="5" t="s">
        <v>13</v>
      </c>
      <c r="E2192" s="5">
        <v>8.0566583E7</v>
      </c>
      <c r="F2192" s="5" t="s">
        <v>39</v>
      </c>
      <c r="G2192" s="5" t="s">
        <v>15</v>
      </c>
      <c r="H2192" s="5" t="s">
        <v>33</v>
      </c>
      <c r="I2192" s="6" t="s">
        <v>17</v>
      </c>
      <c r="J2192" s="7" t="s">
        <v>34</v>
      </c>
      <c r="K2192" s="7"/>
      <c r="L2192" s="8">
        <v>1.771917163057E12</v>
      </c>
      <c r="M2192" s="9"/>
      <c r="N2192" s="10"/>
      <c r="O2192" s="10"/>
      <c r="P2192" s="10"/>
      <c r="Q2192" s="10"/>
      <c r="R2192" s="10"/>
      <c r="S2192" s="10"/>
      <c r="T2192" s="10"/>
      <c r="U2192" s="10"/>
      <c r="V2192" s="10"/>
    </row>
    <row r="2193" ht="22.5" customHeight="1">
      <c r="A2193" s="5">
        <v>2.03091987849E11</v>
      </c>
      <c r="B2193" s="5" t="s">
        <v>1248</v>
      </c>
      <c r="C2193" s="5">
        <v>51940141235</v>
      </c>
      <c r="D2193" s="5" t="s">
        <v>13</v>
      </c>
      <c r="E2193" s="5">
        <v>8.0566583E7</v>
      </c>
      <c r="F2193" s="5" t="s">
        <v>14</v>
      </c>
      <c r="G2193" s="5" t="s">
        <v>32</v>
      </c>
      <c r="H2193" s="5" t="s">
        <v>66</v>
      </c>
      <c r="I2193" s="6" t="s">
        <v>36</v>
      </c>
      <c r="J2193" s="7" t="s">
        <v>34</v>
      </c>
      <c r="K2193" s="7"/>
      <c r="L2193" s="8">
        <v>1.771928056727E12</v>
      </c>
      <c r="M2193" s="9"/>
      <c r="N2193" s="10"/>
      <c r="O2193" s="10"/>
      <c r="P2193" s="10"/>
      <c r="Q2193" s="10"/>
      <c r="R2193" s="10"/>
      <c r="S2193" s="10"/>
      <c r="T2193" s="10"/>
      <c r="U2193" s="10"/>
      <c r="V2193" s="10"/>
    </row>
    <row r="2194" ht="22.5" customHeight="1">
      <c r="A2194" s="5">
        <v>2.04962061575E11</v>
      </c>
      <c r="B2194" s="5" t="s">
        <v>2027</v>
      </c>
      <c r="C2194" s="5">
        <v>5512992004160</v>
      </c>
      <c r="D2194" s="5" t="s">
        <v>13</v>
      </c>
      <c r="E2194" s="5">
        <v>7.9360573E7</v>
      </c>
      <c r="F2194" s="5" t="s">
        <v>39</v>
      </c>
      <c r="G2194" s="5" t="s">
        <v>15</v>
      </c>
      <c r="H2194" s="5" t="s">
        <v>66</v>
      </c>
      <c r="I2194" s="6" t="s">
        <v>17</v>
      </c>
      <c r="J2194" s="7" t="s">
        <v>34</v>
      </c>
      <c r="K2194" s="7"/>
      <c r="L2194" s="8">
        <v>1.771928292601E12</v>
      </c>
      <c r="M2194" s="9"/>
      <c r="N2194" s="10"/>
      <c r="O2194" s="10"/>
      <c r="P2194" s="10"/>
      <c r="Q2194" s="10"/>
      <c r="R2194" s="10"/>
      <c r="S2194" s="10"/>
      <c r="T2194" s="10"/>
      <c r="U2194" s="10"/>
      <c r="V2194" s="10"/>
    </row>
    <row r="2195" ht="22.5" customHeight="1">
      <c r="A2195" s="5">
        <v>2.04996377886E11</v>
      </c>
      <c r="B2195" s="5" t="s">
        <v>2028</v>
      </c>
      <c r="C2195" s="5">
        <v>51921555349</v>
      </c>
      <c r="D2195" s="5" t="s">
        <v>13</v>
      </c>
      <c r="E2195" s="5">
        <v>8.0566583E7</v>
      </c>
      <c r="F2195" s="5" t="s">
        <v>42</v>
      </c>
      <c r="G2195" s="5" t="s">
        <v>15</v>
      </c>
      <c r="H2195" s="5" t="s">
        <v>24</v>
      </c>
      <c r="I2195" s="6" t="s">
        <v>17</v>
      </c>
      <c r="J2195" s="7" t="s">
        <v>18</v>
      </c>
      <c r="K2195" s="7" t="s">
        <v>19</v>
      </c>
      <c r="L2195" s="8">
        <v>1.771930737961E12</v>
      </c>
      <c r="M2195" s="9"/>
      <c r="N2195" s="10"/>
      <c r="O2195" s="10"/>
      <c r="P2195" s="10"/>
      <c r="Q2195" s="10"/>
      <c r="R2195" s="10"/>
      <c r="S2195" s="10"/>
      <c r="T2195" s="10"/>
      <c r="U2195" s="10"/>
      <c r="V2195" s="10"/>
    </row>
    <row r="2196" ht="22.5" customHeight="1">
      <c r="A2196" s="5">
        <v>2.0500088962E11</v>
      </c>
      <c r="B2196" s="5" t="s">
        <v>2029</v>
      </c>
      <c r="C2196" s="5">
        <v>51918824188</v>
      </c>
      <c r="D2196" s="5" t="s">
        <v>13</v>
      </c>
      <c r="E2196" s="5">
        <v>8.7547393E7</v>
      </c>
      <c r="F2196" s="5" t="s">
        <v>39</v>
      </c>
      <c r="G2196" s="5" t="s">
        <v>15</v>
      </c>
      <c r="H2196" s="5" t="s">
        <v>16</v>
      </c>
      <c r="I2196" s="6" t="s">
        <v>36</v>
      </c>
      <c r="J2196" s="7" t="s">
        <v>18</v>
      </c>
      <c r="K2196" s="7" t="s">
        <v>19</v>
      </c>
      <c r="L2196" s="8">
        <v>1.771930743151E12</v>
      </c>
      <c r="M2196" s="9"/>
      <c r="N2196" s="10"/>
      <c r="O2196" s="10"/>
      <c r="P2196" s="10"/>
      <c r="Q2196" s="10"/>
      <c r="R2196" s="10"/>
      <c r="S2196" s="10"/>
      <c r="T2196" s="10"/>
      <c r="U2196" s="10"/>
      <c r="V2196" s="10"/>
    </row>
    <row r="2197" ht="22.5" customHeight="1">
      <c r="A2197" s="5">
        <v>2.05008989539E11</v>
      </c>
      <c r="B2197" s="5" t="s">
        <v>2030</v>
      </c>
      <c r="C2197" s="5">
        <v>51932744943</v>
      </c>
      <c r="D2197" s="5" t="s">
        <v>22</v>
      </c>
      <c r="E2197" s="5">
        <v>8.0566583E7</v>
      </c>
      <c r="F2197" s="5" t="s">
        <v>42</v>
      </c>
      <c r="G2197" s="5" t="s">
        <v>32</v>
      </c>
      <c r="H2197" s="5" t="s">
        <v>66</v>
      </c>
      <c r="I2197" s="6" t="s">
        <v>17</v>
      </c>
      <c r="J2197" s="7" t="s">
        <v>18</v>
      </c>
      <c r="K2197" s="7" t="s">
        <v>19</v>
      </c>
      <c r="L2197" s="8">
        <v>1.771931093964E12</v>
      </c>
      <c r="M2197" s="9"/>
      <c r="N2197" s="10"/>
      <c r="O2197" s="10"/>
      <c r="P2197" s="10"/>
      <c r="Q2197" s="10"/>
      <c r="R2197" s="10"/>
      <c r="S2197" s="10"/>
      <c r="T2197" s="10"/>
      <c r="U2197" s="10"/>
      <c r="V2197" s="10"/>
    </row>
    <row r="2198" ht="22.5" customHeight="1">
      <c r="A2198" s="5">
        <v>2.02174298688E11</v>
      </c>
      <c r="B2198" s="5" t="s">
        <v>2031</v>
      </c>
      <c r="C2198" s="5">
        <v>5518996155509</v>
      </c>
      <c r="D2198" s="5" t="s">
        <v>13</v>
      </c>
      <c r="E2198" s="5">
        <v>7.9360573E7</v>
      </c>
      <c r="F2198" s="5" t="s">
        <v>259</v>
      </c>
      <c r="G2198" s="5"/>
      <c r="H2198" s="5" t="s">
        <v>51</v>
      </c>
      <c r="I2198" s="6" t="s">
        <v>17</v>
      </c>
      <c r="J2198" s="7" t="s">
        <v>34</v>
      </c>
      <c r="K2198" s="7"/>
      <c r="L2198" s="8">
        <v>1.771933220632E12</v>
      </c>
      <c r="M2198" s="9"/>
      <c r="N2198" s="10"/>
      <c r="O2198" s="10"/>
      <c r="P2198" s="10"/>
      <c r="Q2198" s="10"/>
      <c r="R2198" s="10"/>
      <c r="S2198" s="10"/>
      <c r="T2198" s="10"/>
      <c r="U2198" s="10"/>
      <c r="V2198" s="10"/>
    </row>
    <row r="2199" ht="22.5" customHeight="1">
      <c r="A2199" s="5">
        <v>2.05007141896E11</v>
      </c>
      <c r="B2199" s="5" t="s">
        <v>2032</v>
      </c>
      <c r="C2199" s="5">
        <v>51980628793</v>
      </c>
      <c r="D2199" s="5" t="s">
        <v>13</v>
      </c>
      <c r="E2199" s="5">
        <v>8.0566583E7</v>
      </c>
      <c r="F2199" s="5" t="s">
        <v>510</v>
      </c>
      <c r="G2199" s="5" t="s">
        <v>15</v>
      </c>
      <c r="H2199" s="5" t="s">
        <v>51</v>
      </c>
      <c r="I2199" s="6" t="s">
        <v>63</v>
      </c>
      <c r="J2199" s="7" t="s">
        <v>18</v>
      </c>
      <c r="K2199" s="7" t="s">
        <v>19</v>
      </c>
      <c r="L2199" s="8">
        <v>1.771934420663E12</v>
      </c>
      <c r="M2199" s="9"/>
      <c r="N2199" s="10"/>
      <c r="O2199" s="10"/>
      <c r="P2199" s="10"/>
      <c r="Q2199" s="10"/>
      <c r="R2199" s="10"/>
      <c r="S2199" s="10"/>
      <c r="T2199" s="10"/>
      <c r="U2199" s="10"/>
      <c r="V2199" s="10"/>
    </row>
    <row r="2200" ht="22.5" customHeight="1">
      <c r="A2200" s="5">
        <v>1.71211893097E11</v>
      </c>
      <c r="B2200" s="5" t="s">
        <v>2033</v>
      </c>
      <c r="C2200" s="5">
        <v>51993119607</v>
      </c>
      <c r="D2200" s="5" t="s">
        <v>38</v>
      </c>
      <c r="E2200" s="5"/>
      <c r="F2200" s="5"/>
      <c r="G2200" s="5"/>
      <c r="H2200" s="5"/>
      <c r="I2200" s="6"/>
      <c r="J2200" s="7" t="s">
        <v>18</v>
      </c>
      <c r="K2200" s="7" t="s">
        <v>116</v>
      </c>
      <c r="L2200" s="8">
        <v>1.771935167132E12</v>
      </c>
      <c r="M2200" s="9"/>
      <c r="N2200" s="10"/>
      <c r="O2200" s="10"/>
      <c r="P2200" s="10"/>
      <c r="Q2200" s="10"/>
      <c r="R2200" s="10"/>
      <c r="S2200" s="10"/>
      <c r="T2200" s="10"/>
      <c r="U2200" s="10"/>
      <c r="V2200" s="10"/>
    </row>
    <row r="2201" ht="22.5" customHeight="1">
      <c r="A2201" s="5">
        <v>2.05034096036E11</v>
      </c>
      <c r="B2201" s="5" t="s">
        <v>2034</v>
      </c>
      <c r="C2201" s="5">
        <v>51985021388</v>
      </c>
      <c r="D2201" s="5" t="s">
        <v>13</v>
      </c>
      <c r="E2201" s="5">
        <v>8.7547393E7</v>
      </c>
      <c r="F2201" s="5" t="s">
        <v>259</v>
      </c>
      <c r="G2201" s="5" t="s">
        <v>15</v>
      </c>
      <c r="H2201" s="5" t="s">
        <v>16</v>
      </c>
      <c r="I2201" s="6" t="s">
        <v>17</v>
      </c>
      <c r="J2201" s="7" t="s">
        <v>18</v>
      </c>
      <c r="K2201" s="7" t="s">
        <v>19</v>
      </c>
      <c r="L2201" s="8">
        <v>1.771936574738E12</v>
      </c>
      <c r="M2201" s="9"/>
      <c r="N2201" s="10"/>
      <c r="O2201" s="10"/>
      <c r="P2201" s="10"/>
      <c r="Q2201" s="10"/>
      <c r="R2201" s="10"/>
      <c r="S2201" s="10"/>
      <c r="T2201" s="10"/>
      <c r="U2201" s="10"/>
      <c r="V2201" s="10"/>
    </row>
    <row r="2202" ht="22.5" customHeight="1">
      <c r="A2202" s="5">
        <v>2.05034664449E11</v>
      </c>
      <c r="B2202" s="5" t="s">
        <v>2035</v>
      </c>
      <c r="C2202" s="5">
        <v>5512992606098</v>
      </c>
      <c r="D2202" s="5" t="s">
        <v>13</v>
      </c>
      <c r="E2202" s="5">
        <v>7.9360573E7</v>
      </c>
      <c r="F2202" s="5" t="s">
        <v>93</v>
      </c>
      <c r="G2202" s="5" t="s">
        <v>15</v>
      </c>
      <c r="H2202" s="5" t="s">
        <v>51</v>
      </c>
      <c r="I2202" s="6" t="s">
        <v>36</v>
      </c>
      <c r="J2202" s="7" t="s">
        <v>124</v>
      </c>
      <c r="K2202" s="7" t="s">
        <v>1256</v>
      </c>
      <c r="L2202" s="8">
        <v>1.77193753666E12</v>
      </c>
      <c r="M2202" s="9"/>
      <c r="N2202" s="10"/>
      <c r="O2202" s="10"/>
      <c r="P2202" s="10"/>
      <c r="Q2202" s="10"/>
      <c r="R2202" s="10"/>
      <c r="S2202" s="10"/>
      <c r="T2202" s="10"/>
      <c r="U2202" s="10"/>
      <c r="V2202" s="10"/>
    </row>
    <row r="2203" ht="22.5" customHeight="1">
      <c r="A2203" s="5">
        <v>2.05024952883E11</v>
      </c>
      <c r="B2203" s="5" t="s">
        <v>2036</v>
      </c>
      <c r="C2203" s="5">
        <v>51947929832</v>
      </c>
      <c r="D2203" s="5" t="s">
        <v>22</v>
      </c>
      <c r="E2203" s="5">
        <v>8.7547393E7</v>
      </c>
      <c r="F2203" s="5" t="s">
        <v>28</v>
      </c>
      <c r="G2203" s="5" t="s">
        <v>44</v>
      </c>
      <c r="H2203" s="5" t="s">
        <v>114</v>
      </c>
      <c r="I2203" s="6" t="s">
        <v>17</v>
      </c>
      <c r="J2203" s="7" t="s">
        <v>18</v>
      </c>
      <c r="K2203" s="7" t="s">
        <v>19</v>
      </c>
      <c r="L2203" s="8">
        <v>1.771937833936E12</v>
      </c>
      <c r="M2203" s="9"/>
      <c r="N2203" s="10"/>
      <c r="O2203" s="10"/>
      <c r="P2203" s="10"/>
      <c r="Q2203" s="10"/>
      <c r="R2203" s="10"/>
      <c r="S2203" s="10"/>
      <c r="T2203" s="10"/>
      <c r="U2203" s="10"/>
      <c r="V2203" s="10"/>
    </row>
    <row r="2204" ht="22.5" customHeight="1">
      <c r="A2204" s="5">
        <v>2.05022397855E11</v>
      </c>
      <c r="B2204" s="5" t="s">
        <v>2037</v>
      </c>
      <c r="C2204" s="5">
        <v>51974796610</v>
      </c>
      <c r="D2204" s="5" t="s">
        <v>13</v>
      </c>
      <c r="E2204" s="5">
        <v>8.0566583E7</v>
      </c>
      <c r="F2204" s="5" t="s">
        <v>39</v>
      </c>
      <c r="G2204" s="5" t="s">
        <v>15</v>
      </c>
      <c r="H2204" s="5" t="s">
        <v>51</v>
      </c>
      <c r="I2204" s="6" t="s">
        <v>17</v>
      </c>
      <c r="J2204" s="7" t="s">
        <v>18</v>
      </c>
      <c r="K2204" s="7" t="s">
        <v>19</v>
      </c>
      <c r="L2204" s="8">
        <v>1.771937934371E12</v>
      </c>
      <c r="M2204" s="9"/>
      <c r="N2204" s="10"/>
      <c r="O2204" s="10"/>
      <c r="P2204" s="10"/>
      <c r="Q2204" s="10"/>
      <c r="R2204" s="10"/>
      <c r="S2204" s="10"/>
      <c r="T2204" s="10"/>
      <c r="U2204" s="10"/>
      <c r="V2204" s="10"/>
    </row>
    <row r="2205" ht="22.5" customHeight="1">
      <c r="A2205" s="5">
        <v>2.05055064985E11</v>
      </c>
      <c r="B2205" s="5" t="s">
        <v>2038</v>
      </c>
      <c r="C2205" s="5">
        <v>5531990624463</v>
      </c>
      <c r="D2205" s="5" t="s">
        <v>22</v>
      </c>
      <c r="E2205" s="5">
        <v>7.9360573E7</v>
      </c>
      <c r="F2205" s="5" t="s">
        <v>28</v>
      </c>
      <c r="G2205" s="5" t="s">
        <v>44</v>
      </c>
      <c r="H2205" s="5" t="s">
        <v>24</v>
      </c>
      <c r="I2205" s="6" t="s">
        <v>17</v>
      </c>
      <c r="J2205" s="7" t="s">
        <v>34</v>
      </c>
      <c r="K2205" s="7"/>
      <c r="L2205" s="8">
        <v>1.771937902652E12</v>
      </c>
      <c r="M2205" s="9"/>
      <c r="N2205" s="10"/>
      <c r="O2205" s="10"/>
      <c r="P2205" s="10"/>
      <c r="Q2205" s="10"/>
      <c r="R2205" s="10"/>
      <c r="S2205" s="10"/>
      <c r="T2205" s="10"/>
      <c r="U2205" s="10"/>
      <c r="V2205" s="10"/>
    </row>
    <row r="2206" ht="22.5" customHeight="1">
      <c r="A2206" s="5">
        <v>2.05044994678E11</v>
      </c>
      <c r="B2206" s="5" t="s">
        <v>2039</v>
      </c>
      <c r="C2206" s="5">
        <v>51947644787</v>
      </c>
      <c r="D2206" s="5" t="s">
        <v>13</v>
      </c>
      <c r="E2206" s="5">
        <v>8.7547393E7</v>
      </c>
      <c r="F2206" s="5" t="s">
        <v>28</v>
      </c>
      <c r="G2206" s="5" t="s">
        <v>15</v>
      </c>
      <c r="H2206" s="5" t="s">
        <v>16</v>
      </c>
      <c r="I2206" s="6"/>
      <c r="J2206" s="7" t="s">
        <v>18</v>
      </c>
      <c r="K2206" s="7" t="s">
        <v>19</v>
      </c>
      <c r="L2206" s="8">
        <v>1.771940518966E12</v>
      </c>
      <c r="M2206" s="9"/>
      <c r="N2206" s="10"/>
      <c r="O2206" s="10"/>
      <c r="P2206" s="10"/>
      <c r="Q2206" s="10"/>
      <c r="R2206" s="10"/>
      <c r="S2206" s="10"/>
      <c r="T2206" s="10"/>
      <c r="U2206" s="10"/>
      <c r="V2206" s="10"/>
    </row>
    <row r="2207" ht="22.5" customHeight="1">
      <c r="A2207" s="5">
        <v>2.05064190023E11</v>
      </c>
      <c r="B2207" s="5" t="s">
        <v>2040</v>
      </c>
      <c r="C2207" s="5">
        <v>5511988798345</v>
      </c>
      <c r="D2207" s="5" t="s">
        <v>13</v>
      </c>
      <c r="E2207" s="5">
        <v>7.9360573E7</v>
      </c>
      <c r="F2207" s="5"/>
      <c r="G2207" s="5"/>
      <c r="H2207" s="5" t="s">
        <v>29</v>
      </c>
      <c r="I2207" s="6" t="s">
        <v>148</v>
      </c>
      <c r="J2207" s="7" t="s">
        <v>34</v>
      </c>
      <c r="K2207" s="7"/>
      <c r="L2207" s="8">
        <v>1.771941878188E12</v>
      </c>
      <c r="M2207" s="9"/>
      <c r="N2207" s="10"/>
      <c r="O2207" s="10"/>
      <c r="P2207" s="10"/>
      <c r="Q2207" s="10"/>
      <c r="R2207" s="10"/>
      <c r="S2207" s="10"/>
      <c r="T2207" s="10"/>
      <c r="U2207" s="10"/>
      <c r="V2207" s="10"/>
    </row>
    <row r="2208" ht="22.5" customHeight="1">
      <c r="A2208" s="5">
        <v>2.05071722261E11</v>
      </c>
      <c r="B2208" s="5" t="s">
        <v>2041</v>
      </c>
      <c r="C2208" s="5">
        <v>51949306112</v>
      </c>
      <c r="D2208" s="5" t="s">
        <v>13</v>
      </c>
      <c r="E2208" s="5">
        <v>8.7547393E7</v>
      </c>
      <c r="F2208" s="5" t="s">
        <v>39</v>
      </c>
      <c r="G2208" s="5" t="s">
        <v>15</v>
      </c>
      <c r="H2208" s="5" t="s">
        <v>51</v>
      </c>
      <c r="I2208" s="6" t="s">
        <v>17</v>
      </c>
      <c r="J2208" s="7" t="s">
        <v>34</v>
      </c>
      <c r="K2208" s="7"/>
      <c r="L2208" s="8">
        <v>1.771945828558E12</v>
      </c>
      <c r="M2208" s="9"/>
      <c r="N2208" s="10"/>
      <c r="O2208" s="10"/>
      <c r="P2208" s="10"/>
      <c r="Q2208" s="10"/>
      <c r="R2208" s="10"/>
      <c r="S2208" s="10"/>
      <c r="T2208" s="10"/>
      <c r="U2208" s="10"/>
      <c r="V2208" s="10"/>
    </row>
    <row r="2209" ht="22.5" customHeight="1">
      <c r="A2209" s="5">
        <v>2.05053661253E11</v>
      </c>
      <c r="B2209" s="5" t="s">
        <v>2042</v>
      </c>
      <c r="C2209" s="5">
        <v>5527988222995</v>
      </c>
      <c r="D2209" s="5" t="s">
        <v>13</v>
      </c>
      <c r="E2209" s="5">
        <v>7.9360573E7</v>
      </c>
      <c r="F2209" s="5"/>
      <c r="G2209" s="5" t="s">
        <v>15</v>
      </c>
      <c r="H2209" s="5"/>
      <c r="I2209" s="6" t="s">
        <v>17</v>
      </c>
      <c r="J2209" s="7" t="s">
        <v>124</v>
      </c>
      <c r="K2209" s="7" t="s">
        <v>1256</v>
      </c>
      <c r="L2209" s="8">
        <v>1.771945881295E12</v>
      </c>
      <c r="M2209" s="9"/>
      <c r="N2209" s="10"/>
      <c r="O2209" s="10"/>
      <c r="P2209" s="10"/>
      <c r="Q2209" s="10"/>
      <c r="R2209" s="10"/>
      <c r="S2209" s="10"/>
      <c r="T2209" s="10"/>
      <c r="U2209" s="10"/>
      <c r="V2209" s="10"/>
    </row>
    <row r="2210" ht="22.5" customHeight="1">
      <c r="A2210" s="5">
        <v>2.05073148262E11</v>
      </c>
      <c r="B2210" s="5" t="s">
        <v>2043</v>
      </c>
      <c r="C2210" s="5">
        <v>51912173093</v>
      </c>
      <c r="D2210" s="5" t="s">
        <v>22</v>
      </c>
      <c r="E2210" s="5">
        <v>8.7547393E7</v>
      </c>
      <c r="F2210" s="5" t="s">
        <v>28</v>
      </c>
      <c r="G2210" s="5" t="s">
        <v>32</v>
      </c>
      <c r="H2210" s="5" t="s">
        <v>114</v>
      </c>
      <c r="I2210" s="6" t="s">
        <v>17</v>
      </c>
      <c r="J2210" s="7" t="s">
        <v>18</v>
      </c>
      <c r="K2210" s="7" t="s">
        <v>19</v>
      </c>
      <c r="L2210" s="8">
        <v>1.771947348939E12</v>
      </c>
      <c r="M2210" s="9"/>
      <c r="N2210" s="10"/>
      <c r="O2210" s="10"/>
      <c r="P2210" s="10"/>
      <c r="Q2210" s="10"/>
      <c r="R2210" s="10"/>
      <c r="S2210" s="10"/>
      <c r="T2210" s="10"/>
      <c r="U2210" s="10"/>
      <c r="V2210" s="10"/>
    </row>
    <row r="2211" ht="22.5" customHeight="1">
      <c r="A2211" s="5">
        <v>2.05076204192E11</v>
      </c>
      <c r="B2211" s="5" t="s">
        <v>2044</v>
      </c>
      <c r="C2211" s="5">
        <v>51972294821</v>
      </c>
      <c r="D2211" s="5" t="s">
        <v>38</v>
      </c>
      <c r="E2211" s="5">
        <v>8.0566583E7</v>
      </c>
      <c r="F2211" s="5"/>
      <c r="G2211" s="5"/>
      <c r="H2211" s="5"/>
      <c r="I2211" s="6"/>
      <c r="J2211" s="7" t="s">
        <v>18</v>
      </c>
      <c r="K2211" s="7" t="s">
        <v>19</v>
      </c>
      <c r="L2211" s="8">
        <v>1.771948527228E12</v>
      </c>
      <c r="M2211" s="9"/>
      <c r="N2211" s="10"/>
      <c r="O2211" s="10"/>
      <c r="P2211" s="10"/>
      <c r="Q2211" s="10"/>
      <c r="R2211" s="10"/>
      <c r="S2211" s="10"/>
      <c r="T2211" s="10"/>
      <c r="U2211" s="10"/>
      <c r="V2211" s="10"/>
    </row>
    <row r="2212" ht="22.5" customHeight="1">
      <c r="A2212" s="5">
        <v>2.05082173563E11</v>
      </c>
      <c r="B2212" s="5" t="s">
        <v>2045</v>
      </c>
      <c r="C2212" s="5">
        <v>51921673204</v>
      </c>
      <c r="D2212" s="5" t="s">
        <v>22</v>
      </c>
      <c r="E2212" s="5">
        <v>8.7547393E7</v>
      </c>
      <c r="F2212" s="5" t="s">
        <v>28</v>
      </c>
      <c r="G2212" s="5" t="s">
        <v>44</v>
      </c>
      <c r="H2212" s="5" t="s">
        <v>24</v>
      </c>
      <c r="I2212" s="6" t="s">
        <v>17</v>
      </c>
      <c r="J2212" s="7" t="s">
        <v>34</v>
      </c>
      <c r="K2212" s="7"/>
      <c r="L2212" s="8">
        <v>1.771949629326E12</v>
      </c>
      <c r="M2212" s="9"/>
      <c r="N2212" s="10"/>
      <c r="O2212" s="10"/>
      <c r="P2212" s="10"/>
      <c r="Q2212" s="10"/>
      <c r="R2212" s="10"/>
      <c r="S2212" s="10"/>
      <c r="T2212" s="10"/>
      <c r="U2212" s="10"/>
      <c r="V2212" s="10"/>
    </row>
    <row r="2213" ht="22.5" customHeight="1">
      <c r="A2213" s="5">
        <v>2.05084906534E11</v>
      </c>
      <c r="B2213" s="5" t="s">
        <v>2046</v>
      </c>
      <c r="C2213" s="5">
        <v>51902273852</v>
      </c>
      <c r="D2213" s="5" t="s">
        <v>13</v>
      </c>
      <c r="E2213" s="5">
        <v>8.7547393E7</v>
      </c>
      <c r="F2213" s="5" t="s">
        <v>28</v>
      </c>
      <c r="G2213" s="5" t="s">
        <v>15</v>
      </c>
      <c r="H2213" s="5" t="s">
        <v>51</v>
      </c>
      <c r="I2213" s="6" t="s">
        <v>17</v>
      </c>
      <c r="J2213" s="7" t="s">
        <v>25</v>
      </c>
      <c r="K2213" s="7" t="s">
        <v>26</v>
      </c>
      <c r="L2213" s="8">
        <v>1.771953394795E12</v>
      </c>
      <c r="M2213" s="9"/>
      <c r="N2213" s="10"/>
      <c r="O2213" s="10"/>
      <c r="P2213" s="10"/>
      <c r="Q2213" s="10"/>
      <c r="R2213" s="10"/>
      <c r="S2213" s="10"/>
      <c r="T2213" s="10"/>
      <c r="U2213" s="10"/>
      <c r="V2213" s="10"/>
    </row>
    <row r="2214" ht="22.5" customHeight="1">
      <c r="A2214" s="5">
        <v>2.05089601408E11</v>
      </c>
      <c r="B2214" s="5" t="s">
        <v>2047</v>
      </c>
      <c r="C2214" s="5">
        <v>51965219059</v>
      </c>
      <c r="D2214" s="5" t="s">
        <v>13</v>
      </c>
      <c r="E2214" s="5">
        <v>8.0566583E7</v>
      </c>
      <c r="F2214" s="5" t="s">
        <v>14</v>
      </c>
      <c r="G2214" s="5" t="s">
        <v>15</v>
      </c>
      <c r="H2214" s="5" t="s">
        <v>33</v>
      </c>
      <c r="I2214" s="6" t="s">
        <v>17</v>
      </c>
      <c r="J2214" s="7" t="s">
        <v>25</v>
      </c>
      <c r="K2214" s="7" t="s">
        <v>501</v>
      </c>
      <c r="L2214" s="8">
        <v>1.771954222174E12</v>
      </c>
      <c r="M2214" s="9"/>
      <c r="N2214" s="10"/>
      <c r="O2214" s="10"/>
      <c r="P2214" s="10"/>
      <c r="Q2214" s="10"/>
      <c r="R2214" s="10"/>
      <c r="S2214" s="10"/>
      <c r="T2214" s="10"/>
      <c r="U2214" s="10"/>
      <c r="V2214" s="10"/>
    </row>
    <row r="2215" ht="22.5" customHeight="1">
      <c r="A2215" s="5">
        <v>2.050885382E11</v>
      </c>
      <c r="B2215" s="5" t="s">
        <v>2048</v>
      </c>
      <c r="C2215" s="5">
        <v>5592985964565</v>
      </c>
      <c r="D2215" s="5" t="s">
        <v>13</v>
      </c>
      <c r="E2215" s="5">
        <v>7.9360573E7</v>
      </c>
      <c r="F2215" s="5" t="s">
        <v>714</v>
      </c>
      <c r="G2215" s="5" t="s">
        <v>44</v>
      </c>
      <c r="H2215" s="5" t="s">
        <v>33</v>
      </c>
      <c r="I2215" s="6" t="s">
        <v>17</v>
      </c>
      <c r="J2215" s="7" t="s">
        <v>34</v>
      </c>
      <c r="K2215" s="7"/>
      <c r="L2215" s="8">
        <v>1.771954358E12</v>
      </c>
      <c r="M2215" s="9"/>
      <c r="N2215" s="10"/>
      <c r="O2215" s="10"/>
      <c r="P2215" s="10"/>
      <c r="Q2215" s="10"/>
      <c r="R2215" s="10"/>
      <c r="S2215" s="10"/>
      <c r="T2215" s="10"/>
      <c r="U2215" s="10"/>
      <c r="V2215" s="10"/>
    </row>
    <row r="2216" ht="22.5" customHeight="1">
      <c r="A2216" s="5">
        <v>2.02975662927E11</v>
      </c>
      <c r="B2216" s="5" t="s">
        <v>2049</v>
      </c>
      <c r="C2216" s="5">
        <v>5575981281812</v>
      </c>
      <c r="D2216" s="5" t="s">
        <v>22</v>
      </c>
      <c r="E2216" s="5">
        <v>7.9360573E7</v>
      </c>
      <c r="F2216" s="5" t="s">
        <v>39</v>
      </c>
      <c r="G2216" s="5">
        <v>50</v>
      </c>
      <c r="H2216" s="5" t="s">
        <v>55</v>
      </c>
      <c r="I2216" s="6" t="s">
        <v>17</v>
      </c>
      <c r="J2216" s="7" t="s">
        <v>34</v>
      </c>
      <c r="K2216" s="7"/>
      <c r="L2216" s="8">
        <v>1.771955387049E12</v>
      </c>
      <c r="M2216" s="9"/>
      <c r="N2216" s="10"/>
      <c r="O2216" s="10"/>
      <c r="P2216" s="10"/>
      <c r="Q2216" s="10"/>
      <c r="R2216" s="10"/>
      <c r="S2216" s="10"/>
      <c r="T2216" s="10"/>
      <c r="U2216" s="10"/>
      <c r="V2216" s="10"/>
    </row>
    <row r="2217" ht="22.5" customHeight="1">
      <c r="A2217" s="5">
        <v>1.72366420842E11</v>
      </c>
      <c r="B2217" s="5" t="s">
        <v>2050</v>
      </c>
      <c r="C2217" s="5">
        <v>51908844828</v>
      </c>
      <c r="D2217" s="5" t="s">
        <v>13</v>
      </c>
      <c r="E2217" s="5">
        <v>8.0566583E7</v>
      </c>
      <c r="F2217" s="5" t="s">
        <v>28</v>
      </c>
      <c r="G2217" s="5" t="s">
        <v>15</v>
      </c>
      <c r="H2217" s="5" t="s">
        <v>24</v>
      </c>
      <c r="I2217" s="6"/>
      <c r="J2217" s="7" t="s">
        <v>34</v>
      </c>
      <c r="K2217" s="7"/>
      <c r="L2217" s="8">
        <v>1.771955557991E12</v>
      </c>
      <c r="M2217" s="9"/>
      <c r="N2217" s="10"/>
      <c r="O2217" s="10"/>
      <c r="P2217" s="10"/>
      <c r="Q2217" s="10"/>
      <c r="R2217" s="10"/>
      <c r="S2217" s="10"/>
      <c r="T2217" s="10"/>
      <c r="U2217" s="10"/>
      <c r="V2217" s="10"/>
    </row>
    <row r="2218" ht="22.5" customHeight="1">
      <c r="A2218" s="5">
        <v>2.05110319385E11</v>
      </c>
      <c r="B2218" s="5" t="s">
        <v>2051</v>
      </c>
      <c r="C2218" s="5">
        <v>5531975050665</v>
      </c>
      <c r="D2218" s="5" t="s">
        <v>13</v>
      </c>
      <c r="E2218" s="5">
        <v>7.9360573E7</v>
      </c>
      <c r="F2218" s="5" t="s">
        <v>259</v>
      </c>
      <c r="G2218" s="5" t="s">
        <v>15</v>
      </c>
      <c r="H2218" s="5" t="s">
        <v>51</v>
      </c>
      <c r="I2218" s="6" t="s">
        <v>17</v>
      </c>
      <c r="J2218" s="7" t="s">
        <v>34</v>
      </c>
      <c r="K2218" s="7"/>
      <c r="L2218" s="8">
        <v>1.771955796325E12</v>
      </c>
      <c r="M2218" s="9"/>
      <c r="N2218" s="10"/>
      <c r="O2218" s="10"/>
      <c r="P2218" s="10"/>
      <c r="Q2218" s="10"/>
      <c r="R2218" s="10"/>
      <c r="S2218" s="10"/>
      <c r="T2218" s="10"/>
      <c r="U2218" s="10"/>
      <c r="V2218" s="10"/>
    </row>
    <row r="2219" ht="22.5" customHeight="1">
      <c r="A2219" s="5">
        <v>2.05092220566E11</v>
      </c>
      <c r="B2219" s="5" t="s">
        <v>2052</v>
      </c>
      <c r="C2219" s="5">
        <v>51983598929</v>
      </c>
      <c r="D2219" s="5" t="s">
        <v>13</v>
      </c>
      <c r="E2219" s="5">
        <v>8.0566583E7</v>
      </c>
      <c r="F2219" s="5" t="s">
        <v>93</v>
      </c>
      <c r="G2219" s="5" t="s">
        <v>15</v>
      </c>
      <c r="H2219" s="5" t="s">
        <v>51</v>
      </c>
      <c r="I2219" s="6" t="s">
        <v>17</v>
      </c>
      <c r="J2219" s="7" t="s">
        <v>34</v>
      </c>
      <c r="K2219" s="7"/>
      <c r="L2219" s="8">
        <v>1.771956007716E12</v>
      </c>
      <c r="M2219" s="9"/>
      <c r="N2219" s="10"/>
      <c r="O2219" s="10"/>
      <c r="P2219" s="10"/>
      <c r="Q2219" s="10"/>
      <c r="R2219" s="10"/>
      <c r="S2219" s="10"/>
      <c r="T2219" s="10"/>
      <c r="U2219" s="10"/>
      <c r="V2219" s="10"/>
    </row>
    <row r="2220" ht="22.5" customHeight="1">
      <c r="A2220" s="5">
        <v>2.0509285183E11</v>
      </c>
      <c r="B2220" s="5" t="s">
        <v>2053</v>
      </c>
      <c r="C2220" s="5">
        <v>51933905566</v>
      </c>
      <c r="D2220" s="5" t="s">
        <v>13</v>
      </c>
      <c r="E2220" s="5"/>
      <c r="F2220" s="5" t="s">
        <v>39</v>
      </c>
      <c r="G2220" s="5" t="s">
        <v>79</v>
      </c>
      <c r="H2220" s="5" t="s">
        <v>80</v>
      </c>
      <c r="I2220" s="6" t="s">
        <v>17</v>
      </c>
      <c r="J2220" s="7" t="s">
        <v>34</v>
      </c>
      <c r="K2220" s="7"/>
      <c r="L2220" s="8">
        <v>1.771956304436E12</v>
      </c>
      <c r="M2220" s="9"/>
      <c r="N2220" s="10"/>
      <c r="O2220" s="10"/>
      <c r="P2220" s="10"/>
      <c r="Q2220" s="10"/>
      <c r="R2220" s="10"/>
      <c r="S2220" s="10"/>
      <c r="T2220" s="10"/>
      <c r="U2220" s="10"/>
      <c r="V2220" s="10"/>
    </row>
    <row r="2221" ht="22.5" customHeight="1">
      <c r="A2221" s="5">
        <v>2.05112906818E11</v>
      </c>
      <c r="B2221" s="5" t="s">
        <v>2054</v>
      </c>
      <c r="C2221" s="5">
        <v>51910954227</v>
      </c>
      <c r="D2221" s="5" t="s">
        <v>13</v>
      </c>
      <c r="E2221" s="5">
        <v>8.0566583E7</v>
      </c>
      <c r="F2221" s="5" t="s">
        <v>39</v>
      </c>
      <c r="G2221" s="5" t="s">
        <v>15</v>
      </c>
      <c r="H2221" s="5" t="s">
        <v>51</v>
      </c>
      <c r="I2221" s="6" t="s">
        <v>17</v>
      </c>
      <c r="J2221" s="7" t="s">
        <v>18</v>
      </c>
      <c r="K2221" s="7" t="s">
        <v>19</v>
      </c>
      <c r="L2221" s="8">
        <v>1.771956767255E12</v>
      </c>
      <c r="M2221" s="9"/>
      <c r="N2221" s="10"/>
      <c r="O2221" s="10"/>
      <c r="P2221" s="10"/>
      <c r="Q2221" s="10"/>
      <c r="R2221" s="10"/>
      <c r="S2221" s="10"/>
      <c r="T2221" s="10"/>
      <c r="U2221" s="10"/>
      <c r="V2221" s="10"/>
    </row>
    <row r="2222" ht="22.5" customHeight="1">
      <c r="A2222" s="5">
        <v>2.0511407412E11</v>
      </c>
      <c r="B2222" s="5" t="s">
        <v>2055</v>
      </c>
      <c r="C2222" s="5">
        <v>51945444480</v>
      </c>
      <c r="D2222" s="5" t="s">
        <v>13</v>
      </c>
      <c r="E2222" s="5">
        <v>8.7547393E7</v>
      </c>
      <c r="F2222" s="5" t="s">
        <v>65</v>
      </c>
      <c r="G2222" s="5" t="s">
        <v>15</v>
      </c>
      <c r="H2222" s="5" t="s">
        <v>16</v>
      </c>
      <c r="I2222" s="6" t="s">
        <v>17</v>
      </c>
      <c r="J2222" s="7" t="s">
        <v>34</v>
      </c>
      <c r="K2222" s="7"/>
      <c r="L2222" s="8">
        <v>1.771957846553E12</v>
      </c>
      <c r="M2222" s="9"/>
      <c r="N2222" s="10"/>
      <c r="O2222" s="10"/>
      <c r="P2222" s="10"/>
      <c r="Q2222" s="10"/>
      <c r="R2222" s="10"/>
      <c r="S2222" s="10"/>
      <c r="T2222" s="10"/>
      <c r="U2222" s="10"/>
      <c r="V2222" s="10"/>
    </row>
    <row r="2223" ht="22.5" customHeight="1">
      <c r="A2223" s="5">
        <v>2.0511909741E11</v>
      </c>
      <c r="B2223" s="5" t="s">
        <v>2056</v>
      </c>
      <c r="C2223" s="5">
        <v>5565992007144</v>
      </c>
      <c r="D2223" s="5" t="s">
        <v>13</v>
      </c>
      <c r="E2223" s="5">
        <v>8.7547393E7</v>
      </c>
      <c r="F2223" s="5" t="s">
        <v>259</v>
      </c>
      <c r="G2223" s="5" t="s">
        <v>15</v>
      </c>
      <c r="H2223" s="5" t="s">
        <v>66</v>
      </c>
      <c r="I2223" s="6" t="s">
        <v>17</v>
      </c>
      <c r="J2223" s="7" t="s">
        <v>34</v>
      </c>
      <c r="K2223" s="7"/>
      <c r="L2223" s="8">
        <v>1.77195860843E12</v>
      </c>
      <c r="M2223" s="9"/>
      <c r="N2223" s="10"/>
      <c r="O2223" s="10"/>
      <c r="P2223" s="10"/>
      <c r="Q2223" s="10"/>
      <c r="R2223" s="10"/>
      <c r="S2223" s="10"/>
      <c r="T2223" s="10"/>
      <c r="U2223" s="10"/>
      <c r="V2223" s="10"/>
    </row>
    <row r="2224" ht="22.5" customHeight="1">
      <c r="A2224" s="5">
        <v>2.05121627758E11</v>
      </c>
      <c r="B2224" s="5" t="s">
        <v>2057</v>
      </c>
      <c r="C2224" s="5">
        <v>51998814171</v>
      </c>
      <c r="D2224" s="5" t="s">
        <v>13</v>
      </c>
      <c r="E2224" s="5">
        <v>8.0566583E7</v>
      </c>
      <c r="F2224" s="5" t="s">
        <v>714</v>
      </c>
      <c r="G2224" s="5" t="s">
        <v>15</v>
      </c>
      <c r="H2224" s="5" t="s">
        <v>66</v>
      </c>
      <c r="I2224" s="6" t="s">
        <v>36</v>
      </c>
      <c r="J2224" s="7" t="s">
        <v>124</v>
      </c>
      <c r="K2224" s="7" t="s">
        <v>2058</v>
      </c>
      <c r="L2224" s="8">
        <v>1.771960958776E12</v>
      </c>
      <c r="M2224" s="9"/>
      <c r="N2224" s="10"/>
      <c r="O2224" s="10"/>
      <c r="P2224" s="10"/>
      <c r="Q2224" s="10"/>
      <c r="R2224" s="10"/>
      <c r="S2224" s="10"/>
      <c r="T2224" s="10"/>
      <c r="U2224" s="10"/>
      <c r="V2224" s="10"/>
    </row>
    <row r="2225" ht="22.5" customHeight="1">
      <c r="A2225" s="5">
        <v>2.05145172293E11</v>
      </c>
      <c r="B2225" s="5" t="s">
        <v>2059</v>
      </c>
      <c r="C2225" s="5">
        <v>51972797486</v>
      </c>
      <c r="D2225" s="5" t="s">
        <v>13</v>
      </c>
      <c r="E2225" s="5">
        <v>8.0566583E7</v>
      </c>
      <c r="F2225" s="5" t="s">
        <v>14</v>
      </c>
      <c r="G2225" s="5" t="s">
        <v>32</v>
      </c>
      <c r="H2225" s="5" t="s">
        <v>24</v>
      </c>
      <c r="I2225" s="6" t="s">
        <v>36</v>
      </c>
      <c r="J2225" s="7" t="s">
        <v>25</v>
      </c>
      <c r="K2225" s="7" t="s">
        <v>26</v>
      </c>
      <c r="L2225" s="8">
        <v>1.771963481165E12</v>
      </c>
      <c r="M2225" s="9"/>
      <c r="N2225" s="10"/>
      <c r="O2225" s="10"/>
      <c r="P2225" s="10"/>
      <c r="Q2225" s="10"/>
      <c r="R2225" s="10"/>
      <c r="S2225" s="10"/>
      <c r="T2225" s="10"/>
      <c r="U2225" s="10"/>
      <c r="V2225" s="10"/>
    </row>
    <row r="2226" ht="22.5" customHeight="1">
      <c r="A2226" s="5">
        <v>2.05124416679E11</v>
      </c>
      <c r="B2226" s="5" t="s">
        <v>2060</v>
      </c>
      <c r="C2226" s="5">
        <v>5581998765049</v>
      </c>
      <c r="D2226" s="5" t="s">
        <v>13</v>
      </c>
      <c r="E2226" s="5">
        <v>7.9360573E7</v>
      </c>
      <c r="F2226" s="5" t="s">
        <v>39</v>
      </c>
      <c r="G2226" s="5" t="s">
        <v>15</v>
      </c>
      <c r="H2226" s="5" t="s">
        <v>114</v>
      </c>
      <c r="I2226" s="6" t="s">
        <v>17</v>
      </c>
      <c r="J2226" s="7" t="s">
        <v>124</v>
      </c>
      <c r="K2226" s="7" t="s">
        <v>125</v>
      </c>
      <c r="L2226" s="8">
        <v>1.771964589937E12</v>
      </c>
      <c r="M2226" s="9"/>
      <c r="N2226" s="10"/>
      <c r="O2226" s="10"/>
      <c r="P2226" s="10"/>
      <c r="Q2226" s="10"/>
      <c r="R2226" s="10"/>
      <c r="S2226" s="10"/>
      <c r="T2226" s="10"/>
      <c r="U2226" s="10"/>
      <c r="V2226" s="10"/>
    </row>
    <row r="2227" ht="22.5" customHeight="1">
      <c r="A2227" s="5">
        <v>2.05064190023E11</v>
      </c>
      <c r="B2227" s="5" t="s">
        <v>2040</v>
      </c>
      <c r="C2227" s="5">
        <v>5511988798345</v>
      </c>
      <c r="D2227" s="5" t="s">
        <v>13</v>
      </c>
      <c r="E2227" s="5">
        <v>7.9360573E7</v>
      </c>
      <c r="F2227" s="5"/>
      <c r="G2227" s="5"/>
      <c r="H2227" s="5" t="s">
        <v>29</v>
      </c>
      <c r="I2227" s="6" t="s">
        <v>148</v>
      </c>
      <c r="J2227" s="7" t="s">
        <v>34</v>
      </c>
      <c r="K2227" s="7"/>
      <c r="L2227" s="8">
        <v>1.771964727549E12</v>
      </c>
      <c r="M2227" s="9"/>
      <c r="N2227" s="10"/>
      <c r="O2227" s="10"/>
      <c r="P2227" s="10"/>
      <c r="Q2227" s="10"/>
      <c r="R2227" s="10"/>
      <c r="S2227" s="10"/>
      <c r="T2227" s="10"/>
      <c r="U2227" s="10"/>
      <c r="V2227" s="10"/>
    </row>
    <row r="2228" ht="22.5" customHeight="1">
      <c r="A2228" s="5">
        <v>2.04934486372E11</v>
      </c>
      <c r="B2228" s="5" t="s">
        <v>2061</v>
      </c>
      <c r="C2228" s="5">
        <v>51930528923</v>
      </c>
      <c r="D2228" s="5" t="s">
        <v>13</v>
      </c>
      <c r="E2228" s="5">
        <v>8.7547393E7</v>
      </c>
      <c r="F2228" s="5" t="s">
        <v>93</v>
      </c>
      <c r="G2228" s="5" t="s">
        <v>15</v>
      </c>
      <c r="H2228" s="5" t="s">
        <v>66</v>
      </c>
      <c r="I2228" s="6" t="s">
        <v>36</v>
      </c>
      <c r="J2228" s="7" t="s">
        <v>25</v>
      </c>
      <c r="K2228" s="7"/>
      <c r="L2228" s="8">
        <v>1.77196483654E12</v>
      </c>
      <c r="M2228" s="9"/>
      <c r="N2228" s="10"/>
      <c r="O2228" s="10"/>
      <c r="P2228" s="10"/>
      <c r="Q2228" s="10"/>
      <c r="R2228" s="10"/>
      <c r="S2228" s="10"/>
      <c r="T2228" s="10"/>
      <c r="U2228" s="10"/>
      <c r="V2228" s="10"/>
    </row>
    <row r="2229" ht="22.5" customHeight="1">
      <c r="A2229" s="5">
        <v>2.05130089143E11</v>
      </c>
      <c r="B2229" s="5" t="s">
        <v>2062</v>
      </c>
      <c r="C2229" s="5">
        <v>51968205413</v>
      </c>
      <c r="D2229" s="5" t="s">
        <v>13</v>
      </c>
      <c r="E2229" s="5">
        <v>8.7547393E7</v>
      </c>
      <c r="F2229" s="5"/>
      <c r="G2229" s="5" t="s">
        <v>15</v>
      </c>
      <c r="H2229" s="5" t="s">
        <v>112</v>
      </c>
      <c r="I2229" s="6" t="s">
        <v>17</v>
      </c>
      <c r="J2229" s="7" t="s">
        <v>18</v>
      </c>
      <c r="K2229" s="7" t="s">
        <v>19</v>
      </c>
      <c r="L2229" s="8">
        <v>1.771965847585E12</v>
      </c>
      <c r="M2229" s="9"/>
      <c r="N2229" s="10"/>
      <c r="O2229" s="10"/>
      <c r="P2229" s="10"/>
      <c r="Q2229" s="10"/>
      <c r="R2229" s="10"/>
      <c r="S2229" s="10"/>
      <c r="T2229" s="10"/>
      <c r="U2229" s="10"/>
      <c r="V2229" s="10"/>
    </row>
    <row r="2230" ht="22.5" customHeight="1">
      <c r="A2230" s="5">
        <v>2.05145970476E11</v>
      </c>
      <c r="B2230" s="5" t="s">
        <v>2063</v>
      </c>
      <c r="C2230" s="5">
        <v>18503002167</v>
      </c>
      <c r="D2230" s="5" t="s">
        <v>13</v>
      </c>
      <c r="E2230" s="5">
        <v>8.7547393E7</v>
      </c>
      <c r="F2230" s="5" t="s">
        <v>510</v>
      </c>
      <c r="G2230" s="5" t="s">
        <v>15</v>
      </c>
      <c r="H2230" s="5" t="s">
        <v>24</v>
      </c>
      <c r="I2230" s="6" t="s">
        <v>49</v>
      </c>
      <c r="J2230" s="7" t="s">
        <v>34</v>
      </c>
      <c r="K2230" s="7"/>
      <c r="L2230" s="8">
        <v>1.77196615101E12</v>
      </c>
      <c r="M2230" s="9"/>
      <c r="N2230" s="10"/>
      <c r="O2230" s="10"/>
      <c r="P2230" s="10"/>
      <c r="Q2230" s="10"/>
      <c r="R2230" s="10"/>
      <c r="S2230" s="10"/>
      <c r="T2230" s="10"/>
      <c r="U2230" s="10"/>
      <c r="V2230" s="10"/>
    </row>
    <row r="2231" ht="22.5" customHeight="1">
      <c r="A2231" s="5">
        <v>2.05130089143E11</v>
      </c>
      <c r="B2231" s="5" t="s">
        <v>2062</v>
      </c>
      <c r="C2231" s="5">
        <v>51968205413</v>
      </c>
      <c r="D2231" s="5" t="s">
        <v>13</v>
      </c>
      <c r="E2231" s="5">
        <v>8.7547393E7</v>
      </c>
      <c r="F2231" s="5"/>
      <c r="G2231" s="5" t="s">
        <v>15</v>
      </c>
      <c r="H2231" s="5" t="s">
        <v>112</v>
      </c>
      <c r="I2231" s="6" t="s">
        <v>17</v>
      </c>
      <c r="J2231" s="7" t="s">
        <v>18</v>
      </c>
      <c r="K2231" s="7" t="s">
        <v>19</v>
      </c>
      <c r="L2231" s="8">
        <v>1.771966380046E12</v>
      </c>
      <c r="M2231" s="9"/>
      <c r="N2231" s="10"/>
      <c r="O2231" s="10"/>
      <c r="P2231" s="10"/>
      <c r="Q2231" s="10"/>
      <c r="R2231" s="10"/>
      <c r="S2231" s="10"/>
      <c r="T2231" s="10"/>
      <c r="U2231" s="10"/>
      <c r="V2231" s="10"/>
    </row>
    <row r="2232" ht="22.5" customHeight="1">
      <c r="A2232" s="5">
        <v>1.55114065306E11</v>
      </c>
      <c r="B2232" s="5" t="s">
        <v>2064</v>
      </c>
      <c r="C2232" s="5">
        <v>51934422863</v>
      </c>
      <c r="D2232" s="5" t="s">
        <v>38</v>
      </c>
      <c r="E2232" s="5"/>
      <c r="F2232" s="5" t="s">
        <v>65</v>
      </c>
      <c r="G2232" s="5" t="s">
        <v>44</v>
      </c>
      <c r="H2232" s="5" t="s">
        <v>29</v>
      </c>
      <c r="I2232" s="6" t="s">
        <v>17</v>
      </c>
      <c r="J2232" s="7" t="s">
        <v>18</v>
      </c>
      <c r="K2232" s="7" t="s">
        <v>116</v>
      </c>
      <c r="L2232" s="8">
        <v>1.77196658038E12</v>
      </c>
      <c r="M2232" s="9"/>
      <c r="N2232" s="10"/>
      <c r="O2232" s="10"/>
      <c r="P2232" s="10"/>
      <c r="Q2232" s="10"/>
      <c r="R2232" s="10"/>
      <c r="S2232" s="10"/>
      <c r="T2232" s="10"/>
      <c r="U2232" s="10"/>
      <c r="V2232" s="10"/>
    </row>
    <row r="2233" ht="22.5" customHeight="1">
      <c r="A2233" s="5">
        <v>2.05134936709E11</v>
      </c>
      <c r="B2233" s="5" t="s">
        <v>2065</v>
      </c>
      <c r="C2233" s="5">
        <v>5548984827510</v>
      </c>
      <c r="D2233" s="5" t="s">
        <v>13</v>
      </c>
      <c r="E2233" s="5">
        <v>7.9360573E7</v>
      </c>
      <c r="F2233" s="5" t="s">
        <v>93</v>
      </c>
      <c r="G2233" s="5" t="s">
        <v>15</v>
      </c>
      <c r="H2233" s="5" t="s">
        <v>66</v>
      </c>
      <c r="I2233" s="6" t="s">
        <v>36</v>
      </c>
      <c r="J2233" s="7" t="s">
        <v>124</v>
      </c>
      <c r="K2233" s="7" t="s">
        <v>1256</v>
      </c>
      <c r="L2233" s="8">
        <v>1.771968196087E12</v>
      </c>
      <c r="M2233" s="9"/>
      <c r="N2233" s="10"/>
      <c r="O2233" s="10"/>
      <c r="P2233" s="10"/>
      <c r="Q2233" s="10"/>
      <c r="R2233" s="10"/>
      <c r="S2233" s="10"/>
      <c r="T2233" s="10"/>
      <c r="U2233" s="10"/>
      <c r="V2233" s="10"/>
    </row>
    <row r="2234" ht="22.5" customHeight="1">
      <c r="A2234" s="5">
        <v>2.05134471291E11</v>
      </c>
      <c r="B2234" s="5" t="s">
        <v>2066</v>
      </c>
      <c r="C2234" s="5">
        <v>51966028813</v>
      </c>
      <c r="D2234" s="5" t="s">
        <v>13</v>
      </c>
      <c r="E2234" s="5">
        <v>8.0566583E7</v>
      </c>
      <c r="F2234" s="5" t="s">
        <v>39</v>
      </c>
      <c r="G2234" s="5" t="s">
        <v>15</v>
      </c>
      <c r="H2234" s="5" t="s">
        <v>51</v>
      </c>
      <c r="I2234" s="6" t="s">
        <v>49</v>
      </c>
      <c r="J2234" s="7" t="s">
        <v>18</v>
      </c>
      <c r="K2234" s="7" t="s">
        <v>19</v>
      </c>
      <c r="L2234" s="8">
        <v>1.771969226703E12</v>
      </c>
      <c r="M2234" s="9"/>
      <c r="N2234" s="10"/>
      <c r="O2234" s="10"/>
      <c r="P2234" s="10"/>
      <c r="Q2234" s="10"/>
      <c r="R2234" s="10"/>
      <c r="S2234" s="10"/>
      <c r="T2234" s="10"/>
      <c r="U2234" s="10"/>
      <c r="V2234" s="10"/>
    </row>
    <row r="2235" ht="22.5" customHeight="1">
      <c r="A2235" s="5">
        <v>2.05156774456E11</v>
      </c>
      <c r="B2235" s="5" t="s">
        <v>2067</v>
      </c>
      <c r="C2235" s="5">
        <v>5517996104492</v>
      </c>
      <c r="D2235" s="5" t="s">
        <v>13</v>
      </c>
      <c r="E2235" s="5">
        <v>7.9360573E7</v>
      </c>
      <c r="F2235" s="5" t="s">
        <v>65</v>
      </c>
      <c r="G2235" s="5" t="s">
        <v>15</v>
      </c>
      <c r="H2235" s="5" t="s">
        <v>24</v>
      </c>
      <c r="I2235" s="6" t="s">
        <v>17</v>
      </c>
      <c r="J2235" s="7" t="s">
        <v>34</v>
      </c>
      <c r="K2235" s="7"/>
      <c r="L2235" s="8">
        <v>1.77197005972E12</v>
      </c>
      <c r="M2235" s="9"/>
      <c r="N2235" s="10"/>
      <c r="O2235" s="10"/>
      <c r="P2235" s="10"/>
      <c r="Q2235" s="10"/>
      <c r="R2235" s="10"/>
      <c r="S2235" s="10"/>
      <c r="T2235" s="10"/>
      <c r="U2235" s="10"/>
      <c r="V2235" s="10"/>
    </row>
    <row r="2236" ht="22.5" customHeight="1">
      <c r="A2236" s="5">
        <v>2.05135428271E11</v>
      </c>
      <c r="B2236" s="5" t="s">
        <v>2068</v>
      </c>
      <c r="C2236" s="5">
        <v>5568999428923</v>
      </c>
      <c r="D2236" s="5" t="s">
        <v>13</v>
      </c>
      <c r="E2236" s="5">
        <v>7.9360573E7</v>
      </c>
      <c r="F2236" s="5" t="s">
        <v>65</v>
      </c>
      <c r="G2236" s="5" t="s">
        <v>15</v>
      </c>
      <c r="H2236" s="5" t="s">
        <v>16</v>
      </c>
      <c r="I2236" s="6" t="s">
        <v>36</v>
      </c>
      <c r="J2236" s="7" t="s">
        <v>124</v>
      </c>
      <c r="K2236" s="7" t="s">
        <v>1256</v>
      </c>
      <c r="L2236" s="8">
        <v>1.771970507119E12</v>
      </c>
      <c r="M2236" s="9"/>
      <c r="N2236" s="10"/>
      <c r="O2236" s="10"/>
      <c r="P2236" s="10"/>
      <c r="Q2236" s="10"/>
      <c r="R2236" s="10"/>
      <c r="S2236" s="10"/>
      <c r="T2236" s="10"/>
      <c r="U2236" s="10"/>
      <c r="V2236" s="10"/>
    </row>
    <row r="2237" ht="22.5" customHeight="1">
      <c r="A2237" s="5">
        <v>2.05157260544E11</v>
      </c>
      <c r="B2237" s="5" t="s">
        <v>2069</v>
      </c>
      <c r="C2237" s="5">
        <v>51955116856</v>
      </c>
      <c r="D2237" s="5" t="s">
        <v>38</v>
      </c>
      <c r="E2237" s="5">
        <v>8.0566583E7</v>
      </c>
      <c r="F2237" s="5" t="s">
        <v>28</v>
      </c>
      <c r="G2237" s="5" t="s">
        <v>44</v>
      </c>
      <c r="H2237" s="5" t="s">
        <v>69</v>
      </c>
      <c r="I2237" s="6" t="s">
        <v>17</v>
      </c>
      <c r="J2237" s="7" t="s">
        <v>18</v>
      </c>
      <c r="K2237" s="7" t="s">
        <v>19</v>
      </c>
      <c r="L2237" s="8">
        <v>1.771971517E12</v>
      </c>
      <c r="M2237" s="9"/>
      <c r="N2237" s="10"/>
      <c r="O2237" s="10"/>
      <c r="P2237" s="10"/>
      <c r="Q2237" s="10"/>
      <c r="R2237" s="10"/>
      <c r="S2237" s="10"/>
      <c r="T2237" s="10"/>
      <c r="U2237" s="10"/>
      <c r="V2237" s="10"/>
    </row>
    <row r="2238" ht="22.5" customHeight="1">
      <c r="A2238" s="5">
        <v>2.05161905841E11</v>
      </c>
      <c r="B2238" s="5" t="s">
        <v>2070</v>
      </c>
      <c r="C2238" s="5">
        <v>51925183655</v>
      </c>
      <c r="D2238" s="5" t="s">
        <v>38</v>
      </c>
      <c r="E2238" s="5">
        <v>8.0566583E7</v>
      </c>
      <c r="F2238" s="5" t="s">
        <v>259</v>
      </c>
      <c r="G2238" s="5" t="s">
        <v>15</v>
      </c>
      <c r="H2238" s="5" t="s">
        <v>24</v>
      </c>
      <c r="I2238" s="6" t="s">
        <v>17</v>
      </c>
      <c r="J2238" s="7" t="s">
        <v>18</v>
      </c>
      <c r="K2238" s="7" t="s">
        <v>19</v>
      </c>
      <c r="L2238" s="8">
        <v>1.77197217598E12</v>
      </c>
      <c r="M2238" s="9"/>
      <c r="N2238" s="10"/>
      <c r="O2238" s="10"/>
      <c r="P2238" s="10"/>
      <c r="Q2238" s="10"/>
      <c r="R2238" s="10"/>
      <c r="S2238" s="10"/>
      <c r="T2238" s="10"/>
      <c r="U2238" s="10"/>
      <c r="V2238" s="10"/>
    </row>
    <row r="2239" ht="22.5" customHeight="1">
      <c r="A2239" s="5">
        <v>2.05162839606E11</v>
      </c>
      <c r="B2239" s="5" t="s">
        <v>2071</v>
      </c>
      <c r="C2239" s="5">
        <v>5562999746415</v>
      </c>
      <c r="D2239" s="5" t="s">
        <v>13</v>
      </c>
      <c r="E2239" s="5">
        <v>7.9360573E7</v>
      </c>
      <c r="F2239" s="5" t="s">
        <v>714</v>
      </c>
      <c r="G2239" s="5" t="s">
        <v>32</v>
      </c>
      <c r="H2239" s="5" t="s">
        <v>24</v>
      </c>
      <c r="I2239" s="6" t="s">
        <v>17</v>
      </c>
      <c r="J2239" s="7" t="s">
        <v>124</v>
      </c>
      <c r="K2239" s="7" t="s">
        <v>1256</v>
      </c>
      <c r="L2239" s="8">
        <v>1.771972948342E12</v>
      </c>
      <c r="M2239" s="9"/>
      <c r="N2239" s="10"/>
      <c r="O2239" s="10"/>
      <c r="P2239" s="10"/>
      <c r="Q2239" s="10"/>
      <c r="R2239" s="10"/>
      <c r="S2239" s="10"/>
      <c r="T2239" s="10"/>
      <c r="U2239" s="10"/>
      <c r="V2239" s="10"/>
    </row>
    <row r="2240" ht="22.5" customHeight="1">
      <c r="A2240" s="5">
        <v>2.05165162316E11</v>
      </c>
      <c r="B2240" s="5" t="s">
        <v>2072</v>
      </c>
      <c r="C2240" s="5">
        <v>51903112761</v>
      </c>
      <c r="D2240" s="5" t="s">
        <v>13</v>
      </c>
      <c r="E2240" s="5">
        <v>8.7547393E7</v>
      </c>
      <c r="F2240" s="5" t="s">
        <v>65</v>
      </c>
      <c r="G2240" s="5" t="s">
        <v>15</v>
      </c>
      <c r="H2240" s="5" t="s">
        <v>51</v>
      </c>
      <c r="I2240" s="6" t="s">
        <v>17</v>
      </c>
      <c r="J2240" s="7" t="s">
        <v>18</v>
      </c>
      <c r="K2240" s="7" t="s">
        <v>19</v>
      </c>
      <c r="L2240" s="8">
        <v>1.771973940816E12</v>
      </c>
      <c r="M2240" s="9"/>
      <c r="N2240" s="10"/>
      <c r="O2240" s="10"/>
      <c r="P2240" s="10"/>
      <c r="Q2240" s="10"/>
      <c r="R2240" s="10"/>
      <c r="S2240" s="10"/>
      <c r="T2240" s="10"/>
      <c r="U2240" s="10"/>
      <c r="V2240" s="10"/>
    </row>
    <row r="2241" ht="22.5" customHeight="1">
      <c r="A2241" s="5">
        <v>1.18922188324E11</v>
      </c>
      <c r="B2241" s="5" t="s">
        <v>2073</v>
      </c>
      <c r="C2241" s="5">
        <v>5519992344069</v>
      </c>
      <c r="D2241" s="5" t="s">
        <v>13</v>
      </c>
      <c r="E2241" s="5">
        <v>7.9360573E7</v>
      </c>
      <c r="F2241" s="5" t="s">
        <v>510</v>
      </c>
      <c r="G2241" s="5" t="s">
        <v>32</v>
      </c>
      <c r="H2241" s="5" t="s">
        <v>2074</v>
      </c>
      <c r="I2241" s="6" t="s">
        <v>17</v>
      </c>
      <c r="J2241" s="7" t="s">
        <v>34</v>
      </c>
      <c r="K2241" s="7"/>
      <c r="L2241" s="8">
        <v>1.771975999945E12</v>
      </c>
      <c r="M2241" s="9"/>
      <c r="N2241" s="10"/>
      <c r="O2241" s="10"/>
      <c r="P2241" s="10"/>
      <c r="Q2241" s="10"/>
      <c r="R2241" s="10"/>
      <c r="S2241" s="10"/>
      <c r="T2241" s="10"/>
      <c r="U2241" s="10"/>
      <c r="V2241" s="10"/>
    </row>
    <row r="2242" ht="22.5" customHeight="1">
      <c r="A2242" s="5">
        <v>1.44009331038E11</v>
      </c>
      <c r="B2242" s="5" t="s">
        <v>2075</v>
      </c>
      <c r="C2242" s="5">
        <v>51959868047</v>
      </c>
      <c r="D2242" s="5" t="s">
        <v>13</v>
      </c>
      <c r="E2242" s="5">
        <v>8.7547393E7</v>
      </c>
      <c r="F2242" s="5" t="s">
        <v>259</v>
      </c>
      <c r="G2242" s="5" t="s">
        <v>15</v>
      </c>
      <c r="H2242" s="5" t="s">
        <v>16</v>
      </c>
      <c r="I2242" s="6" t="s">
        <v>17</v>
      </c>
      <c r="J2242" s="7" t="s">
        <v>18</v>
      </c>
      <c r="K2242" s="7" t="s">
        <v>116</v>
      </c>
      <c r="L2242" s="8">
        <v>1.771976928028E12</v>
      </c>
      <c r="M2242" s="9"/>
      <c r="N2242" s="10"/>
      <c r="O2242" s="10"/>
      <c r="P2242" s="10"/>
      <c r="Q2242" s="10"/>
      <c r="R2242" s="10"/>
      <c r="S2242" s="10"/>
      <c r="T2242" s="10"/>
      <c r="U2242" s="10"/>
      <c r="V2242" s="10"/>
    </row>
    <row r="2243" ht="22.5" customHeight="1">
      <c r="A2243" s="5">
        <v>2.05170500744E11</v>
      </c>
      <c r="B2243" s="5" t="s">
        <v>2076</v>
      </c>
      <c r="C2243" s="5">
        <v>573147725908</v>
      </c>
      <c r="D2243" s="5" t="s">
        <v>38</v>
      </c>
      <c r="E2243" s="5">
        <v>8.0566583E7</v>
      </c>
      <c r="F2243" s="5" t="s">
        <v>28</v>
      </c>
      <c r="G2243" s="5" t="s">
        <v>44</v>
      </c>
      <c r="H2243" s="5" t="s">
        <v>16</v>
      </c>
      <c r="I2243" s="6" t="s">
        <v>49</v>
      </c>
      <c r="J2243" s="7" t="s">
        <v>34</v>
      </c>
      <c r="K2243" s="7"/>
      <c r="L2243" s="8">
        <v>1.77197875376E12</v>
      </c>
      <c r="M2243" s="9"/>
      <c r="N2243" s="10"/>
      <c r="O2243" s="10"/>
      <c r="P2243" s="10"/>
      <c r="Q2243" s="10"/>
      <c r="R2243" s="10"/>
      <c r="S2243" s="10"/>
      <c r="T2243" s="10"/>
      <c r="U2243" s="10"/>
      <c r="V2243" s="10"/>
    </row>
    <row r="2244" ht="22.5" customHeight="1">
      <c r="A2244" s="5">
        <v>2.05173702762E11</v>
      </c>
      <c r="B2244" s="5" t="s">
        <v>2077</v>
      </c>
      <c r="C2244" s="5">
        <v>51940742962</v>
      </c>
      <c r="D2244" s="5" t="s">
        <v>13</v>
      </c>
      <c r="E2244" s="5">
        <v>8.0566583E7</v>
      </c>
      <c r="F2244" s="5" t="s">
        <v>259</v>
      </c>
      <c r="G2244" s="5" t="s">
        <v>15</v>
      </c>
      <c r="H2244" s="5" t="s">
        <v>114</v>
      </c>
      <c r="I2244" s="6" t="s">
        <v>17</v>
      </c>
      <c r="J2244" s="7" t="s">
        <v>18</v>
      </c>
      <c r="K2244" s="7" t="s">
        <v>19</v>
      </c>
      <c r="L2244" s="8">
        <v>1.77198022517E12</v>
      </c>
      <c r="M2244" s="9"/>
      <c r="N2244" s="10"/>
      <c r="O2244" s="10"/>
      <c r="P2244" s="10"/>
      <c r="Q2244" s="10"/>
      <c r="R2244" s="10"/>
      <c r="S2244" s="10"/>
      <c r="T2244" s="10"/>
      <c r="U2244" s="10"/>
      <c r="V2244" s="10"/>
    </row>
    <row r="2245" ht="22.5" customHeight="1">
      <c r="A2245" s="5">
        <v>2.05190188674E11</v>
      </c>
      <c r="B2245" s="5" t="s">
        <v>2078</v>
      </c>
      <c r="C2245" s="5">
        <v>51963408689</v>
      </c>
      <c r="D2245" s="5" t="s">
        <v>38</v>
      </c>
      <c r="E2245" s="5">
        <v>8.7547393E7</v>
      </c>
      <c r="F2245" s="5"/>
      <c r="G2245" s="5"/>
      <c r="H2245" s="5"/>
      <c r="I2245" s="6"/>
      <c r="J2245" s="7" t="s">
        <v>18</v>
      </c>
      <c r="K2245" s="7" t="s">
        <v>19</v>
      </c>
      <c r="L2245" s="8">
        <v>1.771980409709E12</v>
      </c>
      <c r="M2245" s="9"/>
      <c r="N2245" s="10"/>
      <c r="O2245" s="10"/>
      <c r="P2245" s="10"/>
      <c r="Q2245" s="10"/>
      <c r="R2245" s="10"/>
      <c r="S2245" s="10"/>
      <c r="T2245" s="10"/>
      <c r="U2245" s="10"/>
      <c r="V2245" s="10"/>
    </row>
    <row r="2246" ht="22.5" customHeight="1">
      <c r="A2246" s="5">
        <v>2.0517483015E11</v>
      </c>
      <c r="B2246" s="5" t="s">
        <v>2079</v>
      </c>
      <c r="C2246" s="5">
        <v>51940064165</v>
      </c>
      <c r="D2246" s="5" t="s">
        <v>13</v>
      </c>
      <c r="E2246" s="5">
        <v>8.0566583E7</v>
      </c>
      <c r="F2246" s="5" t="s">
        <v>39</v>
      </c>
      <c r="G2246" s="5" t="s">
        <v>15</v>
      </c>
      <c r="H2246" s="5" t="s">
        <v>51</v>
      </c>
      <c r="I2246" s="6" t="s">
        <v>17</v>
      </c>
      <c r="J2246" s="7" t="s">
        <v>34</v>
      </c>
      <c r="K2246" s="7"/>
      <c r="L2246" s="8">
        <v>1.771981190196E12</v>
      </c>
      <c r="M2246" s="9"/>
      <c r="N2246" s="10"/>
      <c r="O2246" s="10"/>
      <c r="P2246" s="10"/>
      <c r="Q2246" s="10"/>
      <c r="R2246" s="10"/>
      <c r="S2246" s="10"/>
      <c r="T2246" s="10"/>
      <c r="U2246" s="10"/>
      <c r="V2246" s="10"/>
    </row>
    <row r="2247" ht="22.5" customHeight="1">
      <c r="A2247" s="5">
        <v>2.05192938837E11</v>
      </c>
      <c r="B2247" s="5" t="s">
        <v>2080</v>
      </c>
      <c r="C2247" s="5">
        <v>51961869222</v>
      </c>
      <c r="D2247" s="5" t="s">
        <v>38</v>
      </c>
      <c r="E2247" s="5">
        <v>8.0566583E7</v>
      </c>
      <c r="F2247" s="5"/>
      <c r="G2247" s="5"/>
      <c r="H2247" s="5"/>
      <c r="I2247" s="6" t="s">
        <v>17</v>
      </c>
      <c r="J2247" s="7" t="s">
        <v>34</v>
      </c>
      <c r="K2247" s="7"/>
      <c r="L2247" s="8">
        <v>1.771982943707E12</v>
      </c>
      <c r="M2247" s="9"/>
      <c r="N2247" s="10"/>
      <c r="O2247" s="10"/>
      <c r="P2247" s="10"/>
      <c r="Q2247" s="10"/>
      <c r="R2247" s="10"/>
      <c r="S2247" s="10"/>
      <c r="T2247" s="10"/>
      <c r="U2247" s="10"/>
      <c r="V2247" s="10"/>
    </row>
    <row r="2248" ht="22.5" customHeight="1">
      <c r="A2248" s="5">
        <v>2.05193731764E11</v>
      </c>
      <c r="B2248" s="5" t="s">
        <v>2081</v>
      </c>
      <c r="C2248" s="5">
        <v>51903330896</v>
      </c>
      <c r="D2248" s="5" t="s">
        <v>38</v>
      </c>
      <c r="E2248" s="5">
        <v>8.7547393E7</v>
      </c>
      <c r="F2248" s="5" t="s">
        <v>259</v>
      </c>
      <c r="G2248" s="5" t="s">
        <v>15</v>
      </c>
      <c r="H2248" s="5" t="s">
        <v>51</v>
      </c>
      <c r="I2248" s="6" t="s">
        <v>63</v>
      </c>
      <c r="J2248" s="7" t="s">
        <v>18</v>
      </c>
      <c r="K2248" s="7" t="s">
        <v>19</v>
      </c>
      <c r="L2248" s="8">
        <v>1.771983125223E12</v>
      </c>
      <c r="M2248" s="9"/>
      <c r="N2248" s="10"/>
      <c r="O2248" s="10"/>
      <c r="P2248" s="10"/>
      <c r="Q2248" s="10"/>
      <c r="R2248" s="10"/>
      <c r="S2248" s="10"/>
      <c r="T2248" s="10"/>
      <c r="U2248" s="10"/>
      <c r="V2248" s="10"/>
    </row>
    <row r="2249" ht="22.5" customHeight="1">
      <c r="A2249" s="5">
        <v>2.0517803589E11</v>
      </c>
      <c r="B2249" s="5" t="s">
        <v>2082</v>
      </c>
      <c r="C2249" s="5">
        <v>5585982058244</v>
      </c>
      <c r="D2249" s="5" t="s">
        <v>22</v>
      </c>
      <c r="E2249" s="5">
        <v>7.9360573E7</v>
      </c>
      <c r="F2249" s="5" t="s">
        <v>65</v>
      </c>
      <c r="G2249" s="5" t="s">
        <v>44</v>
      </c>
      <c r="H2249" s="5" t="s">
        <v>24</v>
      </c>
      <c r="I2249" s="6" t="s">
        <v>36</v>
      </c>
      <c r="J2249" s="7" t="s">
        <v>34</v>
      </c>
      <c r="K2249" s="7"/>
      <c r="L2249" s="8">
        <v>1.771983161838E12</v>
      </c>
      <c r="M2249" s="9"/>
      <c r="N2249" s="10"/>
      <c r="O2249" s="10"/>
      <c r="P2249" s="10"/>
      <c r="Q2249" s="10"/>
      <c r="R2249" s="10"/>
      <c r="S2249" s="10"/>
      <c r="T2249" s="10"/>
      <c r="U2249" s="10"/>
      <c r="V2249" s="10"/>
    </row>
    <row r="2250" ht="22.5" customHeight="1">
      <c r="A2250" s="5">
        <v>2.05189940873E11</v>
      </c>
      <c r="B2250" s="5" t="s">
        <v>2083</v>
      </c>
      <c r="C2250" s="5">
        <v>51977160277</v>
      </c>
      <c r="D2250" s="5" t="s">
        <v>13</v>
      </c>
      <c r="E2250" s="5">
        <v>8.0566583E7</v>
      </c>
      <c r="F2250" s="5" t="s">
        <v>28</v>
      </c>
      <c r="G2250" s="5" t="s">
        <v>15</v>
      </c>
      <c r="H2250" s="5" t="s">
        <v>16</v>
      </c>
      <c r="I2250" s="6" t="s">
        <v>17</v>
      </c>
      <c r="J2250" s="7" t="s">
        <v>18</v>
      </c>
      <c r="K2250" s="7" t="s">
        <v>19</v>
      </c>
      <c r="L2250" s="8">
        <v>1.771983937004E12</v>
      </c>
      <c r="M2250" s="9"/>
      <c r="N2250" s="10"/>
      <c r="O2250" s="10"/>
      <c r="P2250" s="10"/>
      <c r="Q2250" s="10"/>
      <c r="R2250" s="10"/>
      <c r="S2250" s="10"/>
      <c r="T2250" s="10"/>
      <c r="U2250" s="10"/>
      <c r="V2250" s="10"/>
    </row>
    <row r="2251" ht="22.5" customHeight="1">
      <c r="A2251" s="5">
        <v>2.05197553267E11</v>
      </c>
      <c r="B2251" s="5" t="s">
        <v>2084</v>
      </c>
      <c r="C2251" s="5">
        <v>51921263437</v>
      </c>
      <c r="D2251" s="5" t="s">
        <v>38</v>
      </c>
      <c r="E2251" s="5">
        <v>8.7547393E7</v>
      </c>
      <c r="F2251" s="5"/>
      <c r="G2251" s="5"/>
      <c r="H2251" s="5"/>
      <c r="I2251" s="6"/>
      <c r="J2251" s="7" t="s">
        <v>18</v>
      </c>
      <c r="K2251" s="7" t="s">
        <v>19</v>
      </c>
      <c r="L2251" s="8">
        <v>1.771985431093E12</v>
      </c>
      <c r="M2251" s="9"/>
      <c r="N2251" s="10"/>
      <c r="O2251" s="10"/>
      <c r="P2251" s="10"/>
      <c r="Q2251" s="10"/>
      <c r="R2251" s="10"/>
      <c r="S2251" s="10"/>
      <c r="T2251" s="10"/>
      <c r="U2251" s="10"/>
      <c r="V2251" s="10"/>
    </row>
    <row r="2252" ht="22.5" customHeight="1">
      <c r="A2252" s="5">
        <v>2.05199645592E11</v>
      </c>
      <c r="B2252" s="5" t="s">
        <v>2085</v>
      </c>
      <c r="C2252" s="5">
        <v>51982006860</v>
      </c>
      <c r="D2252" s="5" t="s">
        <v>13</v>
      </c>
      <c r="E2252" s="5">
        <v>8.7547393E7</v>
      </c>
      <c r="F2252" s="5" t="s">
        <v>93</v>
      </c>
      <c r="G2252" s="5" t="s">
        <v>15</v>
      </c>
      <c r="H2252" s="5" t="s">
        <v>16</v>
      </c>
      <c r="I2252" s="6" t="s">
        <v>17</v>
      </c>
      <c r="J2252" s="7" t="s">
        <v>18</v>
      </c>
      <c r="K2252" s="7" t="s">
        <v>19</v>
      </c>
      <c r="L2252" s="8">
        <v>1.771986634939E12</v>
      </c>
      <c r="M2252" s="9"/>
      <c r="N2252" s="10"/>
      <c r="O2252" s="10"/>
      <c r="P2252" s="10"/>
      <c r="Q2252" s="10"/>
      <c r="R2252" s="10"/>
      <c r="S2252" s="10"/>
      <c r="T2252" s="10"/>
      <c r="U2252" s="10"/>
      <c r="V2252" s="10"/>
    </row>
    <row r="2253" ht="22.5" customHeight="1">
      <c r="A2253" s="5">
        <v>2.05176622189E11</v>
      </c>
      <c r="B2253" s="5" t="s">
        <v>2086</v>
      </c>
      <c r="C2253" s="5">
        <v>51988386712</v>
      </c>
      <c r="D2253" s="5" t="s">
        <v>13</v>
      </c>
      <c r="E2253" s="5">
        <v>8.0566583E7</v>
      </c>
      <c r="F2253" s="5" t="s">
        <v>93</v>
      </c>
      <c r="G2253" s="5" t="s">
        <v>15</v>
      </c>
      <c r="H2253" s="5" t="s">
        <v>33</v>
      </c>
      <c r="I2253" s="6" t="s">
        <v>36</v>
      </c>
      <c r="J2253" s="7" t="s">
        <v>34</v>
      </c>
      <c r="K2253" s="7"/>
      <c r="L2253" s="8">
        <v>1.771986928324E12</v>
      </c>
      <c r="M2253" s="9"/>
      <c r="N2253" s="10"/>
      <c r="O2253" s="10"/>
      <c r="P2253" s="10"/>
      <c r="Q2253" s="10"/>
      <c r="R2253" s="10"/>
      <c r="S2253" s="10"/>
      <c r="T2253" s="10"/>
      <c r="U2253" s="10"/>
      <c r="V2253" s="10"/>
    </row>
    <row r="2254" ht="22.5" customHeight="1">
      <c r="A2254" s="5">
        <v>2.05192265386E11</v>
      </c>
      <c r="B2254" s="5" t="s">
        <v>2087</v>
      </c>
      <c r="C2254" s="5">
        <v>51979353735</v>
      </c>
      <c r="D2254" s="5" t="s">
        <v>13</v>
      </c>
      <c r="E2254" s="5">
        <v>8.0566583E7</v>
      </c>
      <c r="F2254" s="5" t="s">
        <v>65</v>
      </c>
      <c r="G2254" s="5" t="s">
        <v>15</v>
      </c>
      <c r="H2254" s="5" t="s">
        <v>396</v>
      </c>
      <c r="I2254" s="6" t="s">
        <v>17</v>
      </c>
      <c r="J2254" s="7" t="s">
        <v>25</v>
      </c>
      <c r="K2254" s="7" t="s">
        <v>501</v>
      </c>
      <c r="L2254" s="8">
        <v>1.771987678895E12</v>
      </c>
      <c r="M2254" s="9"/>
      <c r="N2254" s="10"/>
      <c r="O2254" s="10"/>
      <c r="P2254" s="10"/>
      <c r="Q2254" s="10"/>
      <c r="R2254" s="10"/>
      <c r="S2254" s="10"/>
      <c r="T2254" s="10"/>
      <c r="U2254" s="10"/>
      <c r="V2254" s="10"/>
    </row>
    <row r="2255" ht="22.5" customHeight="1">
      <c r="A2255" s="5">
        <v>2.05200182586E11</v>
      </c>
      <c r="B2255" s="5" t="s">
        <v>2088</v>
      </c>
      <c r="C2255" s="5">
        <v>51951253514</v>
      </c>
      <c r="D2255" s="5" t="s">
        <v>13</v>
      </c>
      <c r="E2255" s="5">
        <v>8.0566583E7</v>
      </c>
      <c r="F2255" s="5" t="s">
        <v>39</v>
      </c>
      <c r="G2255" s="5" t="s">
        <v>15</v>
      </c>
      <c r="H2255" s="5" t="s">
        <v>88</v>
      </c>
      <c r="I2255" s="6" t="s">
        <v>17</v>
      </c>
      <c r="J2255" s="7" t="s">
        <v>18</v>
      </c>
      <c r="K2255" s="7" t="s">
        <v>19</v>
      </c>
      <c r="L2255" s="8">
        <v>1.771989194851E12</v>
      </c>
      <c r="M2255" s="9"/>
      <c r="N2255" s="10"/>
      <c r="O2255" s="10"/>
      <c r="P2255" s="10"/>
      <c r="Q2255" s="10"/>
      <c r="R2255" s="10"/>
      <c r="S2255" s="10"/>
      <c r="T2255" s="10"/>
      <c r="U2255" s="10"/>
      <c r="V2255" s="10"/>
    </row>
    <row r="2256" ht="22.5" customHeight="1">
      <c r="A2256" s="5">
        <v>1.85545331329E11</v>
      </c>
      <c r="B2256" s="5" t="s">
        <v>2089</v>
      </c>
      <c r="C2256" s="5">
        <v>51956790195</v>
      </c>
      <c r="D2256" s="5" t="s">
        <v>13</v>
      </c>
      <c r="E2256" s="5">
        <v>8.7547393E7</v>
      </c>
      <c r="F2256" s="5" t="s">
        <v>42</v>
      </c>
      <c r="G2256" s="5" t="s">
        <v>15</v>
      </c>
      <c r="H2256" s="5" t="s">
        <v>51</v>
      </c>
      <c r="I2256" s="6" t="s">
        <v>17</v>
      </c>
      <c r="J2256" s="7" t="s">
        <v>34</v>
      </c>
      <c r="K2256" s="7"/>
      <c r="L2256" s="8">
        <v>1.77199023446E12</v>
      </c>
      <c r="M2256" s="9"/>
      <c r="N2256" s="10"/>
      <c r="O2256" s="10"/>
      <c r="P2256" s="10"/>
      <c r="Q2256" s="10"/>
      <c r="R2256" s="10"/>
      <c r="S2256" s="10"/>
      <c r="T2256" s="10"/>
      <c r="U2256" s="10"/>
      <c r="V2256" s="10"/>
    </row>
    <row r="2257" ht="22.5" customHeight="1">
      <c r="A2257" s="5">
        <v>2.0520716012E11</v>
      </c>
      <c r="B2257" s="5" t="s">
        <v>2090</v>
      </c>
      <c r="C2257" s="5">
        <v>51976998665</v>
      </c>
      <c r="D2257" s="5" t="s">
        <v>13</v>
      </c>
      <c r="E2257" s="5">
        <v>8.0566583E7</v>
      </c>
      <c r="F2257" s="5" t="s">
        <v>65</v>
      </c>
      <c r="G2257" s="5" t="s">
        <v>15</v>
      </c>
      <c r="H2257" s="5" t="s">
        <v>16</v>
      </c>
      <c r="I2257" s="6" t="s">
        <v>17</v>
      </c>
      <c r="J2257" s="7" t="s">
        <v>18</v>
      </c>
      <c r="K2257" s="7" t="s">
        <v>19</v>
      </c>
      <c r="L2257" s="8">
        <v>1.771990962969E12</v>
      </c>
      <c r="M2257" s="9"/>
      <c r="N2257" s="10"/>
      <c r="O2257" s="10"/>
      <c r="P2257" s="10"/>
      <c r="Q2257" s="10"/>
      <c r="R2257" s="10"/>
      <c r="S2257" s="10"/>
      <c r="T2257" s="10"/>
      <c r="U2257" s="10"/>
      <c r="V2257" s="10"/>
    </row>
    <row r="2258" ht="22.5" customHeight="1">
      <c r="A2258" s="5">
        <v>2.0520925044E11</v>
      </c>
      <c r="B2258" s="5" t="s">
        <v>2091</v>
      </c>
      <c r="C2258" s="5">
        <v>51936766437</v>
      </c>
      <c r="D2258" s="5" t="s">
        <v>13</v>
      </c>
      <c r="E2258" s="5">
        <v>8.7547393E7</v>
      </c>
      <c r="F2258" s="5" t="s">
        <v>65</v>
      </c>
      <c r="G2258" s="5" t="s">
        <v>15</v>
      </c>
      <c r="H2258" s="5" t="s">
        <v>66</v>
      </c>
      <c r="I2258" s="6" t="s">
        <v>17</v>
      </c>
      <c r="J2258" s="7" t="s">
        <v>25</v>
      </c>
      <c r="K2258" s="7" t="s">
        <v>501</v>
      </c>
      <c r="L2258" s="8">
        <v>1.771992553823E12</v>
      </c>
      <c r="M2258" s="9"/>
      <c r="N2258" s="10"/>
      <c r="O2258" s="10"/>
      <c r="P2258" s="10"/>
      <c r="Q2258" s="10"/>
      <c r="R2258" s="10"/>
      <c r="S2258" s="10"/>
      <c r="T2258" s="10"/>
      <c r="U2258" s="10"/>
      <c r="V2258" s="10"/>
    </row>
    <row r="2259" ht="22.5" customHeight="1">
      <c r="A2259" s="5">
        <v>2.05223118102E11</v>
      </c>
      <c r="B2259" s="5" t="s">
        <v>2092</v>
      </c>
      <c r="C2259" s="5">
        <v>51958567802</v>
      </c>
      <c r="D2259" s="5" t="s">
        <v>13</v>
      </c>
      <c r="E2259" s="5">
        <v>8.0566583E7</v>
      </c>
      <c r="F2259" s="5" t="s">
        <v>65</v>
      </c>
      <c r="G2259" s="5" t="s">
        <v>15</v>
      </c>
      <c r="H2259" s="5" t="s">
        <v>16</v>
      </c>
      <c r="I2259" s="6" t="s">
        <v>17</v>
      </c>
      <c r="J2259" s="7" t="s">
        <v>18</v>
      </c>
      <c r="K2259" s="7" t="s">
        <v>19</v>
      </c>
      <c r="L2259" s="8">
        <v>1.771992595166E12</v>
      </c>
      <c r="M2259" s="9"/>
      <c r="N2259" s="10"/>
      <c r="O2259" s="10"/>
      <c r="P2259" s="10"/>
      <c r="Q2259" s="10"/>
      <c r="R2259" s="10"/>
      <c r="S2259" s="10"/>
      <c r="T2259" s="10"/>
      <c r="U2259" s="10"/>
      <c r="V2259" s="10"/>
    </row>
    <row r="2260" ht="22.5" customHeight="1">
      <c r="A2260" s="5">
        <v>2.05220037993E11</v>
      </c>
      <c r="B2260" s="5" t="s">
        <v>2093</v>
      </c>
      <c r="C2260" s="5">
        <v>51934714162</v>
      </c>
      <c r="D2260" s="5" t="s">
        <v>13</v>
      </c>
      <c r="E2260" s="5">
        <v>8.7547393E7</v>
      </c>
      <c r="F2260" s="5" t="s">
        <v>28</v>
      </c>
      <c r="G2260" s="5" t="s">
        <v>15</v>
      </c>
      <c r="H2260" s="5" t="s">
        <v>51</v>
      </c>
      <c r="I2260" s="6" t="s">
        <v>17</v>
      </c>
      <c r="J2260" s="7" t="s">
        <v>34</v>
      </c>
      <c r="K2260" s="7"/>
      <c r="L2260" s="8">
        <v>1.771992689734E12</v>
      </c>
      <c r="M2260" s="9"/>
      <c r="N2260" s="10"/>
      <c r="O2260" s="10"/>
      <c r="P2260" s="10"/>
      <c r="Q2260" s="10"/>
      <c r="R2260" s="10"/>
      <c r="S2260" s="10"/>
      <c r="T2260" s="10"/>
      <c r="U2260" s="10"/>
      <c r="V2260" s="10"/>
    </row>
    <row r="2261" ht="22.5" customHeight="1">
      <c r="A2261" s="5">
        <v>2.05208915835E11</v>
      </c>
      <c r="B2261" s="5" t="s">
        <v>2094</v>
      </c>
      <c r="C2261" s="5">
        <v>5511957694573</v>
      </c>
      <c r="D2261" s="5" t="s">
        <v>13</v>
      </c>
      <c r="E2261" s="5">
        <v>7.9360573E7</v>
      </c>
      <c r="F2261" s="5"/>
      <c r="G2261" s="5" t="s">
        <v>32</v>
      </c>
      <c r="H2261" s="5" t="s">
        <v>24</v>
      </c>
      <c r="I2261" s="6" t="s">
        <v>17</v>
      </c>
      <c r="J2261" s="7" t="s">
        <v>34</v>
      </c>
      <c r="K2261" s="7"/>
      <c r="L2261" s="8">
        <v>1.771993316753E12</v>
      </c>
      <c r="M2261" s="9"/>
      <c r="N2261" s="10"/>
      <c r="O2261" s="10"/>
      <c r="P2261" s="10"/>
      <c r="Q2261" s="10"/>
      <c r="R2261" s="10"/>
      <c r="S2261" s="10"/>
      <c r="T2261" s="10"/>
      <c r="U2261" s="10"/>
      <c r="V2261" s="10"/>
    </row>
    <row r="2262" ht="22.5" customHeight="1">
      <c r="A2262" s="5">
        <v>2.05222216025E11</v>
      </c>
      <c r="B2262" s="5" t="s">
        <v>2095</v>
      </c>
      <c r="C2262" s="5">
        <v>51983536808</v>
      </c>
      <c r="D2262" s="5" t="s">
        <v>13</v>
      </c>
      <c r="E2262" s="5">
        <v>8.0566583E7</v>
      </c>
      <c r="F2262" s="5" t="s">
        <v>39</v>
      </c>
      <c r="G2262" s="5" t="s">
        <v>32</v>
      </c>
      <c r="H2262" s="5" t="s">
        <v>16</v>
      </c>
      <c r="I2262" s="6" t="s">
        <v>36</v>
      </c>
      <c r="J2262" s="7" t="s">
        <v>34</v>
      </c>
      <c r="K2262" s="7"/>
      <c r="L2262" s="8">
        <v>1.771994013147E12</v>
      </c>
      <c r="M2262" s="9"/>
      <c r="N2262" s="10"/>
      <c r="O2262" s="10"/>
      <c r="P2262" s="10"/>
      <c r="Q2262" s="10"/>
      <c r="R2262" s="10"/>
      <c r="S2262" s="10"/>
      <c r="T2262" s="10"/>
      <c r="U2262" s="10"/>
      <c r="V2262" s="10"/>
    </row>
    <row r="2263" ht="22.5" customHeight="1">
      <c r="A2263" s="5">
        <v>2.05222023805E11</v>
      </c>
      <c r="B2263" s="5" t="s">
        <v>2096</v>
      </c>
      <c r="C2263" s="5">
        <v>51951360901</v>
      </c>
      <c r="D2263" s="5" t="s">
        <v>38</v>
      </c>
      <c r="E2263" s="5">
        <v>8.7547393E7</v>
      </c>
      <c r="F2263" s="5"/>
      <c r="G2263" s="5" t="s">
        <v>15</v>
      </c>
      <c r="H2263" s="5" t="s">
        <v>24</v>
      </c>
      <c r="I2263" s="6" t="s">
        <v>63</v>
      </c>
      <c r="J2263" s="7" t="s">
        <v>18</v>
      </c>
      <c r="K2263" s="7" t="s">
        <v>19</v>
      </c>
      <c r="L2263" s="8">
        <v>1.771994045224E12</v>
      </c>
      <c r="M2263" s="9"/>
      <c r="N2263" s="10"/>
      <c r="O2263" s="10"/>
      <c r="P2263" s="10"/>
      <c r="Q2263" s="10"/>
      <c r="R2263" s="10"/>
      <c r="S2263" s="10"/>
      <c r="T2263" s="10"/>
      <c r="U2263" s="10"/>
      <c r="V2263" s="10"/>
    </row>
    <row r="2264" ht="22.5" customHeight="1">
      <c r="A2264" s="5">
        <v>2.05224111667E11</v>
      </c>
      <c r="B2264" s="5" t="s">
        <v>2097</v>
      </c>
      <c r="C2264" s="5">
        <v>51992747789</v>
      </c>
      <c r="D2264" s="5" t="s">
        <v>13</v>
      </c>
      <c r="E2264" s="5">
        <v>8.7547393E7</v>
      </c>
      <c r="F2264" s="5" t="s">
        <v>65</v>
      </c>
      <c r="G2264" s="5" t="s">
        <v>15</v>
      </c>
      <c r="H2264" s="5" t="s">
        <v>29</v>
      </c>
      <c r="I2264" s="6" t="s">
        <v>17</v>
      </c>
      <c r="J2264" s="7" t="s">
        <v>18</v>
      </c>
      <c r="K2264" s="7" t="s">
        <v>19</v>
      </c>
      <c r="L2264" s="8">
        <v>1.771994426115E12</v>
      </c>
      <c r="M2264" s="9"/>
      <c r="N2264" s="10"/>
      <c r="O2264" s="10"/>
      <c r="P2264" s="10"/>
      <c r="Q2264" s="10"/>
      <c r="R2264" s="10"/>
      <c r="S2264" s="10"/>
      <c r="T2264" s="10"/>
      <c r="U2264" s="10"/>
      <c r="V2264" s="10"/>
    </row>
    <row r="2265" ht="22.5" customHeight="1">
      <c r="A2265" s="5">
        <v>2.05221088352E11</v>
      </c>
      <c r="B2265" s="5" t="s">
        <v>2098</v>
      </c>
      <c r="C2265" s="5">
        <v>51943229022</v>
      </c>
      <c r="D2265" s="5" t="s">
        <v>13</v>
      </c>
      <c r="E2265" s="5">
        <v>8.0566583E7</v>
      </c>
      <c r="F2265" s="5" t="s">
        <v>259</v>
      </c>
      <c r="G2265" s="5" t="s">
        <v>15</v>
      </c>
      <c r="H2265" s="5" t="s">
        <v>86</v>
      </c>
      <c r="I2265" s="6" t="s">
        <v>36</v>
      </c>
      <c r="J2265" s="7" t="s">
        <v>18</v>
      </c>
      <c r="K2265" s="7" t="s">
        <v>19</v>
      </c>
      <c r="L2265" s="8">
        <v>1.771994627495E12</v>
      </c>
      <c r="M2265" s="9"/>
      <c r="N2265" s="10"/>
      <c r="O2265" s="10"/>
      <c r="P2265" s="10"/>
      <c r="Q2265" s="10"/>
      <c r="R2265" s="10"/>
      <c r="S2265" s="10"/>
      <c r="T2265" s="10"/>
      <c r="U2265" s="10"/>
      <c r="V2265" s="10"/>
    </row>
    <row r="2266" ht="22.5" customHeight="1">
      <c r="A2266" s="5">
        <v>2.05222896232E11</v>
      </c>
      <c r="B2266" s="5" t="s">
        <v>2099</v>
      </c>
      <c r="C2266" s="5">
        <v>51957200980</v>
      </c>
      <c r="D2266" s="5" t="s">
        <v>13</v>
      </c>
      <c r="E2266" s="5">
        <v>8.0566583E7</v>
      </c>
      <c r="F2266" s="5" t="s">
        <v>259</v>
      </c>
      <c r="G2266" s="5" t="s">
        <v>15</v>
      </c>
      <c r="H2266" s="5" t="s">
        <v>69</v>
      </c>
      <c r="I2266" s="6" t="s">
        <v>36</v>
      </c>
      <c r="J2266" s="7" t="s">
        <v>18</v>
      </c>
      <c r="K2266" s="7" t="s">
        <v>116</v>
      </c>
      <c r="L2266" s="8">
        <v>1.771995682279E12</v>
      </c>
      <c r="M2266" s="9"/>
      <c r="N2266" s="10"/>
      <c r="O2266" s="10"/>
      <c r="P2266" s="10"/>
      <c r="Q2266" s="10"/>
      <c r="R2266" s="10"/>
      <c r="S2266" s="10"/>
      <c r="T2266" s="10"/>
      <c r="U2266" s="10"/>
      <c r="V2266" s="10"/>
    </row>
    <row r="2267" ht="22.5" customHeight="1">
      <c r="A2267" s="5">
        <v>2.0521189592E11</v>
      </c>
      <c r="B2267" s="5" t="s">
        <v>2100</v>
      </c>
      <c r="C2267" s="5">
        <v>51966477529</v>
      </c>
      <c r="D2267" s="5" t="s">
        <v>22</v>
      </c>
      <c r="E2267" s="5">
        <v>8.7547393E7</v>
      </c>
      <c r="F2267" s="5" t="s">
        <v>28</v>
      </c>
      <c r="G2267" s="5" t="s">
        <v>44</v>
      </c>
      <c r="H2267" s="5" t="s">
        <v>165</v>
      </c>
      <c r="I2267" s="6" t="s">
        <v>148</v>
      </c>
      <c r="J2267" s="7" t="s">
        <v>25</v>
      </c>
      <c r="K2267" s="7" t="s">
        <v>26</v>
      </c>
      <c r="L2267" s="8">
        <v>1.77199618202E12</v>
      </c>
      <c r="M2267" s="9"/>
      <c r="N2267" s="10"/>
      <c r="O2267" s="10"/>
      <c r="P2267" s="10"/>
      <c r="Q2267" s="10"/>
      <c r="R2267" s="10"/>
      <c r="S2267" s="10"/>
      <c r="T2267" s="10"/>
      <c r="U2267" s="10"/>
      <c r="V2267" s="10"/>
    </row>
    <row r="2268" ht="22.5" customHeight="1">
      <c r="A2268" s="5">
        <v>2.05224756591E11</v>
      </c>
      <c r="B2268" s="5" t="s">
        <v>2101</v>
      </c>
      <c r="C2268" s="5">
        <v>51915195074</v>
      </c>
      <c r="D2268" s="5" t="s">
        <v>13</v>
      </c>
      <c r="E2268" s="5">
        <v>8.0566583E7</v>
      </c>
      <c r="F2268" s="5" t="s">
        <v>39</v>
      </c>
      <c r="G2268" s="5" t="s">
        <v>15</v>
      </c>
      <c r="H2268" s="5" t="s">
        <v>51</v>
      </c>
      <c r="I2268" s="6" t="s">
        <v>17</v>
      </c>
      <c r="J2268" s="7" t="s">
        <v>34</v>
      </c>
      <c r="K2268" s="7"/>
      <c r="L2268" s="8">
        <v>1.771996332466E12</v>
      </c>
      <c r="M2268" s="9"/>
      <c r="N2268" s="10"/>
      <c r="O2268" s="10"/>
      <c r="P2268" s="10"/>
      <c r="Q2268" s="10"/>
      <c r="R2268" s="10"/>
      <c r="S2268" s="10"/>
      <c r="T2268" s="10"/>
      <c r="U2268" s="10"/>
      <c r="V2268" s="10"/>
    </row>
    <row r="2269" ht="22.5" customHeight="1">
      <c r="A2269" s="5">
        <v>2.0522438124E11</v>
      </c>
      <c r="B2269" s="5" t="s">
        <v>2102</v>
      </c>
      <c r="C2269" s="5">
        <v>51988880566</v>
      </c>
      <c r="D2269" s="5" t="s">
        <v>103</v>
      </c>
      <c r="E2269" s="5">
        <v>8.0566583E7</v>
      </c>
      <c r="F2269" s="5" t="s">
        <v>28</v>
      </c>
      <c r="G2269" s="5" t="s">
        <v>79</v>
      </c>
      <c r="H2269" s="5" t="s">
        <v>29</v>
      </c>
      <c r="I2269" s="6" t="s">
        <v>17</v>
      </c>
      <c r="J2269" s="7" t="s">
        <v>18</v>
      </c>
      <c r="K2269" s="7" t="s">
        <v>1122</v>
      </c>
      <c r="L2269" s="8">
        <v>1.77199858166E12</v>
      </c>
      <c r="M2269" s="9"/>
      <c r="N2269" s="10"/>
      <c r="O2269" s="10"/>
      <c r="P2269" s="10"/>
      <c r="Q2269" s="10"/>
      <c r="R2269" s="10"/>
      <c r="S2269" s="10"/>
      <c r="T2269" s="10"/>
      <c r="U2269" s="10"/>
      <c r="V2269" s="10"/>
    </row>
    <row r="2270" ht="22.5" customHeight="1">
      <c r="A2270" s="5">
        <v>2.05214469158E11</v>
      </c>
      <c r="B2270" s="5" t="s">
        <v>2103</v>
      </c>
      <c r="C2270" s="5">
        <v>51928019837</v>
      </c>
      <c r="D2270" s="5" t="s">
        <v>13</v>
      </c>
      <c r="E2270" s="5">
        <v>8.7547393E7</v>
      </c>
      <c r="F2270" s="5" t="s">
        <v>28</v>
      </c>
      <c r="G2270" s="5" t="s">
        <v>15</v>
      </c>
      <c r="H2270" s="5" t="s">
        <v>51</v>
      </c>
      <c r="I2270" s="6" t="s">
        <v>49</v>
      </c>
      <c r="J2270" s="7" t="s">
        <v>18</v>
      </c>
      <c r="K2270" s="7" t="s">
        <v>19</v>
      </c>
      <c r="L2270" s="8">
        <v>1.771999174963E12</v>
      </c>
      <c r="M2270" s="9"/>
      <c r="N2270" s="10"/>
      <c r="O2270" s="10"/>
      <c r="P2270" s="10"/>
      <c r="Q2270" s="10"/>
      <c r="R2270" s="10"/>
      <c r="S2270" s="10"/>
      <c r="T2270" s="10"/>
      <c r="U2270" s="10"/>
      <c r="V2270" s="10"/>
    </row>
    <row r="2271" ht="22.5" customHeight="1">
      <c r="A2271" s="5">
        <v>2.05213488223E11</v>
      </c>
      <c r="B2271" s="5" t="s">
        <v>2104</v>
      </c>
      <c r="C2271" s="5">
        <v>51934932292</v>
      </c>
      <c r="D2271" s="5" t="s">
        <v>103</v>
      </c>
      <c r="E2271" s="5">
        <v>8.0566583E7</v>
      </c>
      <c r="F2271" s="5" t="s">
        <v>259</v>
      </c>
      <c r="G2271" s="5" t="s">
        <v>104</v>
      </c>
      <c r="H2271" s="5" t="s">
        <v>114</v>
      </c>
      <c r="I2271" s="6" t="s">
        <v>17</v>
      </c>
      <c r="J2271" s="7" t="s">
        <v>34</v>
      </c>
      <c r="K2271" s="7"/>
      <c r="L2271" s="8">
        <v>1.771999260796E12</v>
      </c>
      <c r="M2271" s="9"/>
      <c r="N2271" s="10"/>
      <c r="O2271" s="10"/>
      <c r="P2271" s="10"/>
      <c r="Q2271" s="10"/>
      <c r="R2271" s="10"/>
      <c r="S2271" s="10"/>
      <c r="T2271" s="10"/>
      <c r="U2271" s="10"/>
      <c r="V2271" s="10"/>
    </row>
    <row r="2272" ht="22.5" customHeight="1">
      <c r="A2272" s="5">
        <v>2.05213673011E11</v>
      </c>
      <c r="B2272" s="5" t="s">
        <v>2105</v>
      </c>
      <c r="C2272" s="5">
        <v>51961150921</v>
      </c>
      <c r="D2272" s="5" t="s">
        <v>38</v>
      </c>
      <c r="E2272" s="5">
        <v>8.0566583E7</v>
      </c>
      <c r="F2272" s="5"/>
      <c r="G2272" s="5"/>
      <c r="H2272" s="5"/>
      <c r="I2272" s="6"/>
      <c r="J2272" s="7" t="s">
        <v>18</v>
      </c>
      <c r="K2272" s="7" t="s">
        <v>19</v>
      </c>
      <c r="L2272" s="8">
        <v>1.771999410409E12</v>
      </c>
      <c r="M2272" s="9"/>
      <c r="N2272" s="10"/>
      <c r="O2272" s="10"/>
      <c r="P2272" s="10"/>
      <c r="Q2272" s="10"/>
      <c r="R2272" s="10"/>
      <c r="S2272" s="10"/>
      <c r="T2272" s="10"/>
      <c r="U2272" s="10"/>
      <c r="V2272" s="10"/>
    </row>
    <row r="2273" ht="22.5" customHeight="1">
      <c r="A2273" s="5">
        <v>2.05220506495E11</v>
      </c>
      <c r="B2273" s="5" t="s">
        <v>2106</v>
      </c>
      <c r="C2273" s="5">
        <v>51907440769</v>
      </c>
      <c r="D2273" s="5" t="s">
        <v>13</v>
      </c>
      <c r="E2273" s="5">
        <v>8.0566583E7</v>
      </c>
      <c r="F2273" s="5" t="s">
        <v>714</v>
      </c>
      <c r="G2273" s="5" t="s">
        <v>15</v>
      </c>
      <c r="H2273" s="5" t="s">
        <v>24</v>
      </c>
      <c r="I2273" s="6" t="s">
        <v>17</v>
      </c>
      <c r="J2273" s="7" t="s">
        <v>34</v>
      </c>
      <c r="K2273" s="7"/>
      <c r="L2273" s="8">
        <v>1.771999973688E12</v>
      </c>
      <c r="M2273" s="9"/>
      <c r="N2273" s="10"/>
      <c r="O2273" s="10"/>
      <c r="P2273" s="10"/>
      <c r="Q2273" s="10"/>
      <c r="R2273" s="10"/>
      <c r="S2273" s="10"/>
      <c r="T2273" s="10"/>
      <c r="U2273" s="10"/>
      <c r="V2273" s="10"/>
    </row>
    <row r="2274" ht="22.5" customHeight="1">
      <c r="A2274" s="5">
        <v>1.87315012198E11</v>
      </c>
      <c r="B2274" s="5" t="s">
        <v>2107</v>
      </c>
      <c r="C2274" s="5">
        <v>51928383147</v>
      </c>
      <c r="D2274" s="5" t="s">
        <v>13</v>
      </c>
      <c r="E2274" s="5">
        <v>8.0566583E7</v>
      </c>
      <c r="F2274" s="5" t="s">
        <v>259</v>
      </c>
      <c r="G2274" s="5" t="s">
        <v>15</v>
      </c>
      <c r="H2274" s="5" t="s">
        <v>51</v>
      </c>
      <c r="I2274" s="6" t="s">
        <v>17</v>
      </c>
      <c r="J2274" s="7" t="s">
        <v>18</v>
      </c>
      <c r="K2274" s="7" t="s">
        <v>116</v>
      </c>
      <c r="L2274" s="8">
        <v>1.772000357106E12</v>
      </c>
      <c r="M2274" s="9"/>
      <c r="N2274" s="10"/>
      <c r="O2274" s="10"/>
      <c r="P2274" s="10"/>
      <c r="Q2274" s="10"/>
      <c r="R2274" s="10"/>
      <c r="S2274" s="10"/>
      <c r="T2274" s="10"/>
      <c r="U2274" s="10"/>
      <c r="V2274" s="10"/>
    </row>
    <row r="2275" ht="22.5" customHeight="1">
      <c r="A2275" s="5">
        <v>1.42033954089E11</v>
      </c>
      <c r="B2275" s="5" t="s">
        <v>2108</v>
      </c>
      <c r="C2275" s="5">
        <v>51976076659</v>
      </c>
      <c r="D2275" s="5" t="s">
        <v>13</v>
      </c>
      <c r="E2275" s="5">
        <v>8.0566583E7</v>
      </c>
      <c r="F2275" s="5" t="s">
        <v>42</v>
      </c>
      <c r="G2275" s="5" t="s">
        <v>15</v>
      </c>
      <c r="H2275" s="5" t="s">
        <v>69</v>
      </c>
      <c r="I2275" s="6" t="s">
        <v>17</v>
      </c>
      <c r="J2275" s="7" t="s">
        <v>18</v>
      </c>
      <c r="K2275" s="7" t="s">
        <v>19</v>
      </c>
      <c r="L2275" s="8">
        <v>1.772004617339E12</v>
      </c>
      <c r="M2275" s="9"/>
      <c r="N2275" s="10"/>
      <c r="O2275" s="10"/>
      <c r="P2275" s="10"/>
      <c r="Q2275" s="10"/>
      <c r="R2275" s="10"/>
      <c r="S2275" s="10"/>
      <c r="T2275" s="10"/>
      <c r="U2275" s="10"/>
      <c r="V2275" s="10"/>
    </row>
    <row r="2276" ht="22.5" customHeight="1">
      <c r="A2276" s="5">
        <v>2.05233060182E11</v>
      </c>
      <c r="B2276" s="5" t="s">
        <v>2109</v>
      </c>
      <c r="C2276" s="5">
        <v>5519982221284</v>
      </c>
      <c r="D2276" s="5" t="s">
        <v>13</v>
      </c>
      <c r="E2276" s="5">
        <v>7.9360573E7</v>
      </c>
      <c r="F2276" s="5"/>
      <c r="G2276" s="5"/>
      <c r="H2276" s="5" t="s">
        <v>331</v>
      </c>
      <c r="I2276" s="6"/>
      <c r="J2276" s="7" t="s">
        <v>34</v>
      </c>
      <c r="K2276" s="7"/>
      <c r="L2276" s="8">
        <v>1.772005855926E12</v>
      </c>
      <c r="M2276" s="9"/>
      <c r="N2276" s="10"/>
      <c r="O2276" s="10"/>
      <c r="P2276" s="10"/>
      <c r="Q2276" s="10"/>
      <c r="R2276" s="10"/>
      <c r="S2276" s="10"/>
      <c r="T2276" s="10"/>
      <c r="U2276" s="10"/>
      <c r="V2276" s="10"/>
    </row>
    <row r="2277" ht="22.5" customHeight="1">
      <c r="A2277" s="5">
        <v>2.05234443557E11</v>
      </c>
      <c r="B2277" s="5" t="s">
        <v>2110</v>
      </c>
      <c r="C2277" s="5">
        <v>51973308212</v>
      </c>
      <c r="D2277" s="5" t="s">
        <v>13</v>
      </c>
      <c r="E2277" s="5">
        <v>8.7547393E7</v>
      </c>
      <c r="F2277" s="5" t="s">
        <v>28</v>
      </c>
      <c r="G2277" s="5" t="s">
        <v>32</v>
      </c>
      <c r="H2277" s="5" t="s">
        <v>16</v>
      </c>
      <c r="I2277" s="6" t="s">
        <v>17</v>
      </c>
      <c r="J2277" s="7" t="s">
        <v>34</v>
      </c>
      <c r="K2277" s="7"/>
      <c r="L2277" s="8">
        <v>1.772007705734E12</v>
      </c>
      <c r="M2277" s="9"/>
      <c r="N2277" s="10"/>
      <c r="O2277" s="10"/>
      <c r="P2277" s="10"/>
      <c r="Q2277" s="10"/>
      <c r="R2277" s="10"/>
      <c r="S2277" s="10"/>
      <c r="T2277" s="10"/>
      <c r="U2277" s="10"/>
      <c r="V2277" s="10"/>
    </row>
    <row r="2278" ht="22.5" customHeight="1">
      <c r="A2278" s="5">
        <v>2.0523757803E11</v>
      </c>
      <c r="B2278" s="5" t="s">
        <v>2111</v>
      </c>
      <c r="C2278" s="5">
        <v>5524992343720</v>
      </c>
      <c r="D2278" s="5" t="s">
        <v>13</v>
      </c>
      <c r="E2278" s="5">
        <v>7.9360573E7</v>
      </c>
      <c r="F2278" s="5" t="s">
        <v>28</v>
      </c>
      <c r="G2278" s="5" t="s">
        <v>32</v>
      </c>
      <c r="H2278" s="5" t="s">
        <v>66</v>
      </c>
      <c r="I2278" s="6" t="s">
        <v>17</v>
      </c>
      <c r="J2278" s="7" t="s">
        <v>34</v>
      </c>
      <c r="K2278" s="7"/>
      <c r="L2278" s="8">
        <v>1.772009472649E12</v>
      </c>
      <c r="M2278" s="9"/>
      <c r="N2278" s="10"/>
      <c r="O2278" s="10"/>
      <c r="P2278" s="10"/>
      <c r="Q2278" s="10"/>
      <c r="R2278" s="10"/>
      <c r="S2278" s="10"/>
      <c r="T2278" s="10"/>
      <c r="U2278" s="10"/>
      <c r="V2278" s="10"/>
    </row>
    <row r="2279" ht="22.5" customHeight="1">
      <c r="A2279" s="5">
        <v>2.0524525116E11</v>
      </c>
      <c r="B2279" s="5" t="s">
        <v>2112</v>
      </c>
      <c r="C2279" s="5">
        <v>5531982733338</v>
      </c>
      <c r="D2279" s="5" t="s">
        <v>38</v>
      </c>
      <c r="E2279" s="5">
        <v>7.9360573E7</v>
      </c>
      <c r="F2279" s="5" t="s">
        <v>259</v>
      </c>
      <c r="G2279" s="5" t="s">
        <v>15</v>
      </c>
      <c r="H2279" s="5" t="s">
        <v>66</v>
      </c>
      <c r="I2279" s="6" t="s">
        <v>17</v>
      </c>
      <c r="J2279" s="7" t="s">
        <v>34</v>
      </c>
      <c r="K2279" s="7"/>
      <c r="L2279" s="8">
        <v>1.772015013153E12</v>
      </c>
      <c r="M2279" s="9"/>
      <c r="N2279" s="10"/>
      <c r="O2279" s="10"/>
      <c r="P2279" s="10"/>
      <c r="Q2279" s="10"/>
      <c r="R2279" s="10"/>
      <c r="S2279" s="10"/>
      <c r="T2279" s="10"/>
      <c r="U2279" s="10"/>
      <c r="V2279" s="10"/>
    </row>
    <row r="2280" ht="22.5" customHeight="1">
      <c r="A2280" s="5">
        <v>2.05244560167E11</v>
      </c>
      <c r="B2280" s="5" t="s">
        <v>2113</v>
      </c>
      <c r="C2280" s="5">
        <v>5561995147626</v>
      </c>
      <c r="D2280" s="5" t="s">
        <v>13</v>
      </c>
      <c r="E2280" s="5">
        <v>7.9360573E7</v>
      </c>
      <c r="F2280" s="5" t="s">
        <v>65</v>
      </c>
      <c r="G2280" s="5" t="s">
        <v>32</v>
      </c>
      <c r="H2280" s="5" t="s">
        <v>24</v>
      </c>
      <c r="I2280" s="6" t="s">
        <v>17</v>
      </c>
      <c r="J2280" s="7" t="s">
        <v>58</v>
      </c>
      <c r="K2280" s="11" t="s">
        <v>59</v>
      </c>
      <c r="L2280" s="8">
        <v>1.77201542548E12</v>
      </c>
      <c r="M2280" s="9"/>
      <c r="N2280" s="10"/>
      <c r="O2280" s="10"/>
      <c r="P2280" s="10"/>
      <c r="Q2280" s="10"/>
      <c r="R2280" s="10"/>
      <c r="S2280" s="10"/>
      <c r="T2280" s="10"/>
      <c r="U2280" s="10"/>
      <c r="V2280" s="10"/>
    </row>
    <row r="2281" ht="22.5" customHeight="1">
      <c r="A2281" s="5">
        <v>2.05256739971E11</v>
      </c>
      <c r="B2281" s="5" t="s">
        <v>2114</v>
      </c>
      <c r="C2281" s="5">
        <v>595981999506</v>
      </c>
      <c r="D2281" s="5" t="s">
        <v>38</v>
      </c>
      <c r="E2281" s="5">
        <v>8.7547393E7</v>
      </c>
      <c r="F2281" s="5"/>
      <c r="G2281" s="5"/>
      <c r="H2281" s="5"/>
      <c r="I2281" s="6"/>
      <c r="J2281" s="7" t="s">
        <v>34</v>
      </c>
      <c r="K2281" s="7"/>
      <c r="L2281" s="8">
        <v>1.772016328222E12</v>
      </c>
      <c r="M2281" s="9"/>
      <c r="N2281" s="10"/>
      <c r="O2281" s="10"/>
      <c r="P2281" s="10"/>
      <c r="Q2281" s="10"/>
      <c r="R2281" s="10"/>
      <c r="S2281" s="10"/>
      <c r="T2281" s="10"/>
      <c r="U2281" s="10"/>
      <c r="V2281" s="10"/>
    </row>
    <row r="2282" ht="22.5" customHeight="1">
      <c r="A2282" s="5">
        <v>2.05278569623E11</v>
      </c>
      <c r="B2282" s="5" t="s">
        <v>2115</v>
      </c>
      <c r="C2282" s="5">
        <v>51930554570</v>
      </c>
      <c r="D2282" s="5" t="s">
        <v>103</v>
      </c>
      <c r="E2282" s="5">
        <v>8.0566583E7</v>
      </c>
      <c r="F2282" s="5" t="s">
        <v>42</v>
      </c>
      <c r="G2282" s="5" t="s">
        <v>44</v>
      </c>
      <c r="H2282" s="5" t="s">
        <v>16</v>
      </c>
      <c r="I2282" s="6" t="s">
        <v>17</v>
      </c>
      <c r="J2282" s="7" t="s">
        <v>18</v>
      </c>
      <c r="K2282" s="7" t="s">
        <v>19</v>
      </c>
      <c r="L2282" s="8">
        <v>1.772016721796E12</v>
      </c>
      <c r="M2282" s="9"/>
      <c r="N2282" s="10"/>
      <c r="O2282" s="10"/>
      <c r="P2282" s="10"/>
      <c r="Q2282" s="10"/>
      <c r="R2282" s="10"/>
      <c r="S2282" s="10"/>
      <c r="T2282" s="10"/>
      <c r="U2282" s="10"/>
      <c r="V2282" s="10"/>
    </row>
    <row r="2283" ht="22.5" customHeight="1">
      <c r="A2283" s="5">
        <v>2.05283215979E11</v>
      </c>
      <c r="B2283" s="5" t="s">
        <v>2116</v>
      </c>
      <c r="C2283" s="5">
        <v>51902680145</v>
      </c>
      <c r="D2283" s="5" t="s">
        <v>13</v>
      </c>
      <c r="E2283" s="5">
        <v>8.0566583E7</v>
      </c>
      <c r="F2283" s="5" t="s">
        <v>28</v>
      </c>
      <c r="G2283" s="5" t="s">
        <v>15</v>
      </c>
      <c r="H2283" s="5" t="s">
        <v>16</v>
      </c>
      <c r="I2283" s="6" t="s">
        <v>17</v>
      </c>
      <c r="J2283" s="7" t="s">
        <v>18</v>
      </c>
      <c r="K2283" s="7" t="s">
        <v>19</v>
      </c>
      <c r="L2283" s="8">
        <v>1.772017365144E12</v>
      </c>
      <c r="M2283" s="9"/>
      <c r="N2283" s="10"/>
      <c r="O2283" s="10"/>
      <c r="P2283" s="10"/>
      <c r="Q2283" s="10"/>
      <c r="R2283" s="10"/>
      <c r="S2283" s="10"/>
      <c r="T2283" s="10"/>
      <c r="U2283" s="10"/>
      <c r="V2283" s="10"/>
    </row>
    <row r="2284" ht="22.5" customHeight="1">
      <c r="A2284" s="5">
        <v>2.0528276532E11</v>
      </c>
      <c r="B2284" s="5" t="s">
        <v>2117</v>
      </c>
      <c r="C2284" s="5">
        <v>51945436715</v>
      </c>
      <c r="D2284" s="5" t="s">
        <v>38</v>
      </c>
      <c r="E2284" s="5">
        <v>8.7547393E7</v>
      </c>
      <c r="F2284" s="5" t="s">
        <v>39</v>
      </c>
      <c r="G2284" s="5" t="s">
        <v>15</v>
      </c>
      <c r="H2284" s="5" t="s">
        <v>51</v>
      </c>
      <c r="I2284" s="6" t="s">
        <v>63</v>
      </c>
      <c r="J2284" s="7" t="s">
        <v>18</v>
      </c>
      <c r="K2284" s="7" t="s">
        <v>19</v>
      </c>
      <c r="L2284" s="8">
        <v>1.772019376295E12</v>
      </c>
      <c r="M2284" s="9"/>
      <c r="N2284" s="10"/>
      <c r="O2284" s="10"/>
      <c r="P2284" s="10"/>
      <c r="Q2284" s="10"/>
      <c r="R2284" s="10"/>
      <c r="S2284" s="10"/>
      <c r="T2284" s="10"/>
      <c r="U2284" s="10"/>
      <c r="V2284" s="10"/>
    </row>
    <row r="2285" ht="22.5" customHeight="1">
      <c r="A2285" s="5">
        <v>2.05284082328E11</v>
      </c>
      <c r="B2285" s="5" t="s">
        <v>2118</v>
      </c>
      <c r="C2285" s="5">
        <v>51941024280</v>
      </c>
      <c r="D2285" s="5" t="s">
        <v>38</v>
      </c>
      <c r="E2285" s="5">
        <v>8.0566583E7</v>
      </c>
      <c r="F2285" s="5" t="s">
        <v>28</v>
      </c>
      <c r="G2285" s="5" t="s">
        <v>15</v>
      </c>
      <c r="H2285" s="5" t="s">
        <v>16</v>
      </c>
      <c r="I2285" s="6" t="s">
        <v>17</v>
      </c>
      <c r="J2285" s="7" t="s">
        <v>18</v>
      </c>
      <c r="K2285" s="7" t="s">
        <v>19</v>
      </c>
      <c r="L2285" s="8">
        <v>1.772019664776E12</v>
      </c>
      <c r="M2285" s="9"/>
      <c r="N2285" s="10"/>
      <c r="O2285" s="10"/>
      <c r="P2285" s="10"/>
      <c r="Q2285" s="10"/>
      <c r="R2285" s="10"/>
      <c r="S2285" s="10"/>
      <c r="T2285" s="10"/>
      <c r="U2285" s="10"/>
      <c r="V2285" s="10"/>
    </row>
    <row r="2286" ht="22.5" customHeight="1">
      <c r="A2286" s="5">
        <v>2.05282771013E11</v>
      </c>
      <c r="B2286" s="5" t="s">
        <v>2119</v>
      </c>
      <c r="C2286" s="5">
        <v>5562992433061</v>
      </c>
      <c r="D2286" s="5" t="s">
        <v>13</v>
      </c>
      <c r="E2286" s="5">
        <v>7.9360573E7</v>
      </c>
      <c r="F2286" s="5" t="s">
        <v>28</v>
      </c>
      <c r="G2286" s="5" t="s">
        <v>15</v>
      </c>
      <c r="H2286" s="5" t="s">
        <v>16</v>
      </c>
      <c r="I2286" s="6" t="s">
        <v>17</v>
      </c>
      <c r="J2286" s="7" t="s">
        <v>58</v>
      </c>
      <c r="K2286" s="11" t="s">
        <v>59</v>
      </c>
      <c r="L2286" s="8">
        <v>1.772019808615E12</v>
      </c>
      <c r="M2286" s="9"/>
      <c r="N2286" s="10"/>
      <c r="O2286" s="10"/>
      <c r="P2286" s="10"/>
      <c r="Q2286" s="10"/>
      <c r="R2286" s="10"/>
      <c r="S2286" s="10"/>
      <c r="T2286" s="10"/>
      <c r="U2286" s="10"/>
      <c r="V2286" s="10"/>
    </row>
    <row r="2287" ht="22.5" customHeight="1">
      <c r="A2287" s="5">
        <v>2.05285347628E11</v>
      </c>
      <c r="B2287" s="5" t="s">
        <v>2120</v>
      </c>
      <c r="C2287" s="5">
        <v>51959533300</v>
      </c>
      <c r="D2287" s="5" t="s">
        <v>13</v>
      </c>
      <c r="E2287" s="5">
        <v>8.0566583E7</v>
      </c>
      <c r="F2287" s="5" t="s">
        <v>28</v>
      </c>
      <c r="G2287" s="5" t="s">
        <v>15</v>
      </c>
      <c r="H2287" s="5" t="s">
        <v>51</v>
      </c>
      <c r="I2287" s="6" t="s">
        <v>17</v>
      </c>
      <c r="J2287" s="7" t="s">
        <v>18</v>
      </c>
      <c r="K2287" s="7" t="s">
        <v>19</v>
      </c>
      <c r="L2287" s="8">
        <v>1.772019937149E12</v>
      </c>
      <c r="M2287" s="9"/>
      <c r="N2287" s="10"/>
      <c r="O2287" s="10"/>
      <c r="P2287" s="10"/>
      <c r="Q2287" s="10"/>
      <c r="R2287" s="10"/>
      <c r="S2287" s="10"/>
      <c r="T2287" s="10"/>
      <c r="U2287" s="10"/>
      <c r="V2287" s="10"/>
    </row>
    <row r="2288" ht="22.5" customHeight="1">
      <c r="A2288" s="5">
        <v>2.0528636126E11</v>
      </c>
      <c r="B2288" s="5" t="s">
        <v>2121</v>
      </c>
      <c r="C2288" s="5">
        <v>5511966135265</v>
      </c>
      <c r="D2288" s="5" t="s">
        <v>13</v>
      </c>
      <c r="E2288" s="5">
        <v>7.9360573E7</v>
      </c>
      <c r="F2288" s="5" t="s">
        <v>93</v>
      </c>
      <c r="G2288" s="5" t="s">
        <v>15</v>
      </c>
      <c r="H2288" s="5" t="s">
        <v>16</v>
      </c>
      <c r="I2288" s="6" t="s">
        <v>17</v>
      </c>
      <c r="J2288" s="7" t="s">
        <v>34</v>
      </c>
      <c r="K2288" s="7"/>
      <c r="L2288" s="8">
        <v>1.772021519055E12</v>
      </c>
      <c r="M2288" s="9"/>
      <c r="N2288" s="10"/>
      <c r="O2288" s="10"/>
      <c r="P2288" s="10"/>
      <c r="Q2288" s="10"/>
      <c r="R2288" s="10"/>
      <c r="S2288" s="10"/>
      <c r="T2288" s="10"/>
      <c r="U2288" s="10"/>
      <c r="V2288" s="10"/>
    </row>
    <row r="2289" ht="22.5" customHeight="1">
      <c r="A2289" s="5">
        <v>2.05288410014E11</v>
      </c>
      <c r="B2289" s="5" t="s">
        <v>2122</v>
      </c>
      <c r="C2289" s="5">
        <v>51919658890</v>
      </c>
      <c r="D2289" s="5" t="s">
        <v>22</v>
      </c>
      <c r="E2289" s="5">
        <v>8.0566583E7</v>
      </c>
      <c r="F2289" s="5" t="s">
        <v>259</v>
      </c>
      <c r="G2289" s="5" t="s">
        <v>44</v>
      </c>
      <c r="H2289" s="5" t="s">
        <v>16</v>
      </c>
      <c r="I2289" s="6" t="s">
        <v>17</v>
      </c>
      <c r="J2289" s="7" t="s">
        <v>18</v>
      </c>
      <c r="K2289" s="7" t="s">
        <v>19</v>
      </c>
      <c r="L2289" s="8">
        <v>1.772021639478E12</v>
      </c>
      <c r="M2289" s="9"/>
      <c r="N2289" s="10"/>
      <c r="O2289" s="10"/>
      <c r="P2289" s="10"/>
      <c r="Q2289" s="10"/>
      <c r="R2289" s="10"/>
      <c r="S2289" s="10"/>
      <c r="T2289" s="10"/>
      <c r="U2289" s="10"/>
      <c r="V2289" s="10"/>
    </row>
    <row r="2290" ht="22.5" customHeight="1">
      <c r="A2290" s="5">
        <v>1.89166484054E11</v>
      </c>
      <c r="B2290" s="5" t="s">
        <v>1981</v>
      </c>
      <c r="C2290" s="5">
        <v>51950161251</v>
      </c>
      <c r="D2290" s="5" t="s">
        <v>13</v>
      </c>
      <c r="E2290" s="5">
        <v>8.0566583E7</v>
      </c>
      <c r="F2290" s="5" t="s">
        <v>39</v>
      </c>
      <c r="G2290" s="5" t="s">
        <v>15</v>
      </c>
      <c r="H2290" s="5" t="s">
        <v>51</v>
      </c>
      <c r="I2290" s="6" t="s">
        <v>17</v>
      </c>
      <c r="J2290" s="7" t="s">
        <v>34</v>
      </c>
      <c r="K2290" s="7"/>
      <c r="L2290" s="8">
        <v>1.77202240614E12</v>
      </c>
      <c r="M2290" s="9"/>
      <c r="N2290" s="10"/>
      <c r="O2290" s="10"/>
      <c r="P2290" s="10"/>
      <c r="Q2290" s="10"/>
      <c r="R2290" s="10"/>
      <c r="S2290" s="10"/>
      <c r="T2290" s="10"/>
      <c r="U2290" s="10"/>
      <c r="V2290" s="10"/>
    </row>
    <row r="2291" ht="22.5" customHeight="1">
      <c r="A2291" s="5">
        <v>2.05297408695E11</v>
      </c>
      <c r="B2291" s="5" t="s">
        <v>2123</v>
      </c>
      <c r="C2291" s="5">
        <v>51999758863</v>
      </c>
      <c r="D2291" s="5" t="s">
        <v>38</v>
      </c>
      <c r="E2291" s="5">
        <v>8.0566583E7</v>
      </c>
      <c r="F2291" s="5"/>
      <c r="G2291" s="5"/>
      <c r="H2291" s="5"/>
      <c r="I2291" s="6"/>
      <c r="J2291" s="7" t="s">
        <v>18</v>
      </c>
      <c r="K2291" s="7" t="s">
        <v>19</v>
      </c>
      <c r="L2291" s="8">
        <v>1.772025427251E12</v>
      </c>
      <c r="M2291" s="9"/>
      <c r="N2291" s="10"/>
      <c r="O2291" s="10"/>
      <c r="P2291" s="10"/>
      <c r="Q2291" s="10"/>
      <c r="R2291" s="10"/>
      <c r="S2291" s="10"/>
      <c r="T2291" s="10"/>
      <c r="U2291" s="10"/>
      <c r="V2291" s="10"/>
    </row>
    <row r="2292" ht="22.5" customHeight="1">
      <c r="A2292" s="5">
        <v>2.05197710227E11</v>
      </c>
      <c r="B2292" s="5" t="s">
        <v>2124</v>
      </c>
      <c r="C2292" s="5">
        <v>51912102927</v>
      </c>
      <c r="D2292" s="5" t="s">
        <v>38</v>
      </c>
      <c r="E2292" s="5">
        <v>8.0566583E7</v>
      </c>
      <c r="F2292" s="5"/>
      <c r="G2292" s="5"/>
      <c r="H2292" s="5"/>
      <c r="I2292" s="6"/>
      <c r="J2292" s="7" t="s">
        <v>124</v>
      </c>
      <c r="K2292" s="7" t="s">
        <v>1002</v>
      </c>
      <c r="L2292" s="8">
        <v>1.772025578291E12</v>
      </c>
      <c r="M2292" s="9"/>
      <c r="N2292" s="10"/>
      <c r="O2292" s="10"/>
      <c r="P2292" s="10"/>
      <c r="Q2292" s="10"/>
      <c r="R2292" s="10"/>
      <c r="S2292" s="10"/>
      <c r="T2292" s="10"/>
      <c r="U2292" s="10"/>
      <c r="V2292" s="10"/>
    </row>
    <row r="2293" ht="22.5" customHeight="1">
      <c r="A2293" s="5">
        <v>2.05296698402E11</v>
      </c>
      <c r="B2293" s="5" t="s">
        <v>2125</v>
      </c>
      <c r="C2293" s="5">
        <v>51980741855</v>
      </c>
      <c r="D2293" s="5" t="s">
        <v>13</v>
      </c>
      <c r="E2293" s="5">
        <v>8.0566583E7</v>
      </c>
      <c r="F2293" s="5" t="s">
        <v>28</v>
      </c>
      <c r="G2293" s="5" t="s">
        <v>15</v>
      </c>
      <c r="H2293" s="5" t="s">
        <v>69</v>
      </c>
      <c r="I2293" s="6" t="s">
        <v>17</v>
      </c>
      <c r="J2293" s="7" t="s">
        <v>18</v>
      </c>
      <c r="K2293" s="7" t="s">
        <v>19</v>
      </c>
      <c r="L2293" s="8">
        <v>1.772025702675E12</v>
      </c>
      <c r="M2293" s="9"/>
      <c r="N2293" s="10"/>
      <c r="O2293" s="10"/>
      <c r="P2293" s="10"/>
      <c r="Q2293" s="10"/>
      <c r="R2293" s="10"/>
      <c r="S2293" s="10"/>
      <c r="T2293" s="10"/>
      <c r="U2293" s="10"/>
      <c r="V2293" s="10"/>
    </row>
    <row r="2294" ht="22.5" customHeight="1">
      <c r="A2294" s="5">
        <v>2.052996305E11</v>
      </c>
      <c r="B2294" s="5" t="s">
        <v>2126</v>
      </c>
      <c r="C2294" s="5">
        <v>51977780744</v>
      </c>
      <c r="D2294" s="5" t="s">
        <v>38</v>
      </c>
      <c r="E2294" s="5">
        <v>8.7547393E7</v>
      </c>
      <c r="F2294" s="5" t="s">
        <v>42</v>
      </c>
      <c r="G2294" s="5" t="s">
        <v>15</v>
      </c>
      <c r="H2294" s="5" t="s">
        <v>51</v>
      </c>
      <c r="I2294" s="6" t="s">
        <v>17</v>
      </c>
      <c r="J2294" s="7" t="s">
        <v>18</v>
      </c>
      <c r="K2294" s="7" t="s">
        <v>19</v>
      </c>
      <c r="L2294" s="8">
        <v>1.772027706035E12</v>
      </c>
      <c r="M2294" s="9"/>
      <c r="N2294" s="10"/>
      <c r="O2294" s="10"/>
      <c r="P2294" s="10"/>
      <c r="Q2294" s="10"/>
      <c r="R2294" s="10"/>
      <c r="S2294" s="10"/>
      <c r="T2294" s="10"/>
      <c r="U2294" s="10"/>
      <c r="V2294" s="10"/>
    </row>
    <row r="2295" ht="22.5" customHeight="1">
      <c r="A2295" s="5">
        <v>2.05299635998E11</v>
      </c>
      <c r="B2295" s="5" t="s">
        <v>2127</v>
      </c>
      <c r="C2295" s="5">
        <v>595991635438</v>
      </c>
      <c r="D2295" s="5" t="s">
        <v>22</v>
      </c>
      <c r="E2295" s="5">
        <v>8.0566583E7</v>
      </c>
      <c r="F2295" s="5" t="s">
        <v>14</v>
      </c>
      <c r="G2295" s="5" t="s">
        <v>79</v>
      </c>
      <c r="H2295" s="5" t="s">
        <v>16</v>
      </c>
      <c r="I2295" s="6" t="s">
        <v>17</v>
      </c>
      <c r="J2295" s="7" t="s">
        <v>177</v>
      </c>
      <c r="K2295" s="7" t="s">
        <v>36</v>
      </c>
      <c r="L2295" s="8">
        <v>1.772027805603E12</v>
      </c>
      <c r="M2295" s="9"/>
      <c r="N2295" s="10"/>
      <c r="O2295" s="10"/>
      <c r="P2295" s="10"/>
      <c r="Q2295" s="10"/>
      <c r="R2295" s="10"/>
      <c r="S2295" s="10"/>
      <c r="T2295" s="10"/>
      <c r="U2295" s="10"/>
      <c r="V2295" s="10"/>
    </row>
    <row r="2296" ht="22.5" customHeight="1">
      <c r="A2296" s="5">
        <v>1.71451914554E11</v>
      </c>
      <c r="B2296" s="5" t="s">
        <v>2128</v>
      </c>
      <c r="C2296" s="5">
        <v>51976743736</v>
      </c>
      <c r="D2296" s="5" t="s">
        <v>13</v>
      </c>
      <c r="E2296" s="5"/>
      <c r="F2296" s="5" t="s">
        <v>14</v>
      </c>
      <c r="G2296" s="5" t="s">
        <v>15</v>
      </c>
      <c r="H2296" s="5" t="s">
        <v>66</v>
      </c>
      <c r="I2296" s="6" t="s">
        <v>36</v>
      </c>
      <c r="J2296" s="7" t="s">
        <v>58</v>
      </c>
      <c r="K2296" s="11" t="s">
        <v>59</v>
      </c>
      <c r="L2296" s="8">
        <v>1.772028612028E12</v>
      </c>
      <c r="M2296" s="9"/>
      <c r="N2296" s="10"/>
      <c r="O2296" s="10"/>
      <c r="P2296" s="10"/>
      <c r="Q2296" s="10"/>
      <c r="R2296" s="10"/>
      <c r="S2296" s="10"/>
      <c r="T2296" s="10"/>
      <c r="U2296" s="10"/>
      <c r="V2296" s="10"/>
    </row>
    <row r="2297" ht="22.5" customHeight="1">
      <c r="A2297" s="5">
        <v>2.05300905318E11</v>
      </c>
      <c r="B2297" s="5" t="s">
        <v>2129</v>
      </c>
      <c r="C2297" s="5">
        <v>51920436327</v>
      </c>
      <c r="D2297" s="5" t="s">
        <v>13</v>
      </c>
      <c r="E2297" s="5">
        <v>8.7547393E7</v>
      </c>
      <c r="F2297" s="5" t="s">
        <v>714</v>
      </c>
      <c r="G2297" s="5" t="s">
        <v>15</v>
      </c>
      <c r="H2297" s="5" t="s">
        <v>66</v>
      </c>
      <c r="I2297" s="6" t="s">
        <v>17</v>
      </c>
      <c r="J2297" s="7" t="s">
        <v>18</v>
      </c>
      <c r="K2297" s="7" t="s">
        <v>19</v>
      </c>
      <c r="L2297" s="8">
        <v>1.772028715846E12</v>
      </c>
      <c r="M2297" s="9"/>
      <c r="N2297" s="10"/>
      <c r="O2297" s="10"/>
      <c r="P2297" s="10"/>
      <c r="Q2297" s="10"/>
      <c r="R2297" s="10"/>
      <c r="S2297" s="10"/>
      <c r="T2297" s="10"/>
      <c r="U2297" s="10"/>
      <c r="V2297" s="10"/>
    </row>
    <row r="2298" ht="22.5" customHeight="1">
      <c r="A2298" s="5">
        <v>2.0514766911E11</v>
      </c>
      <c r="B2298" s="5" t="s">
        <v>2130</v>
      </c>
      <c r="C2298" s="5">
        <v>51917022902</v>
      </c>
      <c r="D2298" s="5" t="s">
        <v>38</v>
      </c>
      <c r="E2298" s="5">
        <v>8.7547393E7</v>
      </c>
      <c r="F2298" s="5"/>
      <c r="G2298" s="5"/>
      <c r="H2298" s="5"/>
      <c r="I2298" s="6"/>
      <c r="J2298" s="7" t="s">
        <v>18</v>
      </c>
      <c r="K2298" s="7" t="s">
        <v>19</v>
      </c>
      <c r="L2298" s="8">
        <v>1.772028856601E12</v>
      </c>
      <c r="M2298" s="9"/>
      <c r="N2298" s="10"/>
      <c r="O2298" s="10"/>
      <c r="P2298" s="10"/>
      <c r="Q2298" s="10"/>
      <c r="R2298" s="10"/>
      <c r="S2298" s="10"/>
      <c r="T2298" s="10"/>
      <c r="U2298" s="10"/>
      <c r="V2298" s="10"/>
    </row>
    <row r="2299" ht="22.5" customHeight="1">
      <c r="A2299" s="5">
        <v>2.0531015795E11</v>
      </c>
      <c r="B2299" s="5" t="s">
        <v>2131</v>
      </c>
      <c r="C2299" s="5">
        <v>5562993790323</v>
      </c>
      <c r="D2299" s="5" t="s">
        <v>22</v>
      </c>
      <c r="E2299" s="5">
        <v>7.9360573E7</v>
      </c>
      <c r="F2299" s="5" t="s">
        <v>28</v>
      </c>
      <c r="G2299" s="5">
        <v>50</v>
      </c>
      <c r="H2299" s="5" t="s">
        <v>16</v>
      </c>
      <c r="I2299" s="6" t="s">
        <v>17</v>
      </c>
      <c r="J2299" s="7" t="s">
        <v>34</v>
      </c>
      <c r="K2299" s="7"/>
      <c r="L2299" s="8">
        <v>1.772031056492E12</v>
      </c>
      <c r="M2299" s="9"/>
      <c r="N2299" s="10"/>
      <c r="O2299" s="10"/>
      <c r="P2299" s="10"/>
      <c r="Q2299" s="10"/>
      <c r="R2299" s="10"/>
      <c r="S2299" s="10"/>
      <c r="T2299" s="10"/>
      <c r="U2299" s="10"/>
      <c r="V2299" s="10"/>
    </row>
    <row r="2300" ht="22.5" customHeight="1">
      <c r="A2300" s="5">
        <v>2.04570596256E11</v>
      </c>
      <c r="B2300" s="5" t="s">
        <v>1879</v>
      </c>
      <c r="C2300" s="5">
        <v>51953200273</v>
      </c>
      <c r="D2300" s="5" t="s">
        <v>13</v>
      </c>
      <c r="E2300" s="5">
        <v>8.7547393E7</v>
      </c>
      <c r="F2300" s="5" t="s">
        <v>259</v>
      </c>
      <c r="G2300" s="5" t="s">
        <v>15</v>
      </c>
      <c r="H2300" s="5" t="s">
        <v>16</v>
      </c>
      <c r="I2300" s="6" t="s">
        <v>36</v>
      </c>
      <c r="J2300" s="7" t="s">
        <v>34</v>
      </c>
      <c r="K2300" s="7"/>
      <c r="L2300" s="8">
        <v>1.772031905269E12</v>
      </c>
      <c r="M2300" s="9"/>
      <c r="N2300" s="10"/>
      <c r="O2300" s="10"/>
      <c r="P2300" s="10"/>
      <c r="Q2300" s="10"/>
      <c r="R2300" s="10"/>
      <c r="S2300" s="10"/>
      <c r="T2300" s="10"/>
      <c r="U2300" s="10"/>
      <c r="V2300" s="10"/>
    </row>
    <row r="2301" ht="22.5" customHeight="1">
      <c r="A2301" s="5">
        <v>2.05316709676E11</v>
      </c>
      <c r="B2301" s="5" t="s">
        <v>2132</v>
      </c>
      <c r="C2301" s="5">
        <v>5554996521347</v>
      </c>
      <c r="D2301" s="5" t="s">
        <v>13</v>
      </c>
      <c r="E2301" s="5">
        <v>7.9360573E7</v>
      </c>
      <c r="F2301" s="5" t="s">
        <v>93</v>
      </c>
      <c r="G2301" s="5" t="s">
        <v>15</v>
      </c>
      <c r="H2301" s="5" t="s">
        <v>24</v>
      </c>
      <c r="I2301" s="6" t="s">
        <v>17</v>
      </c>
      <c r="J2301" s="7" t="s">
        <v>34</v>
      </c>
      <c r="K2301" s="7"/>
      <c r="L2301" s="8">
        <v>1.772032219712E12</v>
      </c>
      <c r="M2301" s="9"/>
      <c r="N2301" s="10"/>
      <c r="O2301" s="10"/>
      <c r="P2301" s="10"/>
      <c r="Q2301" s="10"/>
      <c r="R2301" s="10"/>
      <c r="S2301" s="10"/>
      <c r="T2301" s="10"/>
      <c r="U2301" s="10"/>
      <c r="V2301" s="10"/>
    </row>
    <row r="2302" ht="22.5" customHeight="1">
      <c r="A2302" s="5">
        <v>2.05314568559E11</v>
      </c>
      <c r="B2302" s="5" t="s">
        <v>2133</v>
      </c>
      <c r="C2302" s="5">
        <v>51979462612</v>
      </c>
      <c r="D2302" s="5" t="s">
        <v>13</v>
      </c>
      <c r="E2302" s="5">
        <v>8.7547393E7</v>
      </c>
      <c r="F2302" s="5" t="s">
        <v>714</v>
      </c>
      <c r="G2302" s="5" t="s">
        <v>15</v>
      </c>
      <c r="H2302" s="5" t="s">
        <v>69</v>
      </c>
      <c r="I2302" s="6" t="s">
        <v>17</v>
      </c>
      <c r="J2302" s="7" t="s">
        <v>18</v>
      </c>
      <c r="K2302" s="7" t="s">
        <v>19</v>
      </c>
      <c r="L2302" s="8">
        <v>1.772032508212E12</v>
      </c>
      <c r="M2302" s="9"/>
      <c r="N2302" s="10"/>
      <c r="O2302" s="10"/>
      <c r="P2302" s="10"/>
      <c r="Q2302" s="10"/>
      <c r="R2302" s="10"/>
      <c r="S2302" s="10"/>
      <c r="T2302" s="10"/>
      <c r="U2302" s="10"/>
      <c r="V2302" s="10"/>
    </row>
    <row r="2303" ht="22.5" customHeight="1">
      <c r="A2303" s="5">
        <v>2.04161452297E11</v>
      </c>
      <c r="B2303" s="5" t="s">
        <v>2134</v>
      </c>
      <c r="C2303" s="5">
        <v>59894666606</v>
      </c>
      <c r="D2303" s="5" t="s">
        <v>13</v>
      </c>
      <c r="E2303" s="5">
        <v>8.7547393E7</v>
      </c>
      <c r="F2303" s="5" t="s">
        <v>714</v>
      </c>
      <c r="G2303" s="5" t="s">
        <v>15</v>
      </c>
      <c r="H2303" s="5" t="s">
        <v>69</v>
      </c>
      <c r="I2303" s="6" t="s">
        <v>36</v>
      </c>
      <c r="J2303" s="7" t="s">
        <v>34</v>
      </c>
      <c r="K2303" s="7"/>
      <c r="L2303" s="8">
        <v>1.772032548193E12</v>
      </c>
      <c r="M2303" s="9"/>
      <c r="N2303" s="10"/>
      <c r="O2303" s="10"/>
      <c r="P2303" s="10"/>
      <c r="Q2303" s="10"/>
      <c r="R2303" s="10"/>
      <c r="S2303" s="10"/>
      <c r="T2303" s="10"/>
      <c r="U2303" s="10"/>
      <c r="V2303" s="10"/>
    </row>
    <row r="2304" ht="22.5" customHeight="1">
      <c r="A2304" s="5">
        <v>1.98955076176E11</v>
      </c>
      <c r="B2304" s="5" t="s">
        <v>2135</v>
      </c>
      <c r="C2304" s="5">
        <v>5527999558644</v>
      </c>
      <c r="D2304" s="5" t="s">
        <v>103</v>
      </c>
      <c r="E2304" s="5">
        <v>7.9360573E7</v>
      </c>
      <c r="F2304" s="5" t="s">
        <v>93</v>
      </c>
      <c r="G2304" s="5" t="s">
        <v>44</v>
      </c>
      <c r="H2304" s="5" t="s">
        <v>80</v>
      </c>
      <c r="I2304" s="6" t="s">
        <v>148</v>
      </c>
      <c r="J2304" s="7" t="s">
        <v>58</v>
      </c>
      <c r="K2304" s="11" t="s">
        <v>59</v>
      </c>
      <c r="L2304" s="8">
        <v>1.77203513536E12</v>
      </c>
      <c r="M2304" s="9"/>
      <c r="N2304" s="10"/>
      <c r="O2304" s="10"/>
      <c r="P2304" s="10"/>
      <c r="Q2304" s="10"/>
      <c r="R2304" s="10"/>
      <c r="S2304" s="10"/>
      <c r="T2304" s="10"/>
      <c r="U2304" s="10"/>
      <c r="V2304" s="10"/>
    </row>
    <row r="2305" ht="22.5" customHeight="1">
      <c r="A2305" s="5">
        <v>1.86540454178E11</v>
      </c>
      <c r="B2305" s="5" t="s">
        <v>2136</v>
      </c>
      <c r="C2305" s="5">
        <v>51952132053</v>
      </c>
      <c r="D2305" s="5" t="s">
        <v>22</v>
      </c>
      <c r="E2305" s="5">
        <v>8.0566583E7</v>
      </c>
      <c r="F2305" s="5" t="s">
        <v>65</v>
      </c>
      <c r="G2305" s="5" t="s">
        <v>104</v>
      </c>
      <c r="H2305" s="5" t="s">
        <v>55</v>
      </c>
      <c r="I2305" s="6"/>
      <c r="J2305" s="7" t="s">
        <v>34</v>
      </c>
      <c r="K2305" s="7"/>
      <c r="L2305" s="8">
        <v>1.772037291294E12</v>
      </c>
      <c r="M2305" s="9"/>
      <c r="N2305" s="10"/>
      <c r="O2305" s="10"/>
      <c r="P2305" s="10"/>
      <c r="Q2305" s="10"/>
      <c r="R2305" s="10"/>
      <c r="S2305" s="10"/>
      <c r="T2305" s="10"/>
      <c r="U2305" s="10"/>
      <c r="V2305" s="10"/>
    </row>
    <row r="2306" ht="22.5" customHeight="1">
      <c r="A2306" s="5">
        <v>2.05345399142E11</v>
      </c>
      <c r="B2306" s="5" t="s">
        <v>2137</v>
      </c>
      <c r="C2306" s="5">
        <v>51939012631</v>
      </c>
      <c r="D2306" s="5" t="s">
        <v>38</v>
      </c>
      <c r="E2306" s="5">
        <v>8.0566583E7</v>
      </c>
      <c r="F2306" s="5"/>
      <c r="G2306" s="5"/>
      <c r="H2306" s="5"/>
      <c r="I2306" s="6"/>
      <c r="J2306" s="7" t="s">
        <v>18</v>
      </c>
      <c r="K2306" s="7" t="s">
        <v>19</v>
      </c>
      <c r="L2306" s="8">
        <v>1.772040228677E12</v>
      </c>
      <c r="M2306" s="9"/>
      <c r="N2306" s="10"/>
      <c r="O2306" s="10"/>
      <c r="P2306" s="10"/>
      <c r="Q2306" s="10"/>
      <c r="R2306" s="10"/>
      <c r="S2306" s="10"/>
      <c r="T2306" s="10"/>
      <c r="U2306" s="10"/>
      <c r="V2306" s="10"/>
    </row>
    <row r="2307" ht="22.5" customHeight="1">
      <c r="A2307" s="5">
        <v>2.05385110074E11</v>
      </c>
      <c r="B2307" s="5" t="s">
        <v>2138</v>
      </c>
      <c r="C2307" s="5">
        <v>5511995132005</v>
      </c>
      <c r="D2307" s="5" t="s">
        <v>103</v>
      </c>
      <c r="E2307" s="5">
        <v>7.9360573E7</v>
      </c>
      <c r="F2307" s="5" t="s">
        <v>93</v>
      </c>
      <c r="G2307" s="5" t="s">
        <v>44</v>
      </c>
      <c r="H2307" s="5" t="s">
        <v>33</v>
      </c>
      <c r="I2307" s="6" t="s">
        <v>49</v>
      </c>
      <c r="J2307" s="7" t="s">
        <v>34</v>
      </c>
      <c r="K2307" s="7"/>
      <c r="L2307" s="8">
        <v>1.77204093153E12</v>
      </c>
      <c r="M2307" s="9"/>
      <c r="N2307" s="10"/>
      <c r="O2307" s="10"/>
      <c r="P2307" s="10"/>
      <c r="Q2307" s="10"/>
      <c r="R2307" s="10"/>
      <c r="S2307" s="10"/>
      <c r="T2307" s="10"/>
      <c r="U2307" s="10"/>
      <c r="V2307" s="10"/>
    </row>
    <row r="2308" ht="22.5" customHeight="1">
      <c r="A2308" s="5">
        <v>2.05371905457E11</v>
      </c>
      <c r="B2308" s="5" t="s">
        <v>2139</v>
      </c>
      <c r="C2308" s="5">
        <v>51912549963</v>
      </c>
      <c r="D2308" s="5" t="s">
        <v>13</v>
      </c>
      <c r="E2308" s="5">
        <v>8.7547393E7</v>
      </c>
      <c r="F2308" s="5" t="s">
        <v>259</v>
      </c>
      <c r="G2308" s="5" t="s">
        <v>32</v>
      </c>
      <c r="H2308" s="5" t="s">
        <v>210</v>
      </c>
      <c r="I2308" s="6" t="s">
        <v>17</v>
      </c>
      <c r="J2308" s="7" t="s">
        <v>34</v>
      </c>
      <c r="K2308" s="7"/>
      <c r="L2308" s="8">
        <v>1.772040964073E12</v>
      </c>
      <c r="M2308" s="9"/>
      <c r="N2308" s="10"/>
      <c r="O2308" s="10"/>
      <c r="P2308" s="10"/>
      <c r="Q2308" s="10"/>
      <c r="R2308" s="10"/>
      <c r="S2308" s="10"/>
      <c r="T2308" s="10"/>
      <c r="U2308" s="10"/>
      <c r="V2308" s="10"/>
    </row>
    <row r="2309" ht="22.5" customHeight="1">
      <c r="A2309" s="5">
        <v>2.05385140767E11</v>
      </c>
      <c r="B2309" s="5" t="s">
        <v>2140</v>
      </c>
      <c r="C2309" s="5">
        <v>51988232126</v>
      </c>
      <c r="D2309" s="5" t="s">
        <v>13</v>
      </c>
      <c r="E2309" s="5">
        <v>8.0566583E7</v>
      </c>
      <c r="F2309" s="5" t="s">
        <v>39</v>
      </c>
      <c r="G2309" s="5" t="s">
        <v>15</v>
      </c>
      <c r="H2309" s="5" t="s">
        <v>128</v>
      </c>
      <c r="I2309" s="6" t="s">
        <v>17</v>
      </c>
      <c r="J2309" s="7" t="s">
        <v>58</v>
      </c>
      <c r="K2309" s="11" t="s">
        <v>59</v>
      </c>
      <c r="L2309" s="8">
        <v>1.772041011766E12</v>
      </c>
      <c r="M2309" s="9"/>
      <c r="N2309" s="10"/>
      <c r="O2309" s="10"/>
      <c r="P2309" s="10"/>
      <c r="Q2309" s="10"/>
      <c r="R2309" s="10"/>
      <c r="S2309" s="10"/>
      <c r="T2309" s="10"/>
      <c r="U2309" s="10"/>
      <c r="V2309" s="10"/>
    </row>
    <row r="2310" ht="22.5" customHeight="1">
      <c r="A2310" s="5">
        <v>2.05386928973E11</v>
      </c>
      <c r="B2310" s="5" t="s">
        <v>2141</v>
      </c>
      <c r="C2310" s="5">
        <v>51928478601</v>
      </c>
      <c r="D2310" s="5" t="s">
        <v>38</v>
      </c>
      <c r="E2310" s="5">
        <v>8.7547393E7</v>
      </c>
      <c r="F2310" s="5" t="s">
        <v>93</v>
      </c>
      <c r="G2310" s="5" t="s">
        <v>15</v>
      </c>
      <c r="H2310" s="5" t="s">
        <v>24</v>
      </c>
      <c r="I2310" s="6" t="s">
        <v>49</v>
      </c>
      <c r="J2310" s="7" t="s">
        <v>18</v>
      </c>
      <c r="K2310" s="7" t="s">
        <v>19</v>
      </c>
      <c r="L2310" s="8">
        <v>1.772041556187E12</v>
      </c>
      <c r="M2310" s="9"/>
      <c r="N2310" s="10"/>
      <c r="O2310" s="10"/>
      <c r="P2310" s="10"/>
      <c r="Q2310" s="10"/>
      <c r="R2310" s="10"/>
      <c r="S2310" s="10"/>
      <c r="T2310" s="10"/>
      <c r="U2310" s="10"/>
      <c r="V2310" s="10"/>
    </row>
    <row r="2311" ht="22.5" customHeight="1">
      <c r="A2311" s="5">
        <v>2.05371997829E11</v>
      </c>
      <c r="B2311" s="5" t="s">
        <v>2142</v>
      </c>
      <c r="C2311" s="5">
        <v>51955361467</v>
      </c>
      <c r="D2311" s="5" t="s">
        <v>13</v>
      </c>
      <c r="E2311" s="5">
        <v>8.0566583E7</v>
      </c>
      <c r="F2311" s="5" t="s">
        <v>28</v>
      </c>
      <c r="G2311" s="5" t="s">
        <v>15</v>
      </c>
      <c r="H2311" s="5" t="s">
        <v>66</v>
      </c>
      <c r="I2311" s="6" t="s">
        <v>17</v>
      </c>
      <c r="J2311" s="7" t="s">
        <v>18</v>
      </c>
      <c r="K2311" s="7" t="s">
        <v>19</v>
      </c>
      <c r="L2311" s="8">
        <v>1.772042279667E12</v>
      </c>
      <c r="M2311" s="9"/>
      <c r="N2311" s="10"/>
      <c r="O2311" s="10"/>
      <c r="P2311" s="10"/>
      <c r="Q2311" s="10"/>
      <c r="R2311" s="10"/>
      <c r="S2311" s="10"/>
      <c r="T2311" s="10"/>
      <c r="U2311" s="10"/>
      <c r="V2311" s="10"/>
    </row>
    <row r="2312" ht="22.5" customHeight="1">
      <c r="A2312" s="5">
        <v>2.05391064892E11</v>
      </c>
      <c r="B2312" s="5" t="s">
        <v>2143</v>
      </c>
      <c r="C2312" s="5">
        <v>5511983169157</v>
      </c>
      <c r="D2312" s="5" t="s">
        <v>13</v>
      </c>
      <c r="E2312" s="5">
        <v>7.9360573E7</v>
      </c>
      <c r="F2312" s="5" t="s">
        <v>259</v>
      </c>
      <c r="G2312" s="5" t="s">
        <v>15</v>
      </c>
      <c r="H2312" s="5" t="s">
        <v>51</v>
      </c>
      <c r="I2312" s="6" t="s">
        <v>17</v>
      </c>
      <c r="J2312" s="7" t="s">
        <v>34</v>
      </c>
      <c r="K2312" s="7"/>
      <c r="L2312" s="8">
        <v>1.772045680685E12</v>
      </c>
      <c r="M2312" s="9"/>
      <c r="N2312" s="10"/>
      <c r="O2312" s="10"/>
      <c r="P2312" s="10"/>
      <c r="Q2312" s="10"/>
      <c r="R2312" s="10"/>
      <c r="S2312" s="10"/>
      <c r="T2312" s="10"/>
      <c r="U2312" s="10"/>
      <c r="V2312" s="10"/>
    </row>
    <row r="2313" ht="22.5" customHeight="1">
      <c r="A2313" s="5">
        <v>2.05364063585E11</v>
      </c>
      <c r="B2313" s="5" t="s">
        <v>2144</v>
      </c>
      <c r="C2313" s="5">
        <v>5548991560840</v>
      </c>
      <c r="D2313" s="5" t="s">
        <v>13</v>
      </c>
      <c r="E2313" s="5">
        <v>7.9360573E7</v>
      </c>
      <c r="F2313" s="5" t="s">
        <v>714</v>
      </c>
      <c r="G2313" s="5" t="s">
        <v>32</v>
      </c>
      <c r="H2313" s="5" t="s">
        <v>24</v>
      </c>
      <c r="I2313" s="6" t="s">
        <v>49</v>
      </c>
      <c r="J2313" s="7" t="s">
        <v>34</v>
      </c>
      <c r="K2313" s="7"/>
      <c r="L2313" s="8">
        <v>1.772047817288E12</v>
      </c>
      <c r="M2313" s="9"/>
      <c r="N2313" s="10"/>
      <c r="O2313" s="10"/>
      <c r="P2313" s="10"/>
      <c r="Q2313" s="10"/>
      <c r="R2313" s="10"/>
      <c r="S2313" s="10"/>
      <c r="T2313" s="10"/>
      <c r="U2313" s="10"/>
      <c r="V2313" s="10"/>
    </row>
    <row r="2314" ht="22.5" customHeight="1">
      <c r="A2314" s="5">
        <v>2.05395451911E11</v>
      </c>
      <c r="B2314" s="5" t="s">
        <v>2145</v>
      </c>
      <c r="C2314" s="5">
        <v>51987056846</v>
      </c>
      <c r="D2314" s="5" t="s">
        <v>13</v>
      </c>
      <c r="E2314" s="5">
        <v>8.7547393E7</v>
      </c>
      <c r="F2314" s="5" t="s">
        <v>28</v>
      </c>
      <c r="G2314" s="5" t="s">
        <v>15</v>
      </c>
      <c r="H2314" s="5" t="s">
        <v>51</v>
      </c>
      <c r="I2314" s="6" t="s">
        <v>17</v>
      </c>
      <c r="J2314" s="7" t="s">
        <v>18</v>
      </c>
      <c r="K2314" s="7" t="s">
        <v>19</v>
      </c>
      <c r="L2314" s="8">
        <v>1.772048332434E12</v>
      </c>
      <c r="M2314" s="9"/>
      <c r="N2314" s="10"/>
      <c r="O2314" s="10"/>
      <c r="P2314" s="10"/>
      <c r="Q2314" s="10"/>
      <c r="R2314" s="10"/>
      <c r="S2314" s="10"/>
      <c r="T2314" s="10"/>
      <c r="U2314" s="10"/>
      <c r="V2314" s="10"/>
    </row>
    <row r="2315" ht="22.5" customHeight="1">
      <c r="A2315" s="5">
        <v>2.05416091807E11</v>
      </c>
      <c r="B2315" s="5" t="s">
        <v>2146</v>
      </c>
      <c r="C2315" s="5">
        <v>5569984715294</v>
      </c>
      <c r="D2315" s="5" t="s">
        <v>13</v>
      </c>
      <c r="E2315" s="5">
        <v>7.9360573E7</v>
      </c>
      <c r="F2315" s="5" t="s">
        <v>39</v>
      </c>
      <c r="G2315" s="5" t="s">
        <v>32</v>
      </c>
      <c r="H2315" s="5" t="s">
        <v>396</v>
      </c>
      <c r="I2315" s="6" t="s">
        <v>17</v>
      </c>
      <c r="J2315" s="7" t="s">
        <v>34</v>
      </c>
      <c r="K2315" s="7"/>
      <c r="L2315" s="8">
        <v>1.772049090609E12</v>
      </c>
      <c r="M2315" s="9"/>
      <c r="N2315" s="10"/>
      <c r="O2315" s="10"/>
      <c r="P2315" s="10"/>
      <c r="Q2315" s="10"/>
      <c r="R2315" s="10"/>
      <c r="S2315" s="10"/>
      <c r="T2315" s="10"/>
      <c r="U2315" s="10"/>
      <c r="V2315" s="10"/>
    </row>
    <row r="2316" ht="22.5" customHeight="1">
      <c r="A2316" s="5">
        <v>2.05400423168E11</v>
      </c>
      <c r="B2316" s="5" t="s">
        <v>2147</v>
      </c>
      <c r="C2316" s="5">
        <v>5511979907763</v>
      </c>
      <c r="D2316" s="5" t="s">
        <v>13</v>
      </c>
      <c r="E2316" s="5">
        <v>7.9360573E7</v>
      </c>
      <c r="F2316" s="5" t="s">
        <v>28</v>
      </c>
      <c r="G2316" s="5" t="s">
        <v>15</v>
      </c>
      <c r="H2316" s="5" t="s">
        <v>188</v>
      </c>
      <c r="I2316" s="6" t="s">
        <v>17</v>
      </c>
      <c r="J2316" s="7" t="s">
        <v>34</v>
      </c>
      <c r="K2316" s="7"/>
      <c r="L2316" s="8">
        <v>1.772049186159E12</v>
      </c>
      <c r="M2316" s="9"/>
      <c r="N2316" s="10"/>
      <c r="O2316" s="10"/>
      <c r="P2316" s="10"/>
      <c r="Q2316" s="10"/>
      <c r="R2316" s="10"/>
      <c r="S2316" s="10"/>
      <c r="T2316" s="10"/>
      <c r="U2316" s="10"/>
      <c r="V2316" s="10"/>
    </row>
    <row r="2317" ht="22.5" customHeight="1">
      <c r="A2317" s="5">
        <v>2.05397758107E11</v>
      </c>
      <c r="B2317" s="5" t="s">
        <v>2148</v>
      </c>
      <c r="C2317" s="5">
        <v>51967274085</v>
      </c>
      <c r="D2317" s="5" t="s">
        <v>13</v>
      </c>
      <c r="E2317" s="5">
        <v>8.0566583E7</v>
      </c>
      <c r="F2317" s="5" t="s">
        <v>259</v>
      </c>
      <c r="G2317" s="5" t="s">
        <v>15</v>
      </c>
      <c r="H2317" s="5" t="s">
        <v>583</v>
      </c>
      <c r="I2317" s="6" t="s">
        <v>148</v>
      </c>
      <c r="J2317" s="7" t="s">
        <v>18</v>
      </c>
      <c r="K2317" s="7" t="s">
        <v>19</v>
      </c>
      <c r="L2317" s="8">
        <v>1.772049880934E12</v>
      </c>
      <c r="M2317" s="9"/>
      <c r="N2317" s="10"/>
      <c r="O2317" s="10"/>
      <c r="P2317" s="10"/>
      <c r="Q2317" s="10"/>
      <c r="R2317" s="10"/>
      <c r="S2317" s="10"/>
      <c r="T2317" s="10"/>
      <c r="U2317" s="10"/>
      <c r="V2317" s="10"/>
    </row>
    <row r="2318" ht="22.5" customHeight="1">
      <c r="A2318" s="5">
        <v>2.05403755391E11</v>
      </c>
      <c r="B2318" s="5" t="s">
        <v>2149</v>
      </c>
      <c r="C2318" s="5">
        <v>527205098435</v>
      </c>
      <c r="D2318" s="5" t="s">
        <v>22</v>
      </c>
      <c r="E2318" s="5">
        <v>8.0566583E7</v>
      </c>
      <c r="F2318" s="5" t="s">
        <v>28</v>
      </c>
      <c r="G2318" s="5" t="s">
        <v>32</v>
      </c>
      <c r="H2318" s="5" t="s">
        <v>53</v>
      </c>
      <c r="I2318" s="6" t="s">
        <v>36</v>
      </c>
      <c r="J2318" s="7" t="s">
        <v>34</v>
      </c>
      <c r="K2318" s="7"/>
      <c r="L2318" s="8">
        <v>1.772051915379E12</v>
      </c>
      <c r="M2318" s="9"/>
      <c r="N2318" s="10"/>
      <c r="O2318" s="10"/>
      <c r="P2318" s="10"/>
      <c r="Q2318" s="10"/>
      <c r="R2318" s="10"/>
      <c r="S2318" s="10"/>
      <c r="T2318" s="10"/>
      <c r="U2318" s="10"/>
      <c r="V2318" s="10"/>
    </row>
    <row r="2319" ht="22.5" customHeight="1">
      <c r="A2319" s="5">
        <v>2.05405640249E11</v>
      </c>
      <c r="B2319" s="5" t="s">
        <v>2150</v>
      </c>
      <c r="C2319" s="5">
        <v>5519992959826</v>
      </c>
      <c r="D2319" s="5" t="s">
        <v>13</v>
      </c>
      <c r="E2319" s="5">
        <v>7.9360573E7</v>
      </c>
      <c r="F2319" s="5" t="s">
        <v>39</v>
      </c>
      <c r="G2319" s="5" t="s">
        <v>32</v>
      </c>
      <c r="H2319" s="5" t="s">
        <v>80</v>
      </c>
      <c r="I2319" s="6" t="s">
        <v>49</v>
      </c>
      <c r="J2319" s="7" t="s">
        <v>34</v>
      </c>
      <c r="K2319" s="7"/>
      <c r="L2319" s="8">
        <v>1.772052905449E12</v>
      </c>
      <c r="M2319" s="9"/>
      <c r="N2319" s="10"/>
      <c r="O2319" s="10"/>
      <c r="P2319" s="10"/>
      <c r="Q2319" s="10"/>
      <c r="R2319" s="10"/>
      <c r="S2319" s="10"/>
      <c r="T2319" s="10"/>
      <c r="U2319" s="10"/>
      <c r="V2319" s="10"/>
    </row>
    <row r="2320" ht="22.5" customHeight="1">
      <c r="A2320" s="5">
        <v>2.05386928973E11</v>
      </c>
      <c r="B2320" s="5" t="s">
        <v>2141</v>
      </c>
      <c r="C2320" s="5">
        <v>51928478601</v>
      </c>
      <c r="D2320" s="5" t="s">
        <v>13</v>
      </c>
      <c r="E2320" s="5">
        <v>8.7547393E7</v>
      </c>
      <c r="F2320" s="5" t="s">
        <v>65</v>
      </c>
      <c r="G2320" s="5" t="s">
        <v>15</v>
      </c>
      <c r="H2320" s="5" t="s">
        <v>331</v>
      </c>
      <c r="I2320" s="6" t="s">
        <v>49</v>
      </c>
      <c r="J2320" s="7" t="s">
        <v>34</v>
      </c>
      <c r="K2320" s="7"/>
      <c r="L2320" s="8">
        <v>1.772053052676E12</v>
      </c>
      <c r="M2320" s="9"/>
      <c r="N2320" s="10"/>
      <c r="O2320" s="10"/>
      <c r="P2320" s="10"/>
      <c r="Q2320" s="10"/>
      <c r="R2320" s="10"/>
      <c r="S2320" s="10"/>
      <c r="T2320" s="10"/>
      <c r="U2320" s="10"/>
      <c r="V2320" s="10"/>
    </row>
    <row r="2321" ht="22.5" customHeight="1">
      <c r="A2321" s="5">
        <v>2.05407312506E11</v>
      </c>
      <c r="B2321" s="5" t="s">
        <v>2151</v>
      </c>
      <c r="C2321" s="5">
        <v>51926961331</v>
      </c>
      <c r="D2321" s="5" t="s">
        <v>38</v>
      </c>
      <c r="E2321" s="5">
        <v>8.7547393E7</v>
      </c>
      <c r="F2321" s="5"/>
      <c r="G2321" s="5"/>
      <c r="H2321" s="5"/>
      <c r="I2321" s="6"/>
      <c r="J2321" s="7" t="s">
        <v>18</v>
      </c>
      <c r="K2321" s="7" t="s">
        <v>19</v>
      </c>
      <c r="L2321" s="8">
        <v>1.772053238034E12</v>
      </c>
      <c r="M2321" s="9"/>
      <c r="N2321" s="10"/>
      <c r="O2321" s="10"/>
      <c r="P2321" s="10"/>
      <c r="Q2321" s="10"/>
      <c r="R2321" s="10"/>
      <c r="S2321" s="10"/>
      <c r="T2321" s="10"/>
      <c r="U2321" s="10"/>
      <c r="V2321" s="10"/>
    </row>
    <row r="2322" ht="22.5" customHeight="1">
      <c r="A2322" s="5">
        <v>2.05457116944E11</v>
      </c>
      <c r="B2322" s="5" t="s">
        <v>2152</v>
      </c>
      <c r="C2322" s="5">
        <v>5511952135328</v>
      </c>
      <c r="D2322" s="5" t="s">
        <v>13</v>
      </c>
      <c r="E2322" s="5">
        <v>7.9360573E7</v>
      </c>
      <c r="F2322" s="5" t="s">
        <v>39</v>
      </c>
      <c r="G2322" s="5"/>
      <c r="H2322" s="5"/>
      <c r="I2322" s="6"/>
      <c r="J2322" s="7" t="s">
        <v>34</v>
      </c>
      <c r="K2322" s="7"/>
      <c r="L2322" s="8">
        <v>1.772056418581E12</v>
      </c>
      <c r="M2322" s="9"/>
      <c r="N2322" s="10"/>
      <c r="O2322" s="10"/>
      <c r="P2322" s="10"/>
      <c r="Q2322" s="10"/>
      <c r="R2322" s="10"/>
      <c r="S2322" s="10"/>
      <c r="T2322" s="10"/>
      <c r="U2322" s="10"/>
      <c r="V2322" s="10"/>
    </row>
    <row r="2323" ht="22.5" customHeight="1">
      <c r="A2323" s="5">
        <v>2.05455080564E11</v>
      </c>
      <c r="B2323" s="5" t="s">
        <v>2153</v>
      </c>
      <c r="C2323" s="5">
        <v>5575988994151</v>
      </c>
      <c r="D2323" s="5" t="s">
        <v>22</v>
      </c>
      <c r="E2323" s="5">
        <v>7.9360573E7</v>
      </c>
      <c r="F2323" s="5" t="s">
        <v>14</v>
      </c>
      <c r="G2323" s="5" t="s">
        <v>44</v>
      </c>
      <c r="H2323" s="5" t="s">
        <v>24</v>
      </c>
      <c r="I2323" s="6" t="s">
        <v>17</v>
      </c>
      <c r="J2323" s="7" t="s">
        <v>34</v>
      </c>
      <c r="K2323" s="7"/>
      <c r="L2323" s="8">
        <v>1.772056604972E12</v>
      </c>
      <c r="M2323" s="9"/>
      <c r="N2323" s="10"/>
      <c r="O2323" s="10"/>
      <c r="P2323" s="10"/>
      <c r="Q2323" s="10"/>
      <c r="R2323" s="10"/>
      <c r="S2323" s="10"/>
      <c r="T2323" s="10"/>
      <c r="U2323" s="10"/>
      <c r="V2323" s="10"/>
    </row>
    <row r="2324" ht="22.5" customHeight="1">
      <c r="A2324" s="5">
        <v>1.68236081182E11</v>
      </c>
      <c r="B2324" s="5" t="s">
        <v>2154</v>
      </c>
      <c r="C2324" s="5">
        <v>51987173470</v>
      </c>
      <c r="D2324" s="5" t="s">
        <v>13</v>
      </c>
      <c r="E2324" s="5">
        <v>8.0566583E7</v>
      </c>
      <c r="F2324" s="5" t="s">
        <v>14</v>
      </c>
      <c r="G2324" s="5" t="s">
        <v>32</v>
      </c>
      <c r="H2324" s="5" t="s">
        <v>24</v>
      </c>
      <c r="I2324" s="6" t="s">
        <v>17</v>
      </c>
      <c r="J2324" s="7" t="s">
        <v>18</v>
      </c>
      <c r="K2324" s="7" t="s">
        <v>116</v>
      </c>
      <c r="L2324" s="8">
        <v>1.772057163962E12</v>
      </c>
      <c r="M2324" s="9"/>
      <c r="N2324" s="10"/>
      <c r="O2324" s="10"/>
      <c r="P2324" s="10"/>
      <c r="Q2324" s="10"/>
      <c r="R2324" s="10"/>
      <c r="S2324" s="10"/>
      <c r="T2324" s="10"/>
      <c r="U2324" s="10"/>
      <c r="V2324" s="10"/>
    </row>
    <row r="2325" ht="22.5" customHeight="1">
      <c r="A2325" s="5">
        <v>2.05437886E11</v>
      </c>
      <c r="B2325" s="5" t="s">
        <v>2155</v>
      </c>
      <c r="C2325" s="5">
        <v>5586999504782</v>
      </c>
      <c r="D2325" s="5" t="s">
        <v>13</v>
      </c>
      <c r="E2325" s="5">
        <v>7.9360573E7</v>
      </c>
      <c r="F2325" s="5" t="s">
        <v>28</v>
      </c>
      <c r="G2325" s="5" t="s">
        <v>32</v>
      </c>
      <c r="H2325" s="5" t="s">
        <v>16</v>
      </c>
      <c r="I2325" s="6" t="s">
        <v>63</v>
      </c>
      <c r="J2325" s="7" t="s">
        <v>34</v>
      </c>
      <c r="K2325" s="7"/>
      <c r="L2325" s="8">
        <v>1.772062112615E12</v>
      </c>
      <c r="M2325" s="9"/>
      <c r="N2325" s="10"/>
      <c r="O2325" s="10"/>
      <c r="P2325" s="10"/>
      <c r="Q2325" s="10"/>
      <c r="R2325" s="10"/>
      <c r="S2325" s="10"/>
      <c r="T2325" s="10"/>
      <c r="U2325" s="10"/>
      <c r="V2325" s="10"/>
    </row>
    <row r="2326" ht="22.5" customHeight="1">
      <c r="A2326" s="5">
        <v>2.05456564909E11</v>
      </c>
      <c r="B2326" s="5" t="s">
        <v>2156</v>
      </c>
      <c r="C2326" s="5">
        <v>51921775712</v>
      </c>
      <c r="D2326" s="5" t="s">
        <v>38</v>
      </c>
      <c r="E2326" s="5">
        <v>8.7547393E7</v>
      </c>
      <c r="F2326" s="5" t="s">
        <v>28</v>
      </c>
      <c r="G2326" s="5" t="s">
        <v>15</v>
      </c>
      <c r="H2326" s="5" t="s">
        <v>69</v>
      </c>
      <c r="I2326" s="6" t="s">
        <v>17</v>
      </c>
      <c r="J2326" s="7" t="s">
        <v>18</v>
      </c>
      <c r="K2326" s="7" t="s">
        <v>19</v>
      </c>
      <c r="L2326" s="8">
        <v>1.772062463943E12</v>
      </c>
      <c r="M2326" s="9"/>
      <c r="N2326" s="10"/>
      <c r="O2326" s="10"/>
      <c r="P2326" s="10"/>
      <c r="Q2326" s="10"/>
      <c r="R2326" s="10"/>
      <c r="S2326" s="10"/>
      <c r="T2326" s="10"/>
      <c r="U2326" s="10"/>
      <c r="V2326" s="10"/>
    </row>
    <row r="2327" ht="22.5" customHeight="1">
      <c r="A2327" s="5">
        <v>2.05458375468E11</v>
      </c>
      <c r="B2327" s="5" t="s">
        <v>2157</v>
      </c>
      <c r="C2327" s="5">
        <v>51910670753</v>
      </c>
      <c r="D2327" s="5" t="s">
        <v>13</v>
      </c>
      <c r="E2327" s="5">
        <v>8.7547393E7</v>
      </c>
      <c r="F2327" s="5"/>
      <c r="G2327" s="5" t="s">
        <v>15</v>
      </c>
      <c r="H2327" s="5" t="s">
        <v>16</v>
      </c>
      <c r="I2327" s="6" t="s">
        <v>49</v>
      </c>
      <c r="J2327" s="7" t="s">
        <v>18</v>
      </c>
      <c r="K2327" s="7" t="s">
        <v>19</v>
      </c>
      <c r="L2327" s="8">
        <v>1.772062655356E12</v>
      </c>
      <c r="M2327" s="9"/>
      <c r="N2327" s="10"/>
      <c r="O2327" s="10"/>
      <c r="P2327" s="10"/>
      <c r="Q2327" s="10"/>
      <c r="R2327" s="10"/>
      <c r="S2327" s="10"/>
      <c r="T2327" s="10"/>
      <c r="U2327" s="10"/>
      <c r="V2327" s="10"/>
    </row>
    <row r="2328" ht="22.5" customHeight="1">
      <c r="A2328" s="5">
        <v>2.05462124194E11</v>
      </c>
      <c r="B2328" s="5" t="s">
        <v>2158</v>
      </c>
      <c r="C2328" s="5">
        <v>5511969693563</v>
      </c>
      <c r="D2328" s="5" t="s">
        <v>13</v>
      </c>
      <c r="E2328" s="5">
        <v>7.9360573E7</v>
      </c>
      <c r="F2328" s="5" t="s">
        <v>93</v>
      </c>
      <c r="G2328" s="5" t="s">
        <v>15</v>
      </c>
      <c r="H2328" s="5" t="s">
        <v>210</v>
      </c>
      <c r="I2328" s="6" t="s">
        <v>17</v>
      </c>
      <c r="J2328" s="7" t="s">
        <v>124</v>
      </c>
      <c r="K2328" s="7" t="s">
        <v>1256</v>
      </c>
      <c r="L2328" s="8">
        <v>1.772062816549E12</v>
      </c>
      <c r="M2328" s="9"/>
      <c r="N2328" s="10"/>
      <c r="O2328" s="10"/>
      <c r="P2328" s="10"/>
      <c r="Q2328" s="10"/>
      <c r="R2328" s="10"/>
      <c r="S2328" s="10"/>
      <c r="T2328" s="10"/>
      <c r="U2328" s="10"/>
      <c r="V2328" s="10"/>
    </row>
    <row r="2329" ht="22.5" customHeight="1">
      <c r="A2329" s="5">
        <v>2.05439142672E11</v>
      </c>
      <c r="B2329" s="5" t="s">
        <v>2159</v>
      </c>
      <c r="C2329" s="5">
        <v>51900880554</v>
      </c>
      <c r="D2329" s="5" t="s">
        <v>13</v>
      </c>
      <c r="E2329" s="5">
        <v>8.0566583E7</v>
      </c>
      <c r="F2329" s="5" t="s">
        <v>39</v>
      </c>
      <c r="G2329" s="5" t="s">
        <v>15</v>
      </c>
      <c r="H2329" s="5" t="s">
        <v>16</v>
      </c>
      <c r="I2329" s="6" t="s">
        <v>17</v>
      </c>
      <c r="J2329" s="7" t="s">
        <v>18</v>
      </c>
      <c r="K2329" s="7" t="s">
        <v>19</v>
      </c>
      <c r="L2329" s="8">
        <v>1.772062978575E12</v>
      </c>
      <c r="M2329" s="9"/>
      <c r="N2329" s="10"/>
      <c r="O2329" s="10"/>
      <c r="P2329" s="10"/>
      <c r="Q2329" s="10"/>
      <c r="R2329" s="10"/>
      <c r="S2329" s="10"/>
      <c r="T2329" s="10"/>
      <c r="U2329" s="10"/>
      <c r="V2329" s="10"/>
    </row>
    <row r="2330" ht="22.5" customHeight="1">
      <c r="A2330" s="5">
        <v>2.0546528621E11</v>
      </c>
      <c r="B2330" s="5" t="s">
        <v>2160</v>
      </c>
      <c r="C2330" s="5">
        <v>51930490993</v>
      </c>
      <c r="D2330" s="5" t="s">
        <v>13</v>
      </c>
      <c r="E2330" s="5">
        <v>8.7547393E7</v>
      </c>
      <c r="F2330" s="5" t="s">
        <v>39</v>
      </c>
      <c r="G2330" s="5" t="s">
        <v>15</v>
      </c>
      <c r="H2330" s="5" t="s">
        <v>69</v>
      </c>
      <c r="I2330" s="6" t="s">
        <v>36</v>
      </c>
      <c r="J2330" s="7" t="s">
        <v>124</v>
      </c>
      <c r="K2330" s="7" t="s">
        <v>125</v>
      </c>
      <c r="L2330" s="8">
        <v>1.772064253838E12</v>
      </c>
      <c r="M2330" s="9"/>
      <c r="N2330" s="10"/>
      <c r="O2330" s="10"/>
      <c r="P2330" s="10"/>
      <c r="Q2330" s="10"/>
      <c r="R2330" s="10"/>
      <c r="S2330" s="10"/>
      <c r="T2330" s="10"/>
      <c r="U2330" s="10"/>
      <c r="V2330" s="10"/>
    </row>
    <row r="2331" ht="22.5" customHeight="1">
      <c r="A2331" s="5">
        <v>2.05440226226E11</v>
      </c>
      <c r="B2331" s="5" t="s">
        <v>2161</v>
      </c>
      <c r="C2331" s="5">
        <v>50687462222</v>
      </c>
      <c r="D2331" s="5" t="s">
        <v>13</v>
      </c>
      <c r="E2331" s="5">
        <v>8.0566583E7</v>
      </c>
      <c r="F2331" s="5" t="s">
        <v>28</v>
      </c>
      <c r="G2331" s="5" t="s">
        <v>32</v>
      </c>
      <c r="H2331" s="5" t="s">
        <v>188</v>
      </c>
      <c r="I2331" s="6" t="s">
        <v>89</v>
      </c>
      <c r="J2331" s="7" t="s">
        <v>34</v>
      </c>
      <c r="K2331" s="7"/>
      <c r="L2331" s="8">
        <v>1.772064222272E12</v>
      </c>
      <c r="M2331" s="9"/>
      <c r="N2331" s="10"/>
      <c r="O2331" s="10"/>
      <c r="P2331" s="10"/>
      <c r="Q2331" s="10"/>
      <c r="R2331" s="10"/>
      <c r="S2331" s="10"/>
      <c r="T2331" s="10"/>
      <c r="U2331" s="10"/>
      <c r="V2331" s="10"/>
    </row>
    <row r="2332" ht="22.5" customHeight="1">
      <c r="A2332" s="5">
        <v>2.05440226226E11</v>
      </c>
      <c r="B2332" s="5" t="s">
        <v>2161</v>
      </c>
      <c r="C2332" s="5">
        <v>50687462222</v>
      </c>
      <c r="D2332" s="5" t="s">
        <v>13</v>
      </c>
      <c r="E2332" s="5">
        <v>8.0566583E7</v>
      </c>
      <c r="F2332" s="5" t="s">
        <v>28</v>
      </c>
      <c r="G2332" s="5" t="s">
        <v>32</v>
      </c>
      <c r="H2332" s="5" t="s">
        <v>188</v>
      </c>
      <c r="I2332" s="6" t="s">
        <v>89</v>
      </c>
      <c r="J2332" s="7" t="s">
        <v>34</v>
      </c>
      <c r="K2332" s="7"/>
      <c r="L2332" s="8">
        <v>1.772064222272E12</v>
      </c>
      <c r="M2332" s="9"/>
      <c r="N2332" s="10"/>
      <c r="O2332" s="10"/>
      <c r="P2332" s="10"/>
      <c r="Q2332" s="10"/>
      <c r="R2332" s="10"/>
      <c r="S2332" s="10"/>
      <c r="T2332" s="10"/>
      <c r="U2332" s="10"/>
      <c r="V2332" s="10"/>
    </row>
    <row r="2333" ht="22.5" customHeight="1">
      <c r="A2333" s="5">
        <v>2.0546614484E11</v>
      </c>
      <c r="B2333" s="5" t="s">
        <v>2162</v>
      </c>
      <c r="C2333" s="5">
        <v>51934381667</v>
      </c>
      <c r="D2333" s="5" t="s">
        <v>13</v>
      </c>
      <c r="E2333" s="5">
        <v>8.0566583E7</v>
      </c>
      <c r="F2333" s="5" t="s">
        <v>14</v>
      </c>
      <c r="G2333" s="5" t="s">
        <v>15</v>
      </c>
      <c r="H2333" s="5" t="s">
        <v>51</v>
      </c>
      <c r="I2333" s="6" t="s">
        <v>17</v>
      </c>
      <c r="J2333" s="7" t="s">
        <v>18</v>
      </c>
      <c r="K2333" s="7" t="s">
        <v>19</v>
      </c>
      <c r="L2333" s="8">
        <v>1.772065431684E12</v>
      </c>
      <c r="M2333" s="9"/>
      <c r="N2333" s="10"/>
      <c r="O2333" s="10"/>
      <c r="P2333" s="10"/>
      <c r="Q2333" s="10"/>
      <c r="R2333" s="10"/>
      <c r="S2333" s="10"/>
      <c r="T2333" s="10"/>
      <c r="U2333" s="10"/>
      <c r="V2333" s="10"/>
    </row>
    <row r="2334" ht="22.5" customHeight="1">
      <c r="A2334" s="5">
        <v>2.0544114772E11</v>
      </c>
      <c r="B2334" s="5" t="s">
        <v>2163</v>
      </c>
      <c r="C2334" s="5">
        <v>5549991999680</v>
      </c>
      <c r="D2334" s="5" t="s">
        <v>22</v>
      </c>
      <c r="E2334" s="5">
        <v>7.9360573E7</v>
      </c>
      <c r="F2334" s="5" t="s">
        <v>42</v>
      </c>
      <c r="G2334" s="5" t="s">
        <v>44</v>
      </c>
      <c r="H2334" s="5" t="s">
        <v>66</v>
      </c>
      <c r="I2334" s="6" t="s">
        <v>148</v>
      </c>
      <c r="J2334" s="7" t="s">
        <v>124</v>
      </c>
      <c r="K2334" s="7" t="s">
        <v>1256</v>
      </c>
      <c r="L2334" s="8">
        <v>1.77206573108E12</v>
      </c>
      <c r="M2334" s="9"/>
      <c r="N2334" s="10"/>
      <c r="O2334" s="10"/>
      <c r="P2334" s="10"/>
      <c r="Q2334" s="10"/>
      <c r="R2334" s="10"/>
      <c r="S2334" s="10"/>
      <c r="T2334" s="10"/>
      <c r="U2334" s="10"/>
      <c r="V2334" s="10"/>
    </row>
    <row r="2335" ht="22.5" customHeight="1">
      <c r="A2335" s="5">
        <v>2.05470693755E11</v>
      </c>
      <c r="B2335" s="5" t="s">
        <v>2164</v>
      </c>
      <c r="C2335" s="5">
        <v>51928348345</v>
      </c>
      <c r="D2335" s="5" t="s">
        <v>13</v>
      </c>
      <c r="E2335" s="5">
        <v>8.7547393E7</v>
      </c>
      <c r="F2335" s="5" t="s">
        <v>39</v>
      </c>
      <c r="G2335" s="5" t="s">
        <v>15</v>
      </c>
      <c r="H2335" s="5" t="s">
        <v>24</v>
      </c>
      <c r="I2335" s="6" t="s">
        <v>17</v>
      </c>
      <c r="J2335" s="7" t="s">
        <v>18</v>
      </c>
      <c r="K2335" s="7" t="s">
        <v>19</v>
      </c>
      <c r="L2335" s="8">
        <v>1.772067492692E12</v>
      </c>
      <c r="M2335" s="9"/>
      <c r="N2335" s="10"/>
      <c r="O2335" s="10"/>
      <c r="P2335" s="10"/>
      <c r="Q2335" s="10"/>
      <c r="R2335" s="10"/>
      <c r="S2335" s="10"/>
      <c r="T2335" s="10"/>
      <c r="U2335" s="10"/>
      <c r="V2335" s="10"/>
    </row>
    <row r="2336" ht="22.5" customHeight="1">
      <c r="A2336" s="5">
        <v>1.51218392677E11</v>
      </c>
      <c r="B2336" s="5" t="s">
        <v>2165</v>
      </c>
      <c r="C2336" s="5">
        <v>51998152707</v>
      </c>
      <c r="D2336" s="5" t="s">
        <v>13</v>
      </c>
      <c r="E2336" s="5"/>
      <c r="F2336" s="5" t="s">
        <v>714</v>
      </c>
      <c r="G2336" s="5" t="s">
        <v>32</v>
      </c>
      <c r="H2336" s="5" t="s">
        <v>16</v>
      </c>
      <c r="I2336" s="6" t="s">
        <v>17</v>
      </c>
      <c r="J2336" s="7" t="s">
        <v>34</v>
      </c>
      <c r="K2336" s="7"/>
      <c r="L2336" s="8">
        <v>1.772067906417E12</v>
      </c>
      <c r="M2336" s="9"/>
      <c r="N2336" s="10"/>
      <c r="O2336" s="10"/>
      <c r="P2336" s="10"/>
      <c r="Q2336" s="10"/>
      <c r="R2336" s="10"/>
      <c r="S2336" s="10"/>
      <c r="T2336" s="10"/>
      <c r="U2336" s="10"/>
      <c r="V2336" s="10"/>
    </row>
    <row r="2337" ht="22.5" customHeight="1">
      <c r="A2337" s="5">
        <v>1.71631966802E11</v>
      </c>
      <c r="B2337" s="5" t="s">
        <v>2166</v>
      </c>
      <c r="C2337" s="5">
        <v>51952666196</v>
      </c>
      <c r="D2337" s="5" t="s">
        <v>22</v>
      </c>
      <c r="E2337" s="5">
        <v>8.7547393E7</v>
      </c>
      <c r="F2337" s="5" t="s">
        <v>28</v>
      </c>
      <c r="G2337" s="5" t="s">
        <v>79</v>
      </c>
      <c r="H2337" s="5" t="s">
        <v>51</v>
      </c>
      <c r="I2337" s="6" t="s">
        <v>17</v>
      </c>
      <c r="J2337" s="7" t="s">
        <v>18</v>
      </c>
      <c r="K2337" s="7" t="s">
        <v>1122</v>
      </c>
      <c r="L2337" s="8">
        <v>1.772068968381E12</v>
      </c>
      <c r="M2337" s="9"/>
      <c r="N2337" s="10"/>
      <c r="O2337" s="10"/>
      <c r="P2337" s="10"/>
      <c r="Q2337" s="10"/>
      <c r="R2337" s="10"/>
      <c r="S2337" s="10"/>
      <c r="T2337" s="10"/>
      <c r="U2337" s="10"/>
      <c r="V2337" s="10"/>
    </row>
    <row r="2338" ht="22.5" customHeight="1">
      <c r="A2338" s="5">
        <v>2.05470693755E11</v>
      </c>
      <c r="B2338" s="5" t="s">
        <v>2164</v>
      </c>
      <c r="C2338" s="5">
        <v>51928348345</v>
      </c>
      <c r="D2338" s="5" t="s">
        <v>13</v>
      </c>
      <c r="E2338" s="5">
        <v>8.7547393E7</v>
      </c>
      <c r="F2338" s="5" t="s">
        <v>39</v>
      </c>
      <c r="G2338" s="5" t="s">
        <v>15</v>
      </c>
      <c r="H2338" s="5" t="s">
        <v>24</v>
      </c>
      <c r="I2338" s="6" t="s">
        <v>17</v>
      </c>
      <c r="J2338" s="7" t="s">
        <v>18</v>
      </c>
      <c r="K2338" s="7" t="s">
        <v>19</v>
      </c>
      <c r="L2338" s="8">
        <v>1.772069538124E12</v>
      </c>
      <c r="M2338" s="9"/>
      <c r="N2338" s="10"/>
      <c r="O2338" s="10"/>
      <c r="P2338" s="10"/>
      <c r="Q2338" s="10"/>
      <c r="R2338" s="10"/>
      <c r="S2338" s="10"/>
      <c r="T2338" s="10"/>
      <c r="U2338" s="10"/>
      <c r="V2338" s="10"/>
    </row>
    <row r="2339" ht="22.5" customHeight="1">
      <c r="A2339" s="5">
        <v>2.0546376875E11</v>
      </c>
      <c r="B2339" s="5" t="s">
        <v>2167</v>
      </c>
      <c r="C2339" s="5">
        <v>51924298437</v>
      </c>
      <c r="D2339" s="5" t="s">
        <v>13</v>
      </c>
      <c r="E2339" s="5">
        <v>8.0566583E7</v>
      </c>
      <c r="F2339" s="5" t="s">
        <v>39</v>
      </c>
      <c r="G2339" s="5" t="s">
        <v>15</v>
      </c>
      <c r="H2339" s="5" t="s">
        <v>55</v>
      </c>
      <c r="I2339" s="6"/>
      <c r="J2339" s="7" t="s">
        <v>18</v>
      </c>
      <c r="K2339" s="7" t="s">
        <v>19</v>
      </c>
      <c r="L2339" s="8">
        <v>1.772070577147E12</v>
      </c>
      <c r="M2339" s="9"/>
      <c r="N2339" s="10"/>
      <c r="O2339" s="10"/>
      <c r="P2339" s="10"/>
      <c r="Q2339" s="10"/>
      <c r="R2339" s="10"/>
      <c r="S2339" s="10"/>
      <c r="T2339" s="10"/>
      <c r="U2339" s="10"/>
      <c r="V2339" s="10"/>
    </row>
    <row r="2340" ht="22.5" customHeight="1">
      <c r="A2340" s="5">
        <v>2.05469134633E11</v>
      </c>
      <c r="B2340" s="5" t="s">
        <v>2168</v>
      </c>
      <c r="C2340" s="5">
        <v>51975994581</v>
      </c>
      <c r="D2340" s="5" t="s">
        <v>13</v>
      </c>
      <c r="E2340" s="5">
        <v>8.0566583E7</v>
      </c>
      <c r="F2340" s="5" t="s">
        <v>39</v>
      </c>
      <c r="G2340" s="5" t="s">
        <v>15</v>
      </c>
      <c r="H2340" s="5" t="s">
        <v>24</v>
      </c>
      <c r="I2340" s="6" t="s">
        <v>17</v>
      </c>
      <c r="J2340" s="7" t="s">
        <v>18</v>
      </c>
      <c r="K2340" s="7" t="s">
        <v>19</v>
      </c>
      <c r="L2340" s="8">
        <v>1.772070961395E12</v>
      </c>
      <c r="M2340" s="9"/>
      <c r="N2340" s="10"/>
      <c r="O2340" s="10"/>
      <c r="P2340" s="10"/>
      <c r="Q2340" s="10"/>
      <c r="R2340" s="10"/>
      <c r="S2340" s="10"/>
      <c r="T2340" s="10"/>
      <c r="U2340" s="10"/>
      <c r="V2340" s="10"/>
    </row>
    <row r="2341" ht="22.5" customHeight="1">
      <c r="A2341" s="5">
        <v>2.05448309574E11</v>
      </c>
      <c r="B2341" s="5" t="s">
        <v>2169</v>
      </c>
      <c r="C2341" s="5">
        <v>51939721859</v>
      </c>
      <c r="D2341" s="5" t="s">
        <v>38</v>
      </c>
      <c r="E2341" s="5">
        <v>8.7547393E7</v>
      </c>
      <c r="F2341" s="5" t="s">
        <v>42</v>
      </c>
      <c r="G2341" s="5" t="s">
        <v>15</v>
      </c>
      <c r="H2341" s="5" t="s">
        <v>24</v>
      </c>
      <c r="I2341" s="6" t="s">
        <v>17</v>
      </c>
      <c r="J2341" s="7" t="s">
        <v>34</v>
      </c>
      <c r="K2341" s="7"/>
      <c r="L2341" s="8">
        <v>1.772071583728E12</v>
      </c>
      <c r="M2341" s="9"/>
      <c r="N2341" s="10"/>
      <c r="O2341" s="10"/>
      <c r="P2341" s="10"/>
      <c r="Q2341" s="10"/>
      <c r="R2341" s="10"/>
      <c r="S2341" s="10"/>
      <c r="T2341" s="10"/>
      <c r="U2341" s="10"/>
      <c r="V2341" s="10"/>
    </row>
    <row r="2342" ht="22.5" customHeight="1">
      <c r="A2342" s="5">
        <v>2.05448309574E11</v>
      </c>
      <c r="B2342" s="5" t="s">
        <v>2169</v>
      </c>
      <c r="C2342" s="5">
        <v>51939721859</v>
      </c>
      <c r="D2342" s="5" t="s">
        <v>13</v>
      </c>
      <c r="E2342" s="5">
        <v>8.7547393E7</v>
      </c>
      <c r="F2342" s="5" t="s">
        <v>42</v>
      </c>
      <c r="G2342" s="5" t="s">
        <v>15</v>
      </c>
      <c r="H2342" s="5" t="s">
        <v>24</v>
      </c>
      <c r="I2342" s="6" t="s">
        <v>17</v>
      </c>
      <c r="J2342" s="7" t="s">
        <v>34</v>
      </c>
      <c r="K2342" s="7"/>
      <c r="L2342" s="8">
        <v>1.772071718696E12</v>
      </c>
      <c r="M2342" s="9"/>
      <c r="N2342" s="10"/>
      <c r="O2342" s="10"/>
      <c r="P2342" s="10"/>
      <c r="Q2342" s="10"/>
      <c r="R2342" s="10"/>
      <c r="S2342" s="10"/>
      <c r="T2342" s="10"/>
      <c r="U2342" s="10"/>
      <c r="V2342" s="10"/>
    </row>
    <row r="2343" ht="22.5" customHeight="1">
      <c r="A2343" s="5">
        <v>2.05467223149E11</v>
      </c>
      <c r="B2343" s="5" t="s">
        <v>2170</v>
      </c>
      <c r="C2343" s="5">
        <v>51953717969</v>
      </c>
      <c r="D2343" s="5" t="s">
        <v>13</v>
      </c>
      <c r="E2343" s="5">
        <v>8.0566583E7</v>
      </c>
      <c r="F2343" s="5" t="s">
        <v>259</v>
      </c>
      <c r="G2343" s="5" t="s">
        <v>15</v>
      </c>
      <c r="H2343" s="5" t="s">
        <v>583</v>
      </c>
      <c r="I2343" s="6" t="s">
        <v>17</v>
      </c>
      <c r="J2343" s="7" t="s">
        <v>18</v>
      </c>
      <c r="K2343" s="7" t="s">
        <v>19</v>
      </c>
      <c r="L2343" s="8">
        <v>1.772071810093E12</v>
      </c>
      <c r="M2343" s="9"/>
      <c r="N2343" s="10"/>
      <c r="O2343" s="10"/>
      <c r="P2343" s="10"/>
      <c r="Q2343" s="10"/>
      <c r="R2343" s="10"/>
      <c r="S2343" s="10"/>
      <c r="T2343" s="10"/>
      <c r="U2343" s="10"/>
      <c r="V2343" s="10"/>
    </row>
    <row r="2344" ht="22.5" customHeight="1">
      <c r="A2344" s="5">
        <v>2.05476048825E11</v>
      </c>
      <c r="B2344" s="5" t="s">
        <v>2171</v>
      </c>
      <c r="C2344" s="5">
        <v>51926038004</v>
      </c>
      <c r="D2344" s="5" t="s">
        <v>13</v>
      </c>
      <c r="E2344" s="5">
        <v>8.7547393E7</v>
      </c>
      <c r="F2344" s="5" t="s">
        <v>28</v>
      </c>
      <c r="G2344" s="5" t="s">
        <v>15</v>
      </c>
      <c r="H2344" s="5" t="s">
        <v>51</v>
      </c>
      <c r="I2344" s="6" t="s">
        <v>17</v>
      </c>
      <c r="J2344" s="7" t="s">
        <v>18</v>
      </c>
      <c r="K2344" s="7" t="s">
        <v>19</v>
      </c>
      <c r="L2344" s="8">
        <v>1.772072946411E12</v>
      </c>
      <c r="M2344" s="9"/>
      <c r="N2344" s="10"/>
      <c r="O2344" s="10"/>
      <c r="P2344" s="10"/>
      <c r="Q2344" s="10"/>
      <c r="R2344" s="10"/>
      <c r="S2344" s="10"/>
      <c r="T2344" s="10"/>
      <c r="U2344" s="10"/>
      <c r="V2344" s="10"/>
    </row>
    <row r="2345" ht="22.5" customHeight="1">
      <c r="A2345" s="5">
        <v>2.05477175212E11</v>
      </c>
      <c r="B2345" s="5" t="s">
        <v>2172</v>
      </c>
      <c r="C2345" s="5">
        <v>5568992101582</v>
      </c>
      <c r="D2345" s="5" t="s">
        <v>13</v>
      </c>
      <c r="E2345" s="5">
        <v>7.9360573E7</v>
      </c>
      <c r="F2345" s="5" t="s">
        <v>28</v>
      </c>
      <c r="G2345" s="5" t="s">
        <v>32</v>
      </c>
      <c r="H2345" s="5" t="s">
        <v>16</v>
      </c>
      <c r="I2345" s="6" t="s">
        <v>17</v>
      </c>
      <c r="J2345" s="7" t="s">
        <v>34</v>
      </c>
      <c r="K2345" s="7"/>
      <c r="L2345" s="8">
        <v>1.772073302391E12</v>
      </c>
      <c r="M2345" s="9"/>
      <c r="N2345" s="10"/>
      <c r="O2345" s="10"/>
      <c r="P2345" s="10"/>
      <c r="Q2345" s="10"/>
      <c r="R2345" s="10"/>
      <c r="S2345" s="10"/>
      <c r="T2345" s="10"/>
      <c r="U2345" s="10"/>
      <c r="V2345" s="10"/>
    </row>
    <row r="2346" ht="22.5" customHeight="1">
      <c r="A2346" s="5">
        <v>1.90002662317E11</v>
      </c>
      <c r="B2346" s="5" t="s">
        <v>2173</v>
      </c>
      <c r="C2346" s="5">
        <v>51933286117</v>
      </c>
      <c r="D2346" s="5" t="s">
        <v>13</v>
      </c>
      <c r="E2346" s="5">
        <v>8.0566583E7</v>
      </c>
      <c r="F2346" s="5" t="s">
        <v>510</v>
      </c>
      <c r="G2346" s="5" t="s">
        <v>44</v>
      </c>
      <c r="H2346" s="5" t="s">
        <v>16</v>
      </c>
      <c r="I2346" s="6" t="s">
        <v>17</v>
      </c>
      <c r="J2346" s="7" t="s">
        <v>18</v>
      </c>
      <c r="K2346" s="7" t="s">
        <v>19</v>
      </c>
      <c r="L2346" s="8">
        <v>1.772073334573E12</v>
      </c>
      <c r="M2346" s="9"/>
      <c r="N2346" s="10"/>
      <c r="O2346" s="10"/>
      <c r="P2346" s="10"/>
      <c r="Q2346" s="10"/>
      <c r="R2346" s="10"/>
      <c r="S2346" s="10"/>
      <c r="T2346" s="10"/>
      <c r="U2346" s="10"/>
      <c r="V2346" s="10"/>
    </row>
    <row r="2347" ht="22.5" customHeight="1">
      <c r="A2347" s="5">
        <v>1.61399703704E11</v>
      </c>
      <c r="B2347" s="5" t="s">
        <v>2174</v>
      </c>
      <c r="C2347" s="5">
        <v>51967169245</v>
      </c>
      <c r="D2347" s="5" t="s">
        <v>13</v>
      </c>
      <c r="E2347" s="5">
        <v>8.0566583E7</v>
      </c>
      <c r="F2347" s="5" t="s">
        <v>510</v>
      </c>
      <c r="G2347" s="5" t="s">
        <v>15</v>
      </c>
      <c r="H2347" s="5" t="s">
        <v>16</v>
      </c>
      <c r="I2347" s="6" t="s">
        <v>17</v>
      </c>
      <c r="J2347" s="7" t="s">
        <v>18</v>
      </c>
      <c r="K2347" s="7" t="s">
        <v>116</v>
      </c>
      <c r="L2347" s="8">
        <v>1.77207463678E12</v>
      </c>
      <c r="M2347" s="9"/>
      <c r="N2347" s="10"/>
      <c r="O2347" s="10"/>
      <c r="P2347" s="10"/>
      <c r="Q2347" s="10"/>
      <c r="R2347" s="10"/>
      <c r="S2347" s="10"/>
      <c r="T2347" s="10"/>
      <c r="U2347" s="10"/>
      <c r="V2347" s="10"/>
    </row>
    <row r="2348" ht="22.5" customHeight="1">
      <c r="A2348" s="5">
        <v>2.05450746929E11</v>
      </c>
      <c r="B2348" s="5" t="s">
        <v>2175</v>
      </c>
      <c r="C2348" s="5">
        <v>51926521491</v>
      </c>
      <c r="D2348" s="5" t="s">
        <v>13</v>
      </c>
      <c r="E2348" s="5">
        <v>8.7547393E7</v>
      </c>
      <c r="F2348" s="5" t="s">
        <v>259</v>
      </c>
      <c r="G2348" s="5" t="s">
        <v>15</v>
      </c>
      <c r="H2348" s="5" t="s">
        <v>69</v>
      </c>
      <c r="I2348" s="6" t="s">
        <v>63</v>
      </c>
      <c r="J2348" s="7" t="s">
        <v>18</v>
      </c>
      <c r="K2348" s="7" t="s">
        <v>19</v>
      </c>
      <c r="L2348" s="8">
        <v>1.772074744923E12</v>
      </c>
      <c r="M2348" s="9"/>
      <c r="N2348" s="10"/>
      <c r="O2348" s="10"/>
      <c r="P2348" s="10"/>
      <c r="Q2348" s="10"/>
      <c r="R2348" s="10"/>
      <c r="S2348" s="10"/>
      <c r="T2348" s="10"/>
      <c r="U2348" s="10"/>
      <c r="V2348" s="10"/>
    </row>
    <row r="2349" ht="22.5" customHeight="1">
      <c r="A2349" s="5">
        <v>1.7107713247E11</v>
      </c>
      <c r="B2349" s="5" t="s">
        <v>2176</v>
      </c>
      <c r="C2349" s="5">
        <v>51966016418</v>
      </c>
      <c r="D2349" s="5" t="s">
        <v>13</v>
      </c>
      <c r="E2349" s="5">
        <v>8.7547393E7</v>
      </c>
      <c r="F2349" s="5" t="s">
        <v>714</v>
      </c>
      <c r="G2349" s="5" t="s">
        <v>15</v>
      </c>
      <c r="H2349" s="5" t="s">
        <v>51</v>
      </c>
      <c r="I2349" s="6"/>
      <c r="J2349" s="7" t="s">
        <v>58</v>
      </c>
      <c r="K2349" s="11" t="s">
        <v>59</v>
      </c>
      <c r="L2349" s="8">
        <v>1.772075382226E12</v>
      </c>
      <c r="M2349" s="9"/>
      <c r="N2349" s="10"/>
      <c r="O2349" s="10"/>
      <c r="P2349" s="10"/>
      <c r="Q2349" s="10"/>
      <c r="R2349" s="10"/>
      <c r="S2349" s="10"/>
      <c r="T2349" s="10"/>
      <c r="U2349" s="10"/>
      <c r="V2349" s="10"/>
    </row>
    <row r="2350" ht="22.5" customHeight="1">
      <c r="A2350" s="5">
        <v>2.05448234349E11</v>
      </c>
      <c r="B2350" s="5" t="s">
        <v>2177</v>
      </c>
      <c r="C2350" s="5">
        <v>5531992084456</v>
      </c>
      <c r="D2350" s="5" t="s">
        <v>13</v>
      </c>
      <c r="E2350" s="5">
        <v>7.9360573E7</v>
      </c>
      <c r="F2350" s="5" t="s">
        <v>39</v>
      </c>
      <c r="G2350" s="5" t="s">
        <v>15</v>
      </c>
      <c r="H2350" s="5" t="s">
        <v>33</v>
      </c>
      <c r="I2350" s="6" t="s">
        <v>17</v>
      </c>
      <c r="J2350" s="7" t="s">
        <v>34</v>
      </c>
      <c r="K2350" s="7"/>
      <c r="L2350" s="8">
        <v>1.772075401264E12</v>
      </c>
      <c r="M2350" s="9"/>
      <c r="N2350" s="10"/>
      <c r="O2350" s="10"/>
      <c r="P2350" s="10"/>
      <c r="Q2350" s="10"/>
      <c r="R2350" s="10"/>
      <c r="S2350" s="10"/>
      <c r="T2350" s="10"/>
      <c r="U2350" s="10"/>
      <c r="V2350" s="10"/>
    </row>
    <row r="2351" ht="22.5" customHeight="1">
      <c r="A2351" s="5">
        <v>2.05451714898E11</v>
      </c>
      <c r="B2351" s="5" t="s">
        <v>2178</v>
      </c>
      <c r="C2351" s="5">
        <v>51961239370</v>
      </c>
      <c r="D2351" s="5" t="s">
        <v>13</v>
      </c>
      <c r="E2351" s="5">
        <v>8.0566583E7</v>
      </c>
      <c r="F2351" s="5" t="s">
        <v>39</v>
      </c>
      <c r="G2351" s="5" t="s">
        <v>32</v>
      </c>
      <c r="H2351" s="5" t="s">
        <v>80</v>
      </c>
      <c r="I2351" s="6" t="s">
        <v>17</v>
      </c>
      <c r="J2351" s="7" t="s">
        <v>18</v>
      </c>
      <c r="K2351" s="7" t="s">
        <v>19</v>
      </c>
      <c r="L2351" s="8">
        <v>1.772076727141E12</v>
      </c>
      <c r="M2351" s="9"/>
      <c r="N2351" s="10"/>
      <c r="O2351" s="10"/>
      <c r="P2351" s="10"/>
      <c r="Q2351" s="10"/>
      <c r="R2351" s="10"/>
      <c r="S2351" s="10"/>
      <c r="T2351" s="10"/>
      <c r="U2351" s="10"/>
      <c r="V2351" s="10"/>
    </row>
    <row r="2352" ht="22.5" customHeight="1">
      <c r="A2352" s="5">
        <v>2.05451799338E11</v>
      </c>
      <c r="B2352" s="5" t="s">
        <v>2179</v>
      </c>
      <c r="C2352" s="5">
        <v>51938338964</v>
      </c>
      <c r="D2352" s="5" t="s">
        <v>13</v>
      </c>
      <c r="E2352" s="5">
        <v>8.0566583E7</v>
      </c>
      <c r="F2352" s="5" t="s">
        <v>510</v>
      </c>
      <c r="G2352" s="5" t="s">
        <v>15</v>
      </c>
      <c r="H2352" s="5" t="s">
        <v>24</v>
      </c>
      <c r="I2352" s="6" t="s">
        <v>17</v>
      </c>
      <c r="J2352" s="7" t="s">
        <v>18</v>
      </c>
      <c r="K2352" s="7" t="s">
        <v>19</v>
      </c>
      <c r="L2352" s="8">
        <v>1.772078033291E12</v>
      </c>
      <c r="M2352" s="9"/>
      <c r="N2352" s="10"/>
      <c r="O2352" s="10"/>
      <c r="P2352" s="10"/>
      <c r="Q2352" s="10"/>
      <c r="R2352" s="10"/>
      <c r="S2352" s="10"/>
      <c r="T2352" s="10"/>
      <c r="U2352" s="10"/>
      <c r="V2352" s="10"/>
    </row>
    <row r="2353" ht="22.5" customHeight="1">
      <c r="A2353" s="5">
        <v>2.05498893444E11</v>
      </c>
      <c r="B2353" s="5" t="s">
        <v>2180</v>
      </c>
      <c r="C2353" s="5">
        <v>51998696183</v>
      </c>
      <c r="D2353" s="5" t="s">
        <v>13</v>
      </c>
      <c r="E2353" s="5">
        <v>8.0566583E7</v>
      </c>
      <c r="F2353" s="5" t="s">
        <v>39</v>
      </c>
      <c r="G2353" s="5" t="s">
        <v>15</v>
      </c>
      <c r="H2353" s="5" t="s">
        <v>16</v>
      </c>
      <c r="I2353" s="6" t="s">
        <v>17</v>
      </c>
      <c r="J2353" s="7" t="s">
        <v>18</v>
      </c>
      <c r="K2353" s="7" t="s">
        <v>19</v>
      </c>
      <c r="L2353" s="8">
        <v>1.772078324774E12</v>
      </c>
      <c r="M2353" s="9"/>
      <c r="N2353" s="10"/>
      <c r="O2353" s="10"/>
      <c r="P2353" s="10"/>
      <c r="Q2353" s="10"/>
      <c r="R2353" s="10"/>
      <c r="S2353" s="10"/>
      <c r="T2353" s="10"/>
      <c r="U2353" s="10"/>
      <c r="V2353" s="10"/>
    </row>
    <row r="2354" ht="22.5" customHeight="1">
      <c r="A2354" s="5">
        <v>2.05453312641E11</v>
      </c>
      <c r="B2354" s="5" t="s">
        <v>2181</v>
      </c>
      <c r="C2354" s="5">
        <v>51981374647</v>
      </c>
      <c r="D2354" s="5" t="s">
        <v>13</v>
      </c>
      <c r="E2354" s="5">
        <v>8.7547393E7</v>
      </c>
      <c r="F2354" s="5" t="s">
        <v>39</v>
      </c>
      <c r="G2354" s="5" t="s">
        <v>32</v>
      </c>
      <c r="H2354" s="5" t="s">
        <v>2182</v>
      </c>
      <c r="I2354" s="6" t="s">
        <v>17</v>
      </c>
      <c r="J2354" s="7" t="s">
        <v>18</v>
      </c>
      <c r="K2354" s="7" t="s">
        <v>19</v>
      </c>
      <c r="L2354" s="8">
        <v>1.772078329081E12</v>
      </c>
      <c r="M2354" s="9"/>
      <c r="N2354" s="10"/>
      <c r="O2354" s="10"/>
      <c r="P2354" s="10"/>
      <c r="Q2354" s="10"/>
      <c r="R2354" s="10"/>
      <c r="S2354" s="10"/>
      <c r="T2354" s="10"/>
      <c r="U2354" s="10"/>
      <c r="V2354" s="10"/>
    </row>
    <row r="2355" ht="22.5" customHeight="1">
      <c r="A2355" s="5">
        <v>1.46009680145E11</v>
      </c>
      <c r="B2355" s="5" t="s">
        <v>2183</v>
      </c>
      <c r="C2355" s="5">
        <v>51995817260</v>
      </c>
      <c r="D2355" s="5" t="s">
        <v>13</v>
      </c>
      <c r="E2355" s="5">
        <v>8.7547393E7</v>
      </c>
      <c r="F2355" s="5" t="s">
        <v>28</v>
      </c>
      <c r="G2355" s="5" t="s">
        <v>32</v>
      </c>
      <c r="H2355" s="5" t="s">
        <v>24</v>
      </c>
      <c r="I2355" s="6" t="s">
        <v>63</v>
      </c>
      <c r="J2355" s="7" t="s">
        <v>34</v>
      </c>
      <c r="K2355" s="7"/>
      <c r="L2355" s="8">
        <v>1.772079105504E12</v>
      </c>
      <c r="M2355" s="9"/>
      <c r="N2355" s="10"/>
      <c r="O2355" s="10"/>
      <c r="P2355" s="10"/>
      <c r="Q2355" s="10"/>
      <c r="R2355" s="10"/>
      <c r="S2355" s="10"/>
      <c r="T2355" s="10"/>
      <c r="U2355" s="10"/>
      <c r="V2355" s="10"/>
    </row>
    <row r="2356" ht="22.5" customHeight="1">
      <c r="A2356" s="5">
        <v>2.05498978901E11</v>
      </c>
      <c r="B2356" s="5" t="s">
        <v>2184</v>
      </c>
      <c r="C2356" s="5">
        <v>51970676548</v>
      </c>
      <c r="D2356" s="5" t="s">
        <v>13</v>
      </c>
      <c r="E2356" s="5">
        <v>8.7547393E7</v>
      </c>
      <c r="F2356" s="5" t="s">
        <v>65</v>
      </c>
      <c r="G2356" s="5" t="s">
        <v>32</v>
      </c>
      <c r="H2356" s="5" t="s">
        <v>51</v>
      </c>
      <c r="I2356" s="6" t="s">
        <v>49</v>
      </c>
      <c r="J2356" s="7" t="s">
        <v>34</v>
      </c>
      <c r="K2356" s="7"/>
      <c r="L2356" s="8">
        <v>1.772079352582E12</v>
      </c>
      <c r="M2356" s="9"/>
      <c r="N2356" s="10"/>
      <c r="O2356" s="10"/>
      <c r="P2356" s="10"/>
      <c r="Q2356" s="10"/>
      <c r="R2356" s="10"/>
      <c r="S2356" s="10"/>
      <c r="T2356" s="10"/>
      <c r="U2356" s="10"/>
      <c r="V2356" s="10"/>
    </row>
    <row r="2357" ht="22.5" customHeight="1">
      <c r="A2357" s="5">
        <v>2.05480569717E11</v>
      </c>
      <c r="B2357" s="5" t="s">
        <v>2185</v>
      </c>
      <c r="C2357" s="5">
        <v>5562994038749</v>
      </c>
      <c r="D2357" s="5" t="s">
        <v>13</v>
      </c>
      <c r="E2357" s="5">
        <v>7.9360573E7</v>
      </c>
      <c r="F2357" s="5" t="s">
        <v>510</v>
      </c>
      <c r="G2357" s="5" t="s">
        <v>44</v>
      </c>
      <c r="H2357" s="5" t="s">
        <v>16</v>
      </c>
      <c r="I2357" s="6" t="s">
        <v>17</v>
      </c>
      <c r="J2357" s="7" t="s">
        <v>34</v>
      </c>
      <c r="K2357" s="7"/>
      <c r="L2357" s="8">
        <v>1.772080479828E12</v>
      </c>
      <c r="M2357" s="9"/>
      <c r="N2357" s="10"/>
      <c r="O2357" s="10"/>
      <c r="P2357" s="10"/>
      <c r="Q2357" s="10"/>
      <c r="R2357" s="10"/>
      <c r="S2357" s="10"/>
      <c r="T2357" s="10"/>
      <c r="U2357" s="10"/>
      <c r="V2357" s="10"/>
    </row>
    <row r="2358" ht="22.5" customHeight="1">
      <c r="A2358" s="5">
        <v>2.05485782066E11</v>
      </c>
      <c r="B2358" s="5" t="s">
        <v>2186</v>
      </c>
      <c r="C2358" s="5">
        <v>51921674736</v>
      </c>
      <c r="D2358" s="5" t="s">
        <v>13</v>
      </c>
      <c r="E2358" s="5">
        <v>8.7547393E7</v>
      </c>
      <c r="F2358" s="5" t="s">
        <v>39</v>
      </c>
      <c r="G2358" s="5" t="s">
        <v>15</v>
      </c>
      <c r="H2358" s="5" t="s">
        <v>51</v>
      </c>
      <c r="I2358" s="6" t="s">
        <v>17</v>
      </c>
      <c r="J2358" s="7" t="s">
        <v>124</v>
      </c>
      <c r="K2358" s="7" t="s">
        <v>125</v>
      </c>
      <c r="L2358" s="8">
        <v>1.772084565895E12</v>
      </c>
      <c r="M2358" s="9"/>
      <c r="N2358" s="10"/>
      <c r="O2358" s="10"/>
      <c r="P2358" s="10"/>
      <c r="Q2358" s="10"/>
      <c r="R2358" s="10"/>
      <c r="S2358" s="10"/>
      <c r="T2358" s="10"/>
      <c r="U2358" s="10"/>
      <c r="V2358" s="10"/>
    </row>
    <row r="2359" ht="22.5" customHeight="1">
      <c r="A2359" s="5">
        <v>2.05486824206E11</v>
      </c>
      <c r="B2359" s="5" t="s">
        <v>2187</v>
      </c>
      <c r="C2359" s="5">
        <v>51921189754</v>
      </c>
      <c r="D2359" s="5" t="s">
        <v>13</v>
      </c>
      <c r="E2359" s="5">
        <v>8.0566583E7</v>
      </c>
      <c r="F2359" s="5" t="s">
        <v>28</v>
      </c>
      <c r="G2359" s="5" t="s">
        <v>32</v>
      </c>
      <c r="H2359" s="5" t="s">
        <v>16</v>
      </c>
      <c r="I2359" s="6" t="s">
        <v>17</v>
      </c>
      <c r="J2359" s="7" t="s">
        <v>18</v>
      </c>
      <c r="K2359" s="7" t="s">
        <v>19</v>
      </c>
      <c r="L2359" s="8">
        <v>1.77208527098E12</v>
      </c>
      <c r="M2359" s="9"/>
      <c r="N2359" s="10"/>
      <c r="O2359" s="10"/>
      <c r="P2359" s="10"/>
      <c r="Q2359" s="10"/>
      <c r="R2359" s="10"/>
      <c r="S2359" s="10"/>
      <c r="T2359" s="10"/>
      <c r="U2359" s="10"/>
      <c r="V2359" s="10"/>
    </row>
    <row r="2360" ht="22.5" customHeight="1">
      <c r="A2360" s="5">
        <v>2.05474470028E11</v>
      </c>
      <c r="B2360" s="5" t="s">
        <v>2188</v>
      </c>
      <c r="C2360" s="5">
        <v>51974185066</v>
      </c>
      <c r="D2360" s="5" t="s">
        <v>13</v>
      </c>
      <c r="E2360" s="5">
        <v>8.0566583E7</v>
      </c>
      <c r="F2360" s="5" t="s">
        <v>39</v>
      </c>
      <c r="G2360" s="5" t="s">
        <v>15</v>
      </c>
      <c r="H2360" s="5" t="s">
        <v>51</v>
      </c>
      <c r="I2360" s="6" t="s">
        <v>36</v>
      </c>
      <c r="J2360" s="7" t="s">
        <v>58</v>
      </c>
      <c r="K2360" s="11" t="s">
        <v>59</v>
      </c>
      <c r="L2360" s="8">
        <v>1.772085671413E12</v>
      </c>
      <c r="M2360" s="9"/>
      <c r="N2360" s="10"/>
      <c r="O2360" s="10"/>
      <c r="P2360" s="10"/>
      <c r="Q2360" s="10"/>
      <c r="R2360" s="10"/>
      <c r="S2360" s="10"/>
      <c r="T2360" s="10"/>
      <c r="U2360" s="10"/>
      <c r="V2360" s="10"/>
    </row>
    <row r="2361" ht="22.5" customHeight="1">
      <c r="A2361" s="5">
        <v>2.05487075691E11</v>
      </c>
      <c r="B2361" s="5" t="s">
        <v>2189</v>
      </c>
      <c r="C2361" s="5">
        <v>51991322421</v>
      </c>
      <c r="D2361" s="5" t="s">
        <v>38</v>
      </c>
      <c r="E2361" s="5">
        <v>8.0566583E7</v>
      </c>
      <c r="F2361" s="5"/>
      <c r="G2361" s="5"/>
      <c r="H2361" s="5"/>
      <c r="I2361" s="6"/>
      <c r="J2361" s="7" t="s">
        <v>34</v>
      </c>
      <c r="K2361" s="7"/>
      <c r="L2361" s="8">
        <v>1.772086509953E12</v>
      </c>
      <c r="M2361" s="9"/>
      <c r="N2361" s="10"/>
      <c r="O2361" s="10"/>
      <c r="P2361" s="10"/>
      <c r="Q2361" s="10"/>
      <c r="R2361" s="10"/>
      <c r="S2361" s="10"/>
      <c r="T2361" s="10"/>
      <c r="U2361" s="10"/>
      <c r="V2361" s="10"/>
    </row>
    <row r="2362" ht="22.5" customHeight="1">
      <c r="A2362" s="5">
        <v>2.05507563524E11</v>
      </c>
      <c r="B2362" s="5" t="s">
        <v>2190</v>
      </c>
      <c r="C2362" s="5">
        <v>51972087716</v>
      </c>
      <c r="D2362" s="5" t="s">
        <v>38</v>
      </c>
      <c r="E2362" s="5">
        <v>8.0566583E7</v>
      </c>
      <c r="F2362" s="5"/>
      <c r="G2362" s="5"/>
      <c r="H2362" s="5"/>
      <c r="I2362" s="6"/>
      <c r="J2362" s="7" t="s">
        <v>18</v>
      </c>
      <c r="K2362" s="7" t="s">
        <v>19</v>
      </c>
      <c r="L2362" s="8">
        <v>1.772090188106E12</v>
      </c>
      <c r="M2362" s="9"/>
      <c r="N2362" s="10"/>
      <c r="O2362" s="10"/>
      <c r="P2362" s="10"/>
      <c r="Q2362" s="10"/>
      <c r="R2362" s="10"/>
      <c r="S2362" s="10"/>
      <c r="T2362" s="10"/>
      <c r="U2362" s="10"/>
      <c r="V2362" s="10"/>
    </row>
    <row r="2363" ht="22.5" customHeight="1">
      <c r="A2363" s="5">
        <v>2.05490834343E11</v>
      </c>
      <c r="B2363" s="5" t="s">
        <v>2191</v>
      </c>
      <c r="C2363" s="5">
        <v>5521976534479</v>
      </c>
      <c r="D2363" s="5" t="s">
        <v>13</v>
      </c>
      <c r="E2363" s="5">
        <v>7.9360573E7</v>
      </c>
      <c r="F2363" s="5" t="s">
        <v>28</v>
      </c>
      <c r="G2363" s="5" t="s">
        <v>15</v>
      </c>
      <c r="H2363" s="5" t="s">
        <v>24</v>
      </c>
      <c r="I2363" s="6" t="s">
        <v>17</v>
      </c>
      <c r="J2363" s="7" t="s">
        <v>34</v>
      </c>
      <c r="K2363" s="7"/>
      <c r="L2363" s="8">
        <v>1.772092531216E12</v>
      </c>
      <c r="M2363" s="9"/>
      <c r="N2363" s="10"/>
      <c r="O2363" s="10"/>
      <c r="P2363" s="10"/>
      <c r="Q2363" s="10"/>
      <c r="R2363" s="10"/>
      <c r="S2363" s="10"/>
      <c r="T2363" s="10"/>
      <c r="U2363" s="10"/>
      <c r="V2363" s="10"/>
    </row>
    <row r="2364" ht="22.5" customHeight="1">
      <c r="A2364" s="5">
        <v>2.05491626008E11</v>
      </c>
      <c r="B2364" s="5" t="s">
        <v>2192</v>
      </c>
      <c r="C2364" s="5">
        <v>5547992070602</v>
      </c>
      <c r="D2364" s="5" t="s">
        <v>13</v>
      </c>
      <c r="E2364" s="5">
        <v>7.9360573E7</v>
      </c>
      <c r="F2364" s="5" t="s">
        <v>28</v>
      </c>
      <c r="G2364" s="5" t="s">
        <v>32</v>
      </c>
      <c r="H2364" s="5" t="s">
        <v>66</v>
      </c>
      <c r="I2364" s="6" t="s">
        <v>17</v>
      </c>
      <c r="J2364" s="7" t="s">
        <v>124</v>
      </c>
      <c r="K2364" s="7" t="s">
        <v>1256</v>
      </c>
      <c r="L2364" s="8">
        <v>1.772093335215E12</v>
      </c>
      <c r="M2364" s="9"/>
      <c r="N2364" s="10"/>
      <c r="O2364" s="10"/>
      <c r="P2364" s="10"/>
      <c r="Q2364" s="10"/>
      <c r="R2364" s="10"/>
      <c r="S2364" s="10"/>
      <c r="T2364" s="10"/>
      <c r="U2364" s="10"/>
      <c r="V2364" s="10"/>
    </row>
    <row r="2365" ht="22.5" customHeight="1">
      <c r="A2365" s="5">
        <v>2.05513390112E11</v>
      </c>
      <c r="B2365" s="5" t="s">
        <v>2193</v>
      </c>
      <c r="C2365" s="5">
        <v>51970708640</v>
      </c>
      <c r="D2365" s="5" t="s">
        <v>38</v>
      </c>
      <c r="E2365" s="5">
        <v>8.7547393E7</v>
      </c>
      <c r="F2365" s="5"/>
      <c r="G2365" s="5"/>
      <c r="H2365" s="5"/>
      <c r="I2365" s="6"/>
      <c r="J2365" s="7" t="s">
        <v>25</v>
      </c>
      <c r="K2365" s="7" t="s">
        <v>501</v>
      </c>
      <c r="L2365" s="8">
        <v>1.772097707069E12</v>
      </c>
      <c r="M2365" s="9"/>
      <c r="N2365" s="10"/>
      <c r="O2365" s="10"/>
      <c r="P2365" s="10"/>
      <c r="Q2365" s="10"/>
      <c r="R2365" s="10"/>
      <c r="S2365" s="10"/>
      <c r="T2365" s="10"/>
      <c r="U2365" s="10"/>
      <c r="V2365" s="10"/>
    </row>
    <row r="2366" ht="22.5" customHeight="1">
      <c r="A2366" s="5">
        <v>2.05511633921E11</v>
      </c>
      <c r="B2366" s="5" t="s">
        <v>2194</v>
      </c>
      <c r="C2366" s="5">
        <v>51979821064</v>
      </c>
      <c r="D2366" s="5" t="s">
        <v>13</v>
      </c>
      <c r="E2366" s="5">
        <v>8.7547393E7</v>
      </c>
      <c r="F2366" s="5" t="s">
        <v>14</v>
      </c>
      <c r="G2366" s="5" t="s">
        <v>15</v>
      </c>
      <c r="H2366" s="5" t="s">
        <v>29</v>
      </c>
      <c r="I2366" s="6" t="s">
        <v>17</v>
      </c>
      <c r="J2366" s="7" t="s">
        <v>34</v>
      </c>
      <c r="K2366" s="7"/>
      <c r="L2366" s="8">
        <v>1.772099203947E12</v>
      </c>
      <c r="M2366" s="9"/>
      <c r="N2366" s="10"/>
      <c r="O2366" s="10"/>
      <c r="P2366" s="10"/>
      <c r="Q2366" s="10"/>
      <c r="R2366" s="10"/>
      <c r="S2366" s="10"/>
      <c r="T2366" s="10"/>
      <c r="U2366" s="10"/>
      <c r="V2366" s="10"/>
    </row>
    <row r="2367" ht="22.5" customHeight="1">
      <c r="A2367" s="5">
        <v>2.04998262534E11</v>
      </c>
      <c r="B2367" s="5" t="s">
        <v>2195</v>
      </c>
      <c r="C2367" s="5">
        <v>51958908060</v>
      </c>
      <c r="D2367" s="5" t="s">
        <v>22</v>
      </c>
      <c r="E2367" s="5">
        <v>8.7547393E7</v>
      </c>
      <c r="F2367" s="5" t="s">
        <v>42</v>
      </c>
      <c r="G2367" s="5" t="s">
        <v>79</v>
      </c>
      <c r="H2367" s="5" t="s">
        <v>51</v>
      </c>
      <c r="I2367" s="6" t="s">
        <v>17</v>
      </c>
      <c r="J2367" s="7" t="s">
        <v>18</v>
      </c>
      <c r="K2367" s="7" t="s">
        <v>19</v>
      </c>
      <c r="L2367" s="8">
        <v>1.772100172374E12</v>
      </c>
      <c r="M2367" s="9"/>
      <c r="N2367" s="10"/>
      <c r="O2367" s="10"/>
      <c r="P2367" s="10"/>
      <c r="Q2367" s="10"/>
      <c r="R2367" s="10"/>
      <c r="S2367" s="10"/>
      <c r="T2367" s="10"/>
      <c r="U2367" s="10"/>
      <c r="V2367" s="10"/>
    </row>
    <row r="2368" ht="22.5" customHeight="1">
      <c r="A2368" s="5">
        <v>2.05523108481E11</v>
      </c>
      <c r="B2368" s="5" t="s">
        <v>2196</v>
      </c>
      <c r="C2368" s="5">
        <v>51929773074</v>
      </c>
      <c r="D2368" s="5" t="s">
        <v>13</v>
      </c>
      <c r="E2368" s="5">
        <v>8.0566583E7</v>
      </c>
      <c r="F2368" s="5" t="s">
        <v>39</v>
      </c>
      <c r="G2368" s="5" t="s">
        <v>15</v>
      </c>
      <c r="H2368" s="5" t="s">
        <v>66</v>
      </c>
      <c r="I2368" s="6" t="s">
        <v>17</v>
      </c>
      <c r="J2368" s="7" t="s">
        <v>18</v>
      </c>
      <c r="K2368" s="7" t="s">
        <v>19</v>
      </c>
      <c r="L2368" s="8">
        <v>1.772100902249E12</v>
      </c>
      <c r="M2368" s="9"/>
      <c r="N2368" s="10"/>
      <c r="O2368" s="10"/>
      <c r="P2368" s="10"/>
      <c r="Q2368" s="10"/>
      <c r="R2368" s="10"/>
      <c r="S2368" s="10"/>
      <c r="T2368" s="10"/>
      <c r="U2368" s="10"/>
      <c r="V2368" s="10"/>
    </row>
    <row r="2369" ht="22.5" customHeight="1">
      <c r="A2369" s="5">
        <v>2.05517368585E11</v>
      </c>
      <c r="B2369" s="5" t="s">
        <v>2197</v>
      </c>
      <c r="C2369" s="5">
        <v>51920436573</v>
      </c>
      <c r="D2369" s="5" t="s">
        <v>13</v>
      </c>
      <c r="E2369" s="5">
        <v>8.0566583E7</v>
      </c>
      <c r="F2369" s="5" t="s">
        <v>39</v>
      </c>
      <c r="G2369" s="5" t="s">
        <v>15</v>
      </c>
      <c r="H2369" s="5" t="s">
        <v>16</v>
      </c>
      <c r="I2369" s="6" t="s">
        <v>17</v>
      </c>
      <c r="J2369" s="7" t="s">
        <v>18</v>
      </c>
      <c r="K2369" s="7" t="s">
        <v>19</v>
      </c>
      <c r="L2369" s="8">
        <v>1.772102008158E12</v>
      </c>
      <c r="M2369" s="9"/>
      <c r="N2369" s="10"/>
      <c r="O2369" s="10"/>
      <c r="P2369" s="10"/>
      <c r="Q2369" s="10"/>
      <c r="R2369" s="10"/>
      <c r="S2369" s="10"/>
      <c r="T2369" s="10"/>
      <c r="U2369" s="10"/>
      <c r="V2369" s="10"/>
    </row>
    <row r="2370" ht="22.5" customHeight="1">
      <c r="A2370" s="5">
        <v>1.63723681387E11</v>
      </c>
      <c r="B2370" s="5" t="s">
        <v>2198</v>
      </c>
      <c r="C2370" s="5">
        <v>51954011492</v>
      </c>
      <c r="D2370" s="5" t="s">
        <v>13</v>
      </c>
      <c r="E2370" s="5">
        <v>8.0566583E7</v>
      </c>
      <c r="F2370" s="5" t="s">
        <v>14</v>
      </c>
      <c r="G2370" s="5" t="s">
        <v>32</v>
      </c>
      <c r="H2370" s="5" t="s">
        <v>24</v>
      </c>
      <c r="I2370" s="6" t="s">
        <v>17</v>
      </c>
      <c r="J2370" s="7" t="s">
        <v>18</v>
      </c>
      <c r="K2370" s="7" t="s">
        <v>116</v>
      </c>
      <c r="L2370" s="8">
        <v>1.772102485548E12</v>
      </c>
      <c r="M2370" s="9"/>
      <c r="N2370" s="10"/>
      <c r="O2370" s="10"/>
      <c r="P2370" s="10"/>
      <c r="Q2370" s="10"/>
      <c r="R2370" s="10"/>
      <c r="S2370" s="10"/>
      <c r="T2370" s="10"/>
      <c r="U2370" s="10"/>
      <c r="V2370" s="10"/>
    </row>
    <row r="2371" ht="22.5" customHeight="1">
      <c r="A2371" s="5">
        <v>2.0552439685E11</v>
      </c>
      <c r="B2371" s="5" t="s">
        <v>2199</v>
      </c>
      <c r="C2371" s="5">
        <v>51972708687</v>
      </c>
      <c r="D2371" s="5" t="s">
        <v>38</v>
      </c>
      <c r="E2371" s="5">
        <v>8.0566583E7</v>
      </c>
      <c r="F2371" s="5" t="s">
        <v>14</v>
      </c>
      <c r="G2371" s="5" t="s">
        <v>15</v>
      </c>
      <c r="H2371" s="5" t="s">
        <v>16</v>
      </c>
      <c r="I2371" s="6" t="s">
        <v>17</v>
      </c>
      <c r="J2371" s="7" t="s">
        <v>177</v>
      </c>
      <c r="K2371" s="7" t="s">
        <v>36</v>
      </c>
      <c r="L2371" s="8">
        <v>1.772103248632E12</v>
      </c>
      <c r="M2371" s="9"/>
      <c r="N2371" s="10"/>
      <c r="O2371" s="10"/>
      <c r="P2371" s="10"/>
      <c r="Q2371" s="10"/>
      <c r="R2371" s="10"/>
      <c r="S2371" s="10"/>
      <c r="T2371" s="10"/>
      <c r="U2371" s="10"/>
      <c r="V2371" s="10"/>
    </row>
    <row r="2372" ht="22.5" customHeight="1">
      <c r="A2372" s="5">
        <v>2.0550018987E11</v>
      </c>
      <c r="B2372" s="5" t="s">
        <v>2200</v>
      </c>
      <c r="C2372" s="5">
        <v>51944718226</v>
      </c>
      <c r="D2372" s="5" t="s">
        <v>13</v>
      </c>
      <c r="E2372" s="5">
        <v>8.0566583E7</v>
      </c>
      <c r="F2372" s="5" t="s">
        <v>28</v>
      </c>
      <c r="G2372" s="5" t="s">
        <v>15</v>
      </c>
      <c r="H2372" s="5" t="s">
        <v>24</v>
      </c>
      <c r="I2372" s="6" t="s">
        <v>17</v>
      </c>
      <c r="J2372" s="7" t="s">
        <v>18</v>
      </c>
      <c r="K2372" s="7" t="s">
        <v>19</v>
      </c>
      <c r="L2372" s="8">
        <v>1.772104422981E12</v>
      </c>
      <c r="M2372" s="9"/>
      <c r="N2372" s="10"/>
      <c r="O2372" s="10"/>
      <c r="P2372" s="10"/>
      <c r="Q2372" s="10"/>
      <c r="R2372" s="10"/>
      <c r="S2372" s="10"/>
      <c r="T2372" s="10"/>
      <c r="U2372" s="10"/>
      <c r="V2372" s="10"/>
    </row>
    <row r="2373" ht="22.5" customHeight="1">
      <c r="A2373" s="5">
        <v>2.05549952878E11</v>
      </c>
      <c r="B2373" s="5" t="s">
        <v>2201</v>
      </c>
      <c r="C2373" s="5">
        <v>51962637352</v>
      </c>
      <c r="D2373" s="5" t="s">
        <v>38</v>
      </c>
      <c r="E2373" s="5">
        <v>8.0566583E7</v>
      </c>
      <c r="F2373" s="5" t="s">
        <v>28</v>
      </c>
      <c r="G2373" s="5" t="s">
        <v>15</v>
      </c>
      <c r="H2373" s="5" t="s">
        <v>69</v>
      </c>
      <c r="I2373" s="6" t="s">
        <v>17</v>
      </c>
      <c r="J2373" s="7" t="s">
        <v>18</v>
      </c>
      <c r="K2373" s="7" t="s">
        <v>19</v>
      </c>
      <c r="L2373" s="8">
        <v>1.772104532038E12</v>
      </c>
      <c r="M2373" s="9"/>
      <c r="N2373" s="10"/>
      <c r="O2373" s="10"/>
      <c r="P2373" s="10"/>
      <c r="Q2373" s="10"/>
      <c r="R2373" s="10"/>
      <c r="S2373" s="10"/>
      <c r="T2373" s="10"/>
      <c r="U2373" s="10"/>
      <c r="V2373" s="10"/>
    </row>
    <row r="2374" ht="22.5" customHeight="1">
      <c r="A2374" s="5">
        <v>2.0555187077E11</v>
      </c>
      <c r="B2374" s="5" t="s">
        <v>2202</v>
      </c>
      <c r="C2374" s="5">
        <v>5541987004851</v>
      </c>
      <c r="D2374" s="5" t="s">
        <v>22</v>
      </c>
      <c r="E2374" s="5">
        <v>7.9360573E7</v>
      </c>
      <c r="F2374" s="5" t="s">
        <v>28</v>
      </c>
      <c r="G2374" s="5" t="s">
        <v>44</v>
      </c>
      <c r="H2374" s="5" t="s">
        <v>16</v>
      </c>
      <c r="I2374" s="6" t="s">
        <v>17</v>
      </c>
      <c r="J2374" s="7" t="s">
        <v>34</v>
      </c>
      <c r="K2374" s="7"/>
      <c r="L2374" s="8">
        <v>1.772104689913E12</v>
      </c>
      <c r="M2374" s="9"/>
      <c r="N2374" s="10"/>
      <c r="O2374" s="10"/>
      <c r="P2374" s="10"/>
      <c r="Q2374" s="10"/>
      <c r="R2374" s="10"/>
      <c r="S2374" s="10"/>
      <c r="T2374" s="10"/>
      <c r="U2374" s="10"/>
      <c r="V2374" s="10"/>
    </row>
    <row r="2375" ht="22.5" customHeight="1">
      <c r="A2375" s="5">
        <v>1.728052352E11</v>
      </c>
      <c r="B2375" s="5" t="s">
        <v>946</v>
      </c>
      <c r="C2375" s="5">
        <v>51997867734</v>
      </c>
      <c r="D2375" s="5" t="s">
        <v>13</v>
      </c>
      <c r="E2375" s="5">
        <v>8.7547393E7</v>
      </c>
      <c r="F2375" s="5" t="s">
        <v>510</v>
      </c>
      <c r="G2375" s="5" t="s">
        <v>15</v>
      </c>
      <c r="H2375" s="5" t="s">
        <v>51</v>
      </c>
      <c r="I2375" s="6" t="s">
        <v>17</v>
      </c>
      <c r="J2375" s="7" t="s">
        <v>34</v>
      </c>
      <c r="K2375" s="7"/>
      <c r="L2375" s="8">
        <v>1.772104909818E12</v>
      </c>
      <c r="M2375" s="9"/>
      <c r="N2375" s="10"/>
      <c r="O2375" s="10"/>
      <c r="P2375" s="10"/>
      <c r="Q2375" s="10"/>
      <c r="R2375" s="10"/>
      <c r="S2375" s="10"/>
      <c r="T2375" s="10"/>
      <c r="U2375" s="10"/>
      <c r="V2375" s="10"/>
    </row>
    <row r="2376" ht="22.5" customHeight="1">
      <c r="A2376" s="5">
        <v>2.05552902289E11</v>
      </c>
      <c r="B2376" s="5" t="s">
        <v>2203</v>
      </c>
      <c r="C2376" s="5">
        <v>51985740445</v>
      </c>
      <c r="D2376" s="5" t="s">
        <v>13</v>
      </c>
      <c r="E2376" s="5">
        <v>8.7547393E7</v>
      </c>
      <c r="F2376" s="5" t="s">
        <v>259</v>
      </c>
      <c r="G2376" s="5"/>
      <c r="H2376" s="5" t="s">
        <v>66</v>
      </c>
      <c r="I2376" s="6" t="s">
        <v>17</v>
      </c>
      <c r="J2376" s="7" t="s">
        <v>18</v>
      </c>
      <c r="K2376" s="7" t="s">
        <v>19</v>
      </c>
      <c r="L2376" s="8">
        <v>1.772107508605E12</v>
      </c>
      <c r="M2376" s="9"/>
      <c r="N2376" s="10"/>
      <c r="O2376" s="10"/>
      <c r="P2376" s="10"/>
      <c r="Q2376" s="10"/>
      <c r="R2376" s="10"/>
      <c r="S2376" s="10"/>
      <c r="T2376" s="10"/>
      <c r="U2376" s="10"/>
      <c r="V2376" s="10"/>
    </row>
    <row r="2377" ht="22.5" customHeight="1">
      <c r="A2377" s="5">
        <v>2.05554777722E11</v>
      </c>
      <c r="B2377" s="5" t="s">
        <v>2204</v>
      </c>
      <c r="C2377" s="5">
        <v>51987301562</v>
      </c>
      <c r="D2377" s="5" t="s">
        <v>13</v>
      </c>
      <c r="E2377" s="5">
        <v>8.0566583E7</v>
      </c>
      <c r="F2377" s="5" t="s">
        <v>28</v>
      </c>
      <c r="G2377" s="5" t="s">
        <v>32</v>
      </c>
      <c r="H2377" s="5" t="s">
        <v>24</v>
      </c>
      <c r="I2377" s="6" t="s">
        <v>17</v>
      </c>
      <c r="J2377" s="7" t="s">
        <v>18</v>
      </c>
      <c r="K2377" s="7" t="s">
        <v>19</v>
      </c>
      <c r="L2377" s="8">
        <v>1.772107844304E12</v>
      </c>
      <c r="M2377" s="9"/>
      <c r="N2377" s="10"/>
      <c r="O2377" s="10"/>
      <c r="P2377" s="10"/>
      <c r="Q2377" s="10"/>
      <c r="R2377" s="10"/>
      <c r="S2377" s="10"/>
      <c r="T2377" s="10"/>
      <c r="U2377" s="10"/>
      <c r="V2377" s="10"/>
    </row>
    <row r="2378" ht="22.5" customHeight="1">
      <c r="A2378" s="5">
        <v>1.86641244852E11</v>
      </c>
      <c r="B2378" s="5" t="s">
        <v>2205</v>
      </c>
      <c r="C2378" s="5">
        <v>51960092240</v>
      </c>
      <c r="D2378" s="5" t="s">
        <v>13</v>
      </c>
      <c r="E2378" s="5">
        <v>8.0566583E7</v>
      </c>
      <c r="F2378" s="5" t="s">
        <v>259</v>
      </c>
      <c r="G2378" s="5" t="s">
        <v>15</v>
      </c>
      <c r="H2378" s="5" t="s">
        <v>24</v>
      </c>
      <c r="I2378" s="6" t="s">
        <v>17</v>
      </c>
      <c r="J2378" s="7" t="s">
        <v>18</v>
      </c>
      <c r="K2378" s="7" t="s">
        <v>19</v>
      </c>
      <c r="L2378" s="8">
        <v>1.772107864737E12</v>
      </c>
      <c r="M2378" s="9"/>
      <c r="N2378" s="10"/>
      <c r="O2378" s="10"/>
      <c r="P2378" s="10"/>
      <c r="Q2378" s="10"/>
      <c r="R2378" s="10"/>
      <c r="S2378" s="10"/>
      <c r="T2378" s="10"/>
      <c r="U2378" s="10"/>
      <c r="V2378" s="10"/>
    </row>
    <row r="2379" ht="22.5" customHeight="1">
      <c r="A2379" s="5">
        <v>2.05557251973E11</v>
      </c>
      <c r="B2379" s="5" t="s">
        <v>2206</v>
      </c>
      <c r="C2379" s="5">
        <v>51991582633</v>
      </c>
      <c r="D2379" s="5" t="s">
        <v>13</v>
      </c>
      <c r="E2379" s="5">
        <v>8.0566583E7</v>
      </c>
      <c r="F2379" s="5" t="s">
        <v>714</v>
      </c>
      <c r="G2379" s="5" t="s">
        <v>32</v>
      </c>
      <c r="H2379" s="5" t="s">
        <v>2207</v>
      </c>
      <c r="I2379" s="6" t="s">
        <v>17</v>
      </c>
      <c r="J2379" s="7" t="s">
        <v>18</v>
      </c>
      <c r="K2379" s="7" t="s">
        <v>19</v>
      </c>
      <c r="L2379" s="8">
        <v>1.772108317877E12</v>
      </c>
      <c r="M2379" s="9"/>
      <c r="N2379" s="10"/>
      <c r="O2379" s="10"/>
      <c r="P2379" s="10"/>
      <c r="Q2379" s="10"/>
      <c r="R2379" s="10"/>
      <c r="S2379" s="10"/>
      <c r="T2379" s="10"/>
      <c r="U2379" s="10"/>
      <c r="V2379" s="10"/>
    </row>
    <row r="2380" ht="22.5" customHeight="1">
      <c r="A2380" s="5">
        <v>2.05563880836E11</v>
      </c>
      <c r="B2380" s="5" t="s">
        <v>2208</v>
      </c>
      <c r="C2380" s="5">
        <v>5511953758871</v>
      </c>
      <c r="D2380" s="5" t="s">
        <v>13</v>
      </c>
      <c r="E2380" s="5">
        <v>7.9360573E7</v>
      </c>
      <c r="F2380" s="5" t="s">
        <v>28</v>
      </c>
      <c r="G2380" s="5" t="s">
        <v>15</v>
      </c>
      <c r="H2380" s="5" t="s">
        <v>16</v>
      </c>
      <c r="I2380" s="6" t="s">
        <v>17</v>
      </c>
      <c r="J2380" s="7" t="s">
        <v>34</v>
      </c>
      <c r="K2380" s="7"/>
      <c r="L2380" s="8">
        <v>1.772110085324E12</v>
      </c>
      <c r="M2380" s="9"/>
      <c r="N2380" s="10"/>
      <c r="O2380" s="10"/>
      <c r="P2380" s="10"/>
      <c r="Q2380" s="10"/>
      <c r="R2380" s="10"/>
      <c r="S2380" s="10"/>
      <c r="T2380" s="10"/>
      <c r="U2380" s="10"/>
      <c r="V2380" s="10"/>
    </row>
    <row r="2381" ht="22.5" customHeight="1">
      <c r="A2381" s="5">
        <v>2.05558645819E11</v>
      </c>
      <c r="B2381" s="5" t="s">
        <v>2209</v>
      </c>
      <c r="C2381" s="5">
        <v>51995158491</v>
      </c>
      <c r="D2381" s="5" t="s">
        <v>38</v>
      </c>
      <c r="E2381" s="5">
        <v>8.0566583E7</v>
      </c>
      <c r="F2381" s="5"/>
      <c r="G2381" s="5"/>
      <c r="H2381" s="5"/>
      <c r="I2381" s="6"/>
      <c r="J2381" s="7" t="s">
        <v>18</v>
      </c>
      <c r="K2381" s="7" t="s">
        <v>19</v>
      </c>
      <c r="L2381" s="8">
        <v>1.772110504632E12</v>
      </c>
      <c r="M2381" s="9"/>
      <c r="N2381" s="10"/>
      <c r="O2381" s="10"/>
      <c r="P2381" s="10"/>
      <c r="Q2381" s="10"/>
      <c r="R2381" s="10"/>
      <c r="S2381" s="10"/>
      <c r="T2381" s="10"/>
      <c r="U2381" s="10"/>
      <c r="V2381" s="10"/>
    </row>
    <row r="2382" ht="22.5" customHeight="1">
      <c r="A2382" s="5">
        <v>2.05566706195E11</v>
      </c>
      <c r="B2382" s="5" t="s">
        <v>2210</v>
      </c>
      <c r="C2382" s="5">
        <v>51953464521</v>
      </c>
      <c r="D2382" s="5" t="s">
        <v>13</v>
      </c>
      <c r="E2382" s="5">
        <v>8.0566583E7</v>
      </c>
      <c r="F2382" s="5" t="s">
        <v>28</v>
      </c>
      <c r="G2382" s="5" t="s">
        <v>15</v>
      </c>
      <c r="H2382" s="5" t="s">
        <v>69</v>
      </c>
      <c r="I2382" s="6" t="s">
        <v>17</v>
      </c>
      <c r="J2382" s="7" t="s">
        <v>34</v>
      </c>
      <c r="K2382" s="7"/>
      <c r="L2382" s="8">
        <v>1.772111014937E12</v>
      </c>
      <c r="M2382" s="9"/>
      <c r="N2382" s="10"/>
      <c r="O2382" s="10"/>
      <c r="P2382" s="10"/>
      <c r="Q2382" s="10"/>
      <c r="R2382" s="10"/>
      <c r="S2382" s="10"/>
      <c r="T2382" s="10"/>
      <c r="U2382" s="10"/>
      <c r="V2382" s="10"/>
    </row>
    <row r="2383" ht="22.5" customHeight="1">
      <c r="A2383" s="5">
        <v>1.48485694743E11</v>
      </c>
      <c r="B2383" s="5" t="s">
        <v>2211</v>
      </c>
      <c r="C2383" s="5">
        <v>5511964833259</v>
      </c>
      <c r="D2383" s="5" t="s">
        <v>38</v>
      </c>
      <c r="E2383" s="5">
        <v>7.9360573E7</v>
      </c>
      <c r="F2383" s="5"/>
      <c r="G2383" s="5"/>
      <c r="H2383" s="5"/>
      <c r="I2383" s="6"/>
      <c r="J2383" s="7" t="s">
        <v>34</v>
      </c>
      <c r="K2383" s="7"/>
      <c r="L2383" s="8">
        <v>1.772111430648E12</v>
      </c>
      <c r="M2383" s="9"/>
      <c r="N2383" s="10"/>
      <c r="O2383" s="10"/>
      <c r="P2383" s="10"/>
      <c r="Q2383" s="10"/>
      <c r="R2383" s="10"/>
      <c r="S2383" s="10"/>
      <c r="T2383" s="10"/>
      <c r="U2383" s="10"/>
      <c r="V2383" s="10"/>
    </row>
    <row r="2384" ht="22.5" customHeight="1">
      <c r="A2384" s="5">
        <v>1.43643655811E11</v>
      </c>
      <c r="B2384" s="5" t="s">
        <v>2212</v>
      </c>
      <c r="C2384" s="5">
        <v>51945266209</v>
      </c>
      <c r="D2384" s="5" t="s">
        <v>13</v>
      </c>
      <c r="E2384" s="5">
        <v>8.7547393E7</v>
      </c>
      <c r="F2384" s="5"/>
      <c r="G2384" s="5" t="s">
        <v>15</v>
      </c>
      <c r="H2384" s="5" t="s">
        <v>51</v>
      </c>
      <c r="I2384" s="6"/>
      <c r="J2384" s="7" t="s">
        <v>18</v>
      </c>
      <c r="K2384" s="7" t="s">
        <v>116</v>
      </c>
      <c r="L2384" s="8">
        <v>1.772111662963E12</v>
      </c>
      <c r="M2384" s="9"/>
      <c r="N2384" s="10"/>
      <c r="O2384" s="10"/>
      <c r="P2384" s="10"/>
      <c r="Q2384" s="10"/>
      <c r="R2384" s="10"/>
      <c r="S2384" s="10"/>
      <c r="T2384" s="10"/>
      <c r="U2384" s="10"/>
      <c r="V2384" s="10"/>
    </row>
    <row r="2385" ht="22.5" customHeight="1">
      <c r="A2385" s="5">
        <v>2.05570636103E11</v>
      </c>
      <c r="B2385" s="5" t="s">
        <v>2213</v>
      </c>
      <c r="C2385" s="5">
        <v>51976987765</v>
      </c>
      <c r="D2385" s="5" t="s">
        <v>22</v>
      </c>
      <c r="E2385" s="5">
        <v>8.7547393E7</v>
      </c>
      <c r="F2385" s="5" t="s">
        <v>14</v>
      </c>
      <c r="G2385" s="5" t="s">
        <v>44</v>
      </c>
      <c r="H2385" s="5" t="s">
        <v>24</v>
      </c>
      <c r="I2385" s="6" t="s">
        <v>17</v>
      </c>
      <c r="J2385" s="7" t="s">
        <v>18</v>
      </c>
      <c r="K2385" s="7" t="s">
        <v>19</v>
      </c>
      <c r="L2385" s="8">
        <v>1.772111863449E12</v>
      </c>
      <c r="M2385" s="9"/>
      <c r="N2385" s="10"/>
      <c r="O2385" s="10"/>
      <c r="P2385" s="10"/>
      <c r="Q2385" s="10"/>
      <c r="R2385" s="10"/>
      <c r="S2385" s="10"/>
      <c r="T2385" s="10"/>
      <c r="U2385" s="10"/>
      <c r="V2385" s="10"/>
    </row>
    <row r="2386" ht="22.5" customHeight="1">
      <c r="A2386" s="5">
        <v>2.05572680771E11</v>
      </c>
      <c r="B2386" s="5" t="s">
        <v>2214</v>
      </c>
      <c r="C2386" s="5">
        <v>51992415746</v>
      </c>
      <c r="D2386" s="5" t="s">
        <v>13</v>
      </c>
      <c r="E2386" s="5">
        <v>8.0566583E7</v>
      </c>
      <c r="F2386" s="5" t="s">
        <v>259</v>
      </c>
      <c r="G2386" s="5" t="s">
        <v>32</v>
      </c>
      <c r="H2386" s="5" t="s">
        <v>55</v>
      </c>
      <c r="I2386" s="6" t="s">
        <v>17</v>
      </c>
      <c r="J2386" s="7" t="s">
        <v>18</v>
      </c>
      <c r="K2386" s="7" t="s">
        <v>19</v>
      </c>
      <c r="L2386" s="8">
        <v>1.772113575001E12</v>
      </c>
      <c r="M2386" s="9"/>
      <c r="N2386" s="10"/>
      <c r="O2386" s="10"/>
      <c r="P2386" s="10"/>
      <c r="Q2386" s="10"/>
      <c r="R2386" s="10"/>
      <c r="S2386" s="10"/>
      <c r="T2386" s="10"/>
      <c r="U2386" s="10"/>
      <c r="V2386" s="10"/>
    </row>
    <row r="2387" ht="22.5" customHeight="1">
      <c r="A2387" s="5">
        <v>2.05580822616E11</v>
      </c>
      <c r="B2387" s="5" t="s">
        <v>2215</v>
      </c>
      <c r="C2387" s="5">
        <v>51965146331</v>
      </c>
      <c r="D2387" s="5" t="s">
        <v>22</v>
      </c>
      <c r="E2387" s="5">
        <v>8.7547393E7</v>
      </c>
      <c r="F2387" s="5" t="s">
        <v>259</v>
      </c>
      <c r="G2387" s="5" t="s">
        <v>44</v>
      </c>
      <c r="H2387" s="5" t="s">
        <v>51</v>
      </c>
      <c r="I2387" s="6" t="s">
        <v>17</v>
      </c>
      <c r="J2387" s="7" t="s">
        <v>34</v>
      </c>
      <c r="K2387" s="7"/>
      <c r="L2387" s="8">
        <v>1.772115424326E12</v>
      </c>
      <c r="M2387" s="9"/>
      <c r="N2387" s="10"/>
      <c r="O2387" s="10"/>
      <c r="P2387" s="10"/>
      <c r="Q2387" s="10"/>
      <c r="R2387" s="10"/>
      <c r="S2387" s="10"/>
      <c r="T2387" s="10"/>
      <c r="U2387" s="10"/>
      <c r="V2387" s="10"/>
    </row>
    <row r="2388" ht="22.5" customHeight="1">
      <c r="A2388" s="5">
        <v>2.05585208588E11</v>
      </c>
      <c r="B2388" s="5" t="s">
        <v>2216</v>
      </c>
      <c r="C2388" s="5">
        <v>5548998166520</v>
      </c>
      <c r="D2388" s="5" t="s">
        <v>13</v>
      </c>
      <c r="E2388" s="5">
        <v>7.9360573E7</v>
      </c>
      <c r="F2388" s="5" t="s">
        <v>39</v>
      </c>
      <c r="G2388" s="5" t="s">
        <v>15</v>
      </c>
      <c r="H2388" s="5" t="s">
        <v>114</v>
      </c>
      <c r="I2388" s="6" t="s">
        <v>17</v>
      </c>
      <c r="J2388" s="7" t="s">
        <v>124</v>
      </c>
      <c r="K2388" s="7" t="s">
        <v>1256</v>
      </c>
      <c r="L2388" s="8">
        <v>1.772116018851E12</v>
      </c>
      <c r="M2388" s="9"/>
      <c r="N2388" s="10"/>
      <c r="O2388" s="10"/>
      <c r="P2388" s="10"/>
      <c r="Q2388" s="10"/>
      <c r="R2388" s="10"/>
      <c r="S2388" s="10"/>
      <c r="T2388" s="10"/>
      <c r="U2388" s="10"/>
      <c r="V2388" s="10"/>
    </row>
    <row r="2389" ht="22.5" customHeight="1">
      <c r="A2389" s="5">
        <v>2.05584433476E11</v>
      </c>
      <c r="B2389" s="5" t="s">
        <v>2217</v>
      </c>
      <c r="C2389" s="5">
        <v>51935066973</v>
      </c>
      <c r="D2389" s="5" t="s">
        <v>13</v>
      </c>
      <c r="E2389" s="5">
        <v>8.0566583E7</v>
      </c>
      <c r="F2389" s="5" t="s">
        <v>65</v>
      </c>
      <c r="G2389" s="5" t="s">
        <v>15</v>
      </c>
      <c r="H2389" s="5" t="s">
        <v>33</v>
      </c>
      <c r="I2389" s="6" t="s">
        <v>17</v>
      </c>
      <c r="J2389" s="7" t="s">
        <v>25</v>
      </c>
      <c r="K2389" s="7"/>
      <c r="L2389" s="8">
        <v>1.772116124178E12</v>
      </c>
      <c r="M2389" s="9"/>
      <c r="N2389" s="10"/>
      <c r="O2389" s="10"/>
      <c r="P2389" s="10"/>
      <c r="Q2389" s="10"/>
      <c r="R2389" s="10"/>
      <c r="S2389" s="10"/>
      <c r="T2389" s="10"/>
      <c r="U2389" s="10"/>
      <c r="V2389" s="10"/>
    </row>
    <row r="2390" ht="22.5" customHeight="1">
      <c r="A2390" s="5">
        <v>1.64394478218E11</v>
      </c>
      <c r="B2390" s="5" t="s">
        <v>2218</v>
      </c>
      <c r="C2390" s="5">
        <v>51908808473</v>
      </c>
      <c r="D2390" s="5" t="s">
        <v>13</v>
      </c>
      <c r="E2390" s="5">
        <v>8.7547393E7</v>
      </c>
      <c r="F2390" s="5" t="s">
        <v>259</v>
      </c>
      <c r="G2390" s="5" t="s">
        <v>32</v>
      </c>
      <c r="H2390" s="5" t="s">
        <v>188</v>
      </c>
      <c r="I2390" s="6" t="s">
        <v>17</v>
      </c>
      <c r="J2390" s="7" t="s">
        <v>18</v>
      </c>
      <c r="K2390" s="7" t="s">
        <v>116</v>
      </c>
      <c r="L2390" s="8">
        <v>1.772116572814E12</v>
      </c>
      <c r="M2390" s="9"/>
      <c r="N2390" s="10"/>
      <c r="O2390" s="10"/>
      <c r="P2390" s="10"/>
      <c r="Q2390" s="10"/>
      <c r="R2390" s="10"/>
      <c r="S2390" s="10"/>
      <c r="T2390" s="10"/>
      <c r="U2390" s="10"/>
      <c r="V2390" s="10"/>
    </row>
    <row r="2391" ht="22.5" customHeight="1">
      <c r="A2391" s="5">
        <v>2.05584433476E11</v>
      </c>
      <c r="B2391" s="5" t="s">
        <v>2217</v>
      </c>
      <c r="C2391" s="5">
        <v>51935066973</v>
      </c>
      <c r="D2391" s="5" t="s">
        <v>13</v>
      </c>
      <c r="E2391" s="5">
        <v>8.0566583E7</v>
      </c>
      <c r="F2391" s="5" t="s">
        <v>39</v>
      </c>
      <c r="G2391" s="5" t="s">
        <v>15</v>
      </c>
      <c r="H2391" s="5" t="s">
        <v>66</v>
      </c>
      <c r="I2391" s="6" t="s">
        <v>17</v>
      </c>
      <c r="J2391" s="7" t="s">
        <v>25</v>
      </c>
      <c r="K2391" s="7"/>
      <c r="L2391" s="8">
        <v>1.772117344485E12</v>
      </c>
      <c r="M2391" s="9"/>
      <c r="N2391" s="10"/>
      <c r="O2391" s="10"/>
      <c r="P2391" s="10"/>
      <c r="Q2391" s="10"/>
      <c r="R2391" s="10"/>
      <c r="S2391" s="10"/>
      <c r="T2391" s="10"/>
      <c r="U2391" s="10"/>
      <c r="V2391" s="10"/>
    </row>
    <row r="2392" ht="22.5" customHeight="1">
      <c r="A2392" s="5">
        <v>1.6362752069E11</v>
      </c>
      <c r="B2392" s="5" t="s">
        <v>2219</v>
      </c>
      <c r="C2392" s="5">
        <v>51949602262</v>
      </c>
      <c r="D2392" s="5" t="s">
        <v>13</v>
      </c>
      <c r="E2392" s="5">
        <v>8.7547393E7</v>
      </c>
      <c r="F2392" s="5" t="s">
        <v>28</v>
      </c>
      <c r="G2392" s="5" t="s">
        <v>15</v>
      </c>
      <c r="H2392" s="5" t="s">
        <v>51</v>
      </c>
      <c r="I2392" s="6" t="s">
        <v>17</v>
      </c>
      <c r="J2392" s="7" t="s">
        <v>18</v>
      </c>
      <c r="K2392" s="7" t="s">
        <v>19</v>
      </c>
      <c r="L2392" s="8">
        <v>1.772118215048E12</v>
      </c>
      <c r="M2392" s="9"/>
      <c r="N2392" s="10"/>
      <c r="O2392" s="10"/>
      <c r="P2392" s="10"/>
      <c r="Q2392" s="10"/>
      <c r="R2392" s="10"/>
      <c r="S2392" s="10"/>
      <c r="T2392" s="10"/>
      <c r="U2392" s="10"/>
      <c r="V2392" s="10"/>
    </row>
    <row r="2393" ht="22.5" customHeight="1">
      <c r="A2393" s="5">
        <v>2.05599951468E11</v>
      </c>
      <c r="B2393" s="5" t="s">
        <v>2220</v>
      </c>
      <c r="C2393" s="5">
        <v>5521993321956</v>
      </c>
      <c r="D2393" s="5" t="s">
        <v>22</v>
      </c>
      <c r="E2393" s="5">
        <v>7.9360573E7</v>
      </c>
      <c r="F2393" s="5" t="s">
        <v>93</v>
      </c>
      <c r="G2393" s="5" t="s">
        <v>32</v>
      </c>
      <c r="H2393" s="5" t="s">
        <v>16</v>
      </c>
      <c r="I2393" s="6" t="s">
        <v>17</v>
      </c>
      <c r="J2393" s="7" t="s">
        <v>34</v>
      </c>
      <c r="K2393" s="7"/>
      <c r="L2393" s="8">
        <v>1.772120615087E12</v>
      </c>
      <c r="M2393" s="9"/>
      <c r="N2393" s="10"/>
      <c r="O2393" s="10"/>
      <c r="P2393" s="10"/>
      <c r="Q2393" s="10"/>
      <c r="R2393" s="10"/>
      <c r="S2393" s="10"/>
      <c r="T2393" s="10"/>
      <c r="U2393" s="10"/>
      <c r="V2393" s="10"/>
    </row>
    <row r="2394" ht="22.5" customHeight="1">
      <c r="A2394" s="5">
        <v>2.05594798209E11</v>
      </c>
      <c r="B2394" s="5" t="s">
        <v>2221</v>
      </c>
      <c r="C2394" s="5">
        <v>5548988089566</v>
      </c>
      <c r="D2394" s="5" t="s">
        <v>13</v>
      </c>
      <c r="E2394" s="5">
        <v>7.9360573E7</v>
      </c>
      <c r="F2394" s="5" t="s">
        <v>28</v>
      </c>
      <c r="G2394" s="5" t="s">
        <v>15</v>
      </c>
      <c r="H2394" s="5" t="s">
        <v>2222</v>
      </c>
      <c r="I2394" s="6" t="s">
        <v>17</v>
      </c>
      <c r="J2394" s="7" t="s">
        <v>18</v>
      </c>
      <c r="K2394" s="7" t="s">
        <v>45</v>
      </c>
      <c r="L2394" s="8">
        <v>1.772120898385E12</v>
      </c>
      <c r="M2394" s="9"/>
      <c r="N2394" s="10"/>
      <c r="O2394" s="10"/>
      <c r="P2394" s="10"/>
      <c r="Q2394" s="10"/>
      <c r="R2394" s="10"/>
      <c r="S2394" s="10"/>
      <c r="T2394" s="10"/>
      <c r="U2394" s="10"/>
      <c r="V2394" s="10"/>
    </row>
    <row r="2395" ht="22.5" customHeight="1">
      <c r="A2395" s="5">
        <v>2.056095945E11</v>
      </c>
      <c r="B2395" s="5" t="s">
        <v>2223</v>
      </c>
      <c r="C2395" s="5">
        <v>51926731748</v>
      </c>
      <c r="D2395" s="5" t="s">
        <v>13</v>
      </c>
      <c r="E2395" s="5">
        <v>8.0566583E7</v>
      </c>
      <c r="F2395" s="5" t="s">
        <v>93</v>
      </c>
      <c r="G2395" s="5" t="s">
        <v>15</v>
      </c>
      <c r="H2395" s="5" t="s">
        <v>51</v>
      </c>
      <c r="I2395" s="6" t="s">
        <v>63</v>
      </c>
      <c r="J2395" s="7" t="s">
        <v>34</v>
      </c>
      <c r="K2395" s="7"/>
      <c r="L2395" s="8">
        <v>1.772123307592E12</v>
      </c>
      <c r="M2395" s="9"/>
      <c r="N2395" s="10"/>
      <c r="O2395" s="10"/>
      <c r="P2395" s="10"/>
      <c r="Q2395" s="10"/>
      <c r="R2395" s="10"/>
      <c r="S2395" s="10"/>
      <c r="T2395" s="10"/>
      <c r="U2395" s="10"/>
      <c r="V2395" s="10"/>
    </row>
    <row r="2396" ht="22.5" customHeight="1">
      <c r="A2396" s="5">
        <v>2.05602438585E11</v>
      </c>
      <c r="B2396" s="5" t="s">
        <v>2224</v>
      </c>
      <c r="C2396" s="5">
        <v>5592991035504</v>
      </c>
      <c r="D2396" s="5" t="s">
        <v>38</v>
      </c>
      <c r="E2396" s="5">
        <v>7.9360573E7</v>
      </c>
      <c r="F2396" s="5"/>
      <c r="G2396" s="5" t="s">
        <v>44</v>
      </c>
      <c r="H2396" s="5" t="s">
        <v>165</v>
      </c>
      <c r="I2396" s="6" t="s">
        <v>17</v>
      </c>
      <c r="J2396" s="7" t="s">
        <v>34</v>
      </c>
      <c r="K2396" s="7"/>
      <c r="L2396" s="8">
        <v>1.772124759261E12</v>
      </c>
      <c r="M2396" s="9"/>
      <c r="N2396" s="10"/>
      <c r="O2396" s="10"/>
      <c r="P2396" s="10"/>
      <c r="Q2396" s="10"/>
      <c r="R2396" s="10"/>
      <c r="S2396" s="10"/>
      <c r="T2396" s="10"/>
      <c r="U2396" s="10"/>
      <c r="V2396" s="10"/>
    </row>
    <row r="2397" ht="22.5" customHeight="1">
      <c r="A2397" s="5">
        <v>2.05643786651E11</v>
      </c>
      <c r="B2397" s="5" t="s">
        <v>2225</v>
      </c>
      <c r="C2397" s="5">
        <v>5565999464934</v>
      </c>
      <c r="D2397" s="5" t="s">
        <v>38</v>
      </c>
      <c r="E2397" s="5">
        <v>7.9360573E7</v>
      </c>
      <c r="F2397" s="5" t="s">
        <v>39</v>
      </c>
      <c r="G2397" s="5" t="s">
        <v>44</v>
      </c>
      <c r="H2397" s="5" t="s">
        <v>114</v>
      </c>
      <c r="I2397" s="6" t="s">
        <v>17</v>
      </c>
      <c r="J2397" s="7" t="s">
        <v>34</v>
      </c>
      <c r="K2397" s="7"/>
      <c r="L2397" s="8"/>
      <c r="M2397" s="9"/>
      <c r="N2397" s="10"/>
      <c r="O2397" s="10"/>
      <c r="P2397" s="10"/>
      <c r="Q2397" s="10"/>
      <c r="R2397" s="10"/>
      <c r="S2397" s="10"/>
      <c r="T2397" s="10"/>
      <c r="U2397" s="10"/>
      <c r="V2397" s="10"/>
    </row>
    <row r="2398" ht="22.5" customHeight="1">
      <c r="A2398" s="5">
        <v>2.05653885506E11</v>
      </c>
      <c r="B2398" s="5" t="s">
        <v>2226</v>
      </c>
      <c r="C2398" s="5">
        <v>5527995254477</v>
      </c>
      <c r="D2398" s="5" t="s">
        <v>13</v>
      </c>
      <c r="E2398" s="5">
        <v>7.9360573E7</v>
      </c>
      <c r="F2398" s="5" t="s">
        <v>28</v>
      </c>
      <c r="G2398" s="5" t="s">
        <v>32</v>
      </c>
      <c r="H2398" s="5" t="s">
        <v>114</v>
      </c>
      <c r="I2398" s="6" t="s">
        <v>17</v>
      </c>
      <c r="J2398" s="7" t="s">
        <v>34</v>
      </c>
      <c r="K2398" s="7"/>
      <c r="L2398" s="8">
        <v>1.772129304594E12</v>
      </c>
      <c r="M2398" s="9"/>
      <c r="N2398" s="10"/>
      <c r="O2398" s="10"/>
      <c r="P2398" s="10"/>
      <c r="Q2398" s="10"/>
      <c r="R2398" s="10"/>
      <c r="S2398" s="10"/>
      <c r="T2398" s="10"/>
      <c r="U2398" s="10"/>
      <c r="V2398" s="10"/>
    </row>
    <row r="2399" ht="22.5" customHeight="1">
      <c r="A2399" s="5">
        <v>2.05644704892E11</v>
      </c>
      <c r="B2399" s="5" t="s">
        <v>2227</v>
      </c>
      <c r="C2399" s="5">
        <v>5571992007230</v>
      </c>
      <c r="D2399" s="5" t="s">
        <v>38</v>
      </c>
      <c r="E2399" s="5">
        <v>7.9360573E7</v>
      </c>
      <c r="F2399" s="5"/>
      <c r="G2399" s="5"/>
      <c r="H2399" s="5"/>
      <c r="I2399" s="6"/>
      <c r="J2399" s="7" t="s">
        <v>124</v>
      </c>
      <c r="K2399" s="7" t="s">
        <v>125</v>
      </c>
      <c r="L2399" s="8">
        <v>1.772129739686E12</v>
      </c>
      <c r="M2399" s="9"/>
      <c r="N2399" s="10"/>
      <c r="O2399" s="10"/>
      <c r="P2399" s="10"/>
      <c r="Q2399" s="10"/>
      <c r="R2399" s="10"/>
      <c r="S2399" s="10"/>
      <c r="T2399" s="10"/>
      <c r="U2399" s="10"/>
      <c r="V2399" s="10"/>
    </row>
    <row r="2400" ht="22.5" customHeight="1">
      <c r="A2400" s="5">
        <v>2.05667276143E11</v>
      </c>
      <c r="B2400" s="5" t="s">
        <v>2228</v>
      </c>
      <c r="C2400" s="5">
        <v>51930479608</v>
      </c>
      <c r="D2400" s="5" t="s">
        <v>13</v>
      </c>
      <c r="E2400" s="5">
        <v>8.0566583E7</v>
      </c>
      <c r="F2400" s="5" t="s">
        <v>93</v>
      </c>
      <c r="G2400" s="5" t="s">
        <v>15</v>
      </c>
      <c r="H2400" s="5" t="s">
        <v>51</v>
      </c>
      <c r="I2400" s="6" t="s">
        <v>17</v>
      </c>
      <c r="J2400" s="7" t="s">
        <v>34</v>
      </c>
      <c r="K2400" s="7"/>
      <c r="L2400" s="8">
        <v>1.772131191159E12</v>
      </c>
      <c r="M2400" s="9"/>
      <c r="N2400" s="10"/>
      <c r="O2400" s="10"/>
      <c r="P2400" s="10"/>
      <c r="Q2400" s="10"/>
      <c r="R2400" s="10"/>
      <c r="S2400" s="10"/>
      <c r="T2400" s="10"/>
      <c r="U2400" s="10"/>
      <c r="V2400" s="10"/>
    </row>
    <row r="2401" ht="22.5" customHeight="1">
      <c r="A2401" s="5">
        <v>2.05657120145E11</v>
      </c>
      <c r="B2401" s="5" t="s">
        <v>2229</v>
      </c>
      <c r="C2401" s="5">
        <v>5516996514778</v>
      </c>
      <c r="D2401" s="5" t="s">
        <v>13</v>
      </c>
      <c r="E2401" s="5">
        <v>7.9360573E7</v>
      </c>
      <c r="F2401" s="5" t="s">
        <v>259</v>
      </c>
      <c r="G2401" s="5" t="s">
        <v>32</v>
      </c>
      <c r="H2401" s="5" t="s">
        <v>66</v>
      </c>
      <c r="I2401" s="6" t="s">
        <v>17</v>
      </c>
      <c r="J2401" s="7" t="s">
        <v>34</v>
      </c>
      <c r="K2401" s="7"/>
      <c r="L2401" s="8">
        <v>1.772131638792E12</v>
      </c>
      <c r="M2401" s="9"/>
      <c r="N2401" s="10"/>
      <c r="O2401" s="10"/>
      <c r="P2401" s="10"/>
      <c r="Q2401" s="10"/>
      <c r="R2401" s="10"/>
      <c r="S2401" s="10"/>
      <c r="T2401" s="10"/>
      <c r="U2401" s="10"/>
      <c r="V2401" s="10"/>
    </row>
    <row r="2402" ht="22.5" customHeight="1">
      <c r="A2402" s="5">
        <v>2.05657358898E11</v>
      </c>
      <c r="B2402" s="5" t="s">
        <v>2230</v>
      </c>
      <c r="C2402" s="5">
        <v>51910652917</v>
      </c>
      <c r="D2402" s="5" t="s">
        <v>13</v>
      </c>
      <c r="E2402" s="5">
        <v>8.0566583E7</v>
      </c>
      <c r="F2402" s="5" t="s">
        <v>65</v>
      </c>
      <c r="G2402" s="5" t="s">
        <v>15</v>
      </c>
      <c r="H2402" s="5" t="s">
        <v>114</v>
      </c>
      <c r="I2402" s="6" t="s">
        <v>17</v>
      </c>
      <c r="J2402" s="7" t="s">
        <v>18</v>
      </c>
      <c r="K2402" s="7" t="s">
        <v>19</v>
      </c>
      <c r="L2402" s="8">
        <v>1.772132077807E12</v>
      </c>
      <c r="M2402" s="9"/>
      <c r="N2402" s="10"/>
      <c r="O2402" s="10"/>
      <c r="P2402" s="10"/>
      <c r="Q2402" s="10"/>
      <c r="R2402" s="10"/>
      <c r="S2402" s="10"/>
      <c r="T2402" s="10"/>
      <c r="U2402" s="10"/>
      <c r="V2402" s="10"/>
    </row>
    <row r="2403" ht="22.5" customHeight="1">
      <c r="A2403" s="5">
        <v>2.05660645211E11</v>
      </c>
      <c r="B2403" s="5" t="s">
        <v>2231</v>
      </c>
      <c r="C2403" s="5">
        <v>51948725138</v>
      </c>
      <c r="D2403" s="5" t="s">
        <v>13</v>
      </c>
      <c r="E2403" s="5">
        <v>8.0566583E7</v>
      </c>
      <c r="F2403" s="5" t="s">
        <v>93</v>
      </c>
      <c r="G2403" s="5" t="s">
        <v>15</v>
      </c>
      <c r="H2403" s="5" t="s">
        <v>114</v>
      </c>
      <c r="I2403" s="6"/>
      <c r="J2403" s="7" t="s">
        <v>18</v>
      </c>
      <c r="K2403" s="7" t="s">
        <v>19</v>
      </c>
      <c r="L2403" s="8">
        <v>1.772132564129E12</v>
      </c>
      <c r="M2403" s="9"/>
      <c r="N2403" s="10"/>
      <c r="O2403" s="10"/>
      <c r="P2403" s="10"/>
      <c r="Q2403" s="10"/>
      <c r="R2403" s="10"/>
      <c r="S2403" s="10"/>
      <c r="T2403" s="10"/>
      <c r="U2403" s="10"/>
      <c r="V2403" s="10"/>
    </row>
    <row r="2404" ht="22.5" customHeight="1">
      <c r="A2404" s="5">
        <v>1.7902395275E11</v>
      </c>
      <c r="B2404" s="5" t="s">
        <v>2232</v>
      </c>
      <c r="C2404" s="5">
        <v>51957263496</v>
      </c>
      <c r="D2404" s="5" t="s">
        <v>13</v>
      </c>
      <c r="E2404" s="5">
        <v>8.7547393E7</v>
      </c>
      <c r="F2404" s="5" t="s">
        <v>714</v>
      </c>
      <c r="G2404" s="5" t="s">
        <v>15</v>
      </c>
      <c r="H2404" s="5" t="s">
        <v>16</v>
      </c>
      <c r="I2404" s="6" t="s">
        <v>17</v>
      </c>
      <c r="J2404" s="7" t="s">
        <v>18</v>
      </c>
      <c r="K2404" s="7" t="s">
        <v>19</v>
      </c>
      <c r="L2404" s="8">
        <v>1.772133193112E12</v>
      </c>
      <c r="M2404" s="9"/>
      <c r="N2404" s="10"/>
      <c r="O2404" s="10"/>
      <c r="P2404" s="10"/>
      <c r="Q2404" s="10"/>
      <c r="R2404" s="10"/>
      <c r="S2404" s="10"/>
      <c r="T2404" s="10"/>
      <c r="U2404" s="10"/>
      <c r="V2404" s="10"/>
    </row>
    <row r="2405" ht="22.5" customHeight="1">
      <c r="A2405" s="5">
        <v>2.05672025527E11</v>
      </c>
      <c r="B2405" s="5" t="s">
        <v>2233</v>
      </c>
      <c r="C2405" s="5">
        <v>51993410303</v>
      </c>
      <c r="D2405" s="5" t="s">
        <v>13</v>
      </c>
      <c r="E2405" s="5">
        <v>8.0566583E7</v>
      </c>
      <c r="F2405" s="5" t="s">
        <v>28</v>
      </c>
      <c r="G2405" s="5" t="s">
        <v>32</v>
      </c>
      <c r="H2405" s="5" t="s">
        <v>114</v>
      </c>
      <c r="I2405" s="6" t="s">
        <v>17</v>
      </c>
      <c r="J2405" s="7" t="s">
        <v>34</v>
      </c>
      <c r="K2405" s="7"/>
      <c r="L2405" s="8">
        <v>1.772135125423E12</v>
      </c>
      <c r="M2405" s="9"/>
      <c r="N2405" s="10"/>
      <c r="O2405" s="10"/>
      <c r="P2405" s="10"/>
      <c r="Q2405" s="10"/>
      <c r="R2405" s="10"/>
      <c r="S2405" s="10"/>
      <c r="T2405" s="10"/>
      <c r="U2405" s="10"/>
      <c r="V2405" s="10"/>
    </row>
    <row r="2406" ht="22.5" customHeight="1">
      <c r="A2406" s="5">
        <v>2.04805080858E11</v>
      </c>
      <c r="B2406" s="5" t="s">
        <v>2234</v>
      </c>
      <c r="C2406" s="5">
        <v>51960639454</v>
      </c>
      <c r="D2406" s="5" t="s">
        <v>13</v>
      </c>
      <c r="E2406" s="5">
        <v>8.0566583E7</v>
      </c>
      <c r="F2406" s="5" t="s">
        <v>28</v>
      </c>
      <c r="G2406" s="5" t="s">
        <v>15</v>
      </c>
      <c r="H2406" s="5" t="s">
        <v>51</v>
      </c>
      <c r="I2406" s="6" t="s">
        <v>148</v>
      </c>
      <c r="J2406" s="7" t="s">
        <v>34</v>
      </c>
      <c r="K2406" s="7"/>
      <c r="L2406" s="8">
        <v>1.772135793211E12</v>
      </c>
      <c r="M2406" s="9"/>
      <c r="N2406" s="10"/>
      <c r="O2406" s="10"/>
      <c r="P2406" s="10"/>
      <c r="Q2406" s="10"/>
      <c r="R2406" s="10"/>
      <c r="S2406" s="10"/>
      <c r="T2406" s="10"/>
      <c r="U2406" s="10"/>
      <c r="V2406" s="10"/>
    </row>
    <row r="2407" ht="22.5" customHeight="1">
      <c r="A2407" s="5">
        <v>2.05670521732E11</v>
      </c>
      <c r="B2407" s="5" t="s">
        <v>2235</v>
      </c>
      <c r="C2407" s="5">
        <v>5524993062193</v>
      </c>
      <c r="D2407" s="5" t="s">
        <v>13</v>
      </c>
      <c r="E2407" s="5">
        <v>7.9360573E7</v>
      </c>
      <c r="F2407" s="5" t="s">
        <v>39</v>
      </c>
      <c r="G2407" s="5" t="s">
        <v>15</v>
      </c>
      <c r="H2407" s="5" t="s">
        <v>29</v>
      </c>
      <c r="I2407" s="6" t="s">
        <v>17</v>
      </c>
      <c r="J2407" s="7" t="s">
        <v>124</v>
      </c>
      <c r="K2407" s="7" t="s">
        <v>1002</v>
      </c>
      <c r="L2407" s="8">
        <v>1.772135861712E12</v>
      </c>
      <c r="M2407" s="9"/>
      <c r="N2407" s="10"/>
      <c r="O2407" s="10"/>
      <c r="P2407" s="10"/>
      <c r="Q2407" s="10"/>
      <c r="R2407" s="10"/>
      <c r="S2407" s="10"/>
      <c r="T2407" s="10"/>
      <c r="U2407" s="10"/>
      <c r="V2407" s="10"/>
    </row>
    <row r="2408" ht="22.5" customHeight="1">
      <c r="A2408" s="5">
        <v>2.0566418211E11</v>
      </c>
      <c r="B2408" s="5" t="s">
        <v>2236</v>
      </c>
      <c r="C2408" s="5">
        <v>51923860512</v>
      </c>
      <c r="D2408" s="5" t="s">
        <v>13</v>
      </c>
      <c r="E2408" s="5">
        <v>8.0566583E7</v>
      </c>
      <c r="F2408" s="5" t="s">
        <v>28</v>
      </c>
      <c r="G2408" s="5" t="s">
        <v>15</v>
      </c>
      <c r="H2408" s="5" t="s">
        <v>16</v>
      </c>
      <c r="I2408" s="6" t="s">
        <v>36</v>
      </c>
      <c r="J2408" s="7" t="s">
        <v>18</v>
      </c>
      <c r="K2408" s="7" t="s">
        <v>116</v>
      </c>
      <c r="L2408" s="8">
        <v>1.772138223336E12</v>
      </c>
      <c r="M2408" s="9"/>
      <c r="N2408" s="10"/>
      <c r="O2408" s="10"/>
      <c r="P2408" s="10"/>
      <c r="Q2408" s="10"/>
      <c r="R2408" s="10"/>
      <c r="S2408" s="10"/>
      <c r="T2408" s="10"/>
      <c r="U2408" s="10"/>
      <c r="V2408" s="10"/>
    </row>
    <row r="2409" ht="22.5" customHeight="1">
      <c r="A2409" s="5">
        <v>1.89626943147E11</v>
      </c>
      <c r="B2409" s="5" t="s">
        <v>2237</v>
      </c>
      <c r="C2409" s="5">
        <v>51921498543</v>
      </c>
      <c r="D2409" s="5" t="s">
        <v>13</v>
      </c>
      <c r="E2409" s="5">
        <v>8.7547393E7</v>
      </c>
      <c r="F2409" s="5" t="s">
        <v>39</v>
      </c>
      <c r="G2409" s="5" t="s">
        <v>15</v>
      </c>
      <c r="H2409" s="5" t="s">
        <v>24</v>
      </c>
      <c r="I2409" s="6" t="s">
        <v>63</v>
      </c>
      <c r="J2409" s="7" t="s">
        <v>124</v>
      </c>
      <c r="K2409" s="7" t="s">
        <v>125</v>
      </c>
      <c r="L2409" s="8">
        <v>1.772139538832E12</v>
      </c>
      <c r="M2409" s="9"/>
      <c r="N2409" s="10"/>
      <c r="O2409" s="10"/>
      <c r="P2409" s="10"/>
      <c r="Q2409" s="10"/>
      <c r="R2409" s="10"/>
      <c r="S2409" s="10"/>
      <c r="T2409" s="10"/>
      <c r="U2409" s="10"/>
      <c r="V2409" s="10"/>
    </row>
    <row r="2410" ht="22.5" customHeight="1">
      <c r="A2410" s="5">
        <v>2.05678136369E11</v>
      </c>
      <c r="B2410" s="5" t="s">
        <v>2238</v>
      </c>
      <c r="C2410" s="5">
        <v>51913604480</v>
      </c>
      <c r="D2410" s="5" t="s">
        <v>22</v>
      </c>
      <c r="E2410" s="5"/>
      <c r="F2410" s="5" t="s">
        <v>39</v>
      </c>
      <c r="G2410" s="5" t="s">
        <v>79</v>
      </c>
      <c r="H2410" s="5" t="s">
        <v>55</v>
      </c>
      <c r="I2410" s="6" t="s">
        <v>17</v>
      </c>
      <c r="J2410" s="7" t="s">
        <v>18</v>
      </c>
      <c r="K2410" s="7" t="s">
        <v>19</v>
      </c>
      <c r="L2410" s="8">
        <v>1.772139797474E12</v>
      </c>
      <c r="M2410" s="9"/>
      <c r="N2410" s="10"/>
      <c r="O2410" s="10"/>
      <c r="P2410" s="10"/>
      <c r="Q2410" s="10"/>
      <c r="R2410" s="10"/>
      <c r="S2410" s="10"/>
      <c r="T2410" s="10"/>
      <c r="U2410" s="10"/>
      <c r="V2410" s="10"/>
    </row>
    <row r="2411" ht="22.5" customHeight="1">
      <c r="A2411" s="5">
        <v>2.05677659577E11</v>
      </c>
      <c r="B2411" s="5" t="s">
        <v>2239</v>
      </c>
      <c r="C2411" s="5">
        <v>51932527453</v>
      </c>
      <c r="D2411" s="5" t="s">
        <v>13</v>
      </c>
      <c r="E2411" s="5">
        <v>8.0566583E7</v>
      </c>
      <c r="F2411" s="5"/>
      <c r="G2411" s="5" t="s">
        <v>15</v>
      </c>
      <c r="H2411" s="5" t="s">
        <v>66</v>
      </c>
      <c r="I2411" s="6" t="s">
        <v>17</v>
      </c>
      <c r="J2411" s="7" t="s">
        <v>18</v>
      </c>
      <c r="K2411" s="7" t="s">
        <v>19</v>
      </c>
      <c r="L2411" s="8">
        <v>1.77214145064E12</v>
      </c>
      <c r="M2411" s="9"/>
      <c r="N2411" s="10"/>
      <c r="O2411" s="10"/>
      <c r="P2411" s="10"/>
      <c r="Q2411" s="10"/>
      <c r="R2411" s="10"/>
      <c r="S2411" s="10"/>
      <c r="T2411" s="10"/>
      <c r="U2411" s="10"/>
      <c r="V2411" s="10"/>
    </row>
    <row r="2412" ht="22.5" customHeight="1">
      <c r="A2412" s="5">
        <v>2.05679341185E11</v>
      </c>
      <c r="B2412" s="5" t="s">
        <v>2240</v>
      </c>
      <c r="C2412" s="5">
        <v>543492671249</v>
      </c>
      <c r="D2412" s="5" t="s">
        <v>38</v>
      </c>
      <c r="E2412" s="5">
        <v>8.7547393E7</v>
      </c>
      <c r="F2412" s="5" t="s">
        <v>510</v>
      </c>
      <c r="G2412" s="5" t="s">
        <v>15</v>
      </c>
      <c r="H2412" s="5" t="s">
        <v>29</v>
      </c>
      <c r="I2412" s="6" t="s">
        <v>49</v>
      </c>
      <c r="J2412" s="7" t="s">
        <v>34</v>
      </c>
      <c r="K2412" s="7"/>
      <c r="L2412" s="8">
        <v>1.77214185742E12</v>
      </c>
      <c r="M2412" s="9"/>
      <c r="N2412" s="10"/>
      <c r="O2412" s="10"/>
      <c r="P2412" s="10"/>
      <c r="Q2412" s="10"/>
      <c r="R2412" s="10"/>
      <c r="S2412" s="10"/>
      <c r="T2412" s="10"/>
      <c r="U2412" s="10"/>
      <c r="V2412" s="10"/>
    </row>
    <row r="2413" ht="22.5" customHeight="1">
      <c r="A2413" s="5">
        <v>2.05679224084E11</v>
      </c>
      <c r="B2413" s="5" t="s">
        <v>2241</v>
      </c>
      <c r="C2413" s="5">
        <v>51987711333</v>
      </c>
      <c r="D2413" s="5" t="s">
        <v>13</v>
      </c>
      <c r="E2413" s="5">
        <v>8.0566583E7</v>
      </c>
      <c r="F2413" s="5" t="s">
        <v>714</v>
      </c>
      <c r="G2413" s="5" t="s">
        <v>44</v>
      </c>
      <c r="H2413" s="5" t="s">
        <v>66</v>
      </c>
      <c r="I2413" s="6" t="s">
        <v>49</v>
      </c>
      <c r="J2413" s="7" t="s">
        <v>34</v>
      </c>
      <c r="K2413" s="7"/>
      <c r="L2413" s="8">
        <v>1.772142274665E12</v>
      </c>
      <c r="M2413" s="9"/>
      <c r="N2413" s="10"/>
      <c r="O2413" s="10"/>
      <c r="P2413" s="10"/>
      <c r="Q2413" s="10"/>
      <c r="R2413" s="10"/>
      <c r="S2413" s="10"/>
      <c r="T2413" s="10"/>
      <c r="U2413" s="10"/>
      <c r="V2413" s="10"/>
    </row>
    <row r="2414" ht="22.5" customHeight="1">
      <c r="A2414" s="5">
        <v>2.05690129467E11</v>
      </c>
      <c r="B2414" s="5" t="s">
        <v>2242</v>
      </c>
      <c r="C2414" s="5">
        <v>51904499047</v>
      </c>
      <c r="D2414" s="5" t="s">
        <v>22</v>
      </c>
      <c r="E2414" s="5">
        <v>8.0566583E7</v>
      </c>
      <c r="F2414" s="5" t="s">
        <v>93</v>
      </c>
      <c r="G2414" s="5" t="s">
        <v>32</v>
      </c>
      <c r="H2414" s="5" t="s">
        <v>16</v>
      </c>
      <c r="I2414" s="6" t="s">
        <v>17</v>
      </c>
      <c r="J2414" s="7" t="s">
        <v>18</v>
      </c>
      <c r="K2414" s="7" t="s">
        <v>19</v>
      </c>
      <c r="L2414" s="8">
        <v>1.772143019978E12</v>
      </c>
      <c r="M2414" s="9"/>
      <c r="N2414" s="10"/>
      <c r="O2414" s="10"/>
      <c r="P2414" s="10"/>
      <c r="Q2414" s="10"/>
      <c r="R2414" s="10"/>
      <c r="S2414" s="10"/>
      <c r="T2414" s="10"/>
      <c r="U2414" s="10"/>
      <c r="V2414" s="10"/>
    </row>
    <row r="2415" ht="22.5" customHeight="1">
      <c r="A2415" s="5">
        <v>2.05689468967E11</v>
      </c>
      <c r="B2415" s="5" t="s">
        <v>2243</v>
      </c>
      <c r="C2415" s="5">
        <v>51977572711</v>
      </c>
      <c r="D2415" s="5" t="s">
        <v>13</v>
      </c>
      <c r="E2415" s="5">
        <v>8.7547393E7</v>
      </c>
      <c r="F2415" s="5" t="s">
        <v>714</v>
      </c>
      <c r="G2415" s="5" t="s">
        <v>104</v>
      </c>
      <c r="H2415" s="5" t="s">
        <v>114</v>
      </c>
      <c r="I2415" s="6" t="s">
        <v>17</v>
      </c>
      <c r="J2415" s="7" t="s">
        <v>25</v>
      </c>
      <c r="K2415" s="7" t="s">
        <v>26</v>
      </c>
      <c r="L2415" s="8">
        <v>1.772144423268E12</v>
      </c>
      <c r="M2415" s="9"/>
      <c r="N2415" s="10"/>
      <c r="O2415" s="10"/>
      <c r="P2415" s="10"/>
      <c r="Q2415" s="10"/>
      <c r="R2415" s="10"/>
      <c r="S2415" s="10"/>
      <c r="T2415" s="10"/>
      <c r="U2415" s="10"/>
      <c r="V2415" s="10"/>
    </row>
    <row r="2416" ht="22.5" customHeight="1">
      <c r="A2416" s="5">
        <v>2.05720810815E11</v>
      </c>
      <c r="B2416" s="5" t="s">
        <v>2244</v>
      </c>
      <c r="C2416" s="5">
        <v>51940751172</v>
      </c>
      <c r="D2416" s="5" t="s">
        <v>13</v>
      </c>
      <c r="E2416" s="5">
        <v>8.0566583E7</v>
      </c>
      <c r="F2416" s="5" t="s">
        <v>39</v>
      </c>
      <c r="G2416" s="5" t="s">
        <v>15</v>
      </c>
      <c r="H2416" s="5" t="s">
        <v>51</v>
      </c>
      <c r="I2416" s="6" t="s">
        <v>17</v>
      </c>
      <c r="J2416" s="7" t="s">
        <v>18</v>
      </c>
      <c r="K2416" s="7" t="s">
        <v>19</v>
      </c>
      <c r="L2416" s="8">
        <v>1.772148087622E12</v>
      </c>
      <c r="M2416" s="9"/>
      <c r="N2416" s="10"/>
      <c r="O2416" s="10"/>
      <c r="P2416" s="10"/>
      <c r="Q2416" s="10"/>
      <c r="R2416" s="10"/>
      <c r="S2416" s="10"/>
      <c r="T2416" s="10"/>
      <c r="U2416" s="10"/>
      <c r="V2416" s="10"/>
    </row>
    <row r="2417" ht="22.5" customHeight="1">
      <c r="A2417" s="5">
        <v>2.05720645942E11</v>
      </c>
      <c r="B2417" s="5" t="s">
        <v>2245</v>
      </c>
      <c r="C2417" s="5">
        <v>51970840682</v>
      </c>
      <c r="D2417" s="5" t="s">
        <v>13</v>
      </c>
      <c r="E2417" s="5">
        <v>8.0566583E7</v>
      </c>
      <c r="F2417" s="5" t="s">
        <v>65</v>
      </c>
      <c r="G2417" s="5" t="s">
        <v>15</v>
      </c>
      <c r="H2417" s="5" t="s">
        <v>33</v>
      </c>
      <c r="I2417" s="6" t="s">
        <v>17</v>
      </c>
      <c r="J2417" s="7" t="s">
        <v>18</v>
      </c>
      <c r="K2417" s="7" t="s">
        <v>19</v>
      </c>
      <c r="L2417" s="8">
        <v>1.772148270895E12</v>
      </c>
      <c r="M2417" s="9"/>
      <c r="N2417" s="10"/>
      <c r="O2417" s="10"/>
      <c r="P2417" s="10"/>
      <c r="Q2417" s="10"/>
      <c r="R2417" s="10"/>
      <c r="S2417" s="10"/>
      <c r="T2417" s="10"/>
      <c r="U2417" s="10"/>
      <c r="V2417" s="10"/>
    </row>
    <row r="2418" ht="22.5" customHeight="1">
      <c r="A2418" s="5">
        <v>2.0403773864E11</v>
      </c>
      <c r="B2418" s="5" t="s">
        <v>2246</v>
      </c>
      <c r="C2418" s="5">
        <v>51980754334</v>
      </c>
      <c r="D2418" s="5" t="s">
        <v>13</v>
      </c>
      <c r="E2418" s="5">
        <v>8.0566583E7</v>
      </c>
      <c r="F2418" s="5" t="s">
        <v>93</v>
      </c>
      <c r="G2418" s="5" t="s">
        <v>15</v>
      </c>
      <c r="H2418" s="5" t="s">
        <v>51</v>
      </c>
      <c r="I2418" s="6" t="s">
        <v>17</v>
      </c>
      <c r="J2418" s="7" t="s">
        <v>18</v>
      </c>
      <c r="K2418" s="7" t="s">
        <v>19</v>
      </c>
      <c r="L2418" s="8">
        <v>1.772149365275E12</v>
      </c>
      <c r="M2418" s="9"/>
      <c r="N2418" s="10"/>
      <c r="O2418" s="10"/>
      <c r="P2418" s="10"/>
      <c r="Q2418" s="10"/>
      <c r="R2418" s="10"/>
      <c r="S2418" s="10"/>
      <c r="T2418" s="10"/>
      <c r="U2418" s="10"/>
      <c r="V2418" s="10"/>
    </row>
    <row r="2419" ht="22.5" customHeight="1">
      <c r="A2419" s="5">
        <v>2.05282987671E11</v>
      </c>
      <c r="B2419" s="5" t="s">
        <v>2247</v>
      </c>
      <c r="C2419" s="5">
        <v>5519971005996</v>
      </c>
      <c r="D2419" s="5" t="s">
        <v>38</v>
      </c>
      <c r="E2419" s="5">
        <v>7.9360573E7</v>
      </c>
      <c r="F2419" s="5" t="s">
        <v>39</v>
      </c>
      <c r="G2419" s="5" t="s">
        <v>32</v>
      </c>
      <c r="H2419" s="5" t="s">
        <v>114</v>
      </c>
      <c r="I2419" s="6" t="s">
        <v>17</v>
      </c>
      <c r="J2419" s="7" t="s">
        <v>18</v>
      </c>
      <c r="K2419" s="7" t="s">
        <v>2248</v>
      </c>
      <c r="L2419" s="8">
        <v>1.772149746206E12</v>
      </c>
      <c r="M2419" s="9"/>
      <c r="N2419" s="10"/>
      <c r="O2419" s="10"/>
      <c r="P2419" s="10"/>
      <c r="Q2419" s="10"/>
      <c r="R2419" s="10"/>
      <c r="S2419" s="10"/>
      <c r="T2419" s="10"/>
      <c r="U2419" s="10"/>
      <c r="V2419" s="10"/>
    </row>
    <row r="2420" ht="22.5" customHeight="1">
      <c r="A2420" s="5">
        <v>1.90091739059E11</v>
      </c>
      <c r="B2420" s="5" t="s">
        <v>2249</v>
      </c>
      <c r="C2420" s="5">
        <v>51947621248</v>
      </c>
      <c r="D2420" s="5" t="s">
        <v>13</v>
      </c>
      <c r="E2420" s="5">
        <v>8.7547393E7</v>
      </c>
      <c r="F2420" s="5" t="s">
        <v>93</v>
      </c>
      <c r="G2420" s="5" t="s">
        <v>15</v>
      </c>
      <c r="H2420" s="5" t="s">
        <v>24</v>
      </c>
      <c r="I2420" s="6" t="s">
        <v>63</v>
      </c>
      <c r="J2420" s="7" t="s">
        <v>34</v>
      </c>
      <c r="K2420" s="7"/>
      <c r="L2420" s="8">
        <v>1.772151221392E12</v>
      </c>
      <c r="M2420" s="9"/>
      <c r="N2420" s="10"/>
      <c r="O2420" s="10"/>
      <c r="P2420" s="10"/>
      <c r="Q2420" s="10"/>
      <c r="R2420" s="10"/>
      <c r="S2420" s="10"/>
      <c r="T2420" s="10"/>
      <c r="U2420" s="10"/>
      <c r="V2420" s="10"/>
    </row>
    <row r="2421" ht="22.5" customHeight="1">
      <c r="A2421" s="5">
        <v>2.05735250199E11</v>
      </c>
      <c r="B2421" s="5" t="s">
        <v>2250</v>
      </c>
      <c r="C2421" s="5">
        <v>51960275262</v>
      </c>
      <c r="D2421" s="5" t="s">
        <v>38</v>
      </c>
      <c r="E2421" s="5">
        <v>8.7547393E7</v>
      </c>
      <c r="F2421" s="5" t="s">
        <v>510</v>
      </c>
      <c r="G2421" s="5" t="s">
        <v>44</v>
      </c>
      <c r="H2421" s="5" t="s">
        <v>16</v>
      </c>
      <c r="I2421" s="6" t="s">
        <v>17</v>
      </c>
      <c r="J2421" s="7" t="s">
        <v>18</v>
      </c>
      <c r="K2421" s="7" t="s">
        <v>19</v>
      </c>
      <c r="L2421" s="8">
        <v>1.772152437317E12</v>
      </c>
      <c r="M2421" s="9"/>
      <c r="N2421" s="10"/>
      <c r="O2421" s="10"/>
      <c r="P2421" s="10"/>
      <c r="Q2421" s="10"/>
      <c r="R2421" s="10"/>
      <c r="S2421" s="10"/>
      <c r="T2421" s="10"/>
      <c r="U2421" s="10"/>
      <c r="V2421" s="10"/>
    </row>
    <row r="2422" ht="22.5" customHeight="1">
      <c r="A2422" s="5">
        <v>2.05746804066E11</v>
      </c>
      <c r="B2422" s="5" t="s">
        <v>2251</v>
      </c>
      <c r="C2422" s="5">
        <v>51904928102</v>
      </c>
      <c r="D2422" s="5" t="s">
        <v>13</v>
      </c>
      <c r="E2422" s="5">
        <v>8.7547393E7</v>
      </c>
      <c r="F2422" s="5" t="s">
        <v>93</v>
      </c>
      <c r="G2422" s="5" t="s">
        <v>32</v>
      </c>
      <c r="H2422" s="5" t="s">
        <v>69</v>
      </c>
      <c r="I2422" s="6" t="s">
        <v>17</v>
      </c>
      <c r="J2422" s="7" t="s">
        <v>18</v>
      </c>
      <c r="K2422" s="7" t="s">
        <v>19</v>
      </c>
      <c r="L2422" s="8">
        <v>1.772153658352E12</v>
      </c>
      <c r="M2422" s="9"/>
      <c r="N2422" s="10"/>
      <c r="O2422" s="10"/>
      <c r="P2422" s="10"/>
      <c r="Q2422" s="10"/>
      <c r="R2422" s="10"/>
      <c r="S2422" s="10"/>
      <c r="T2422" s="10"/>
      <c r="U2422" s="10"/>
      <c r="V2422" s="10"/>
    </row>
    <row r="2423" ht="22.5" customHeight="1">
      <c r="A2423" s="5">
        <v>2.05737839432E11</v>
      </c>
      <c r="B2423" s="5" t="s">
        <v>2252</v>
      </c>
      <c r="C2423" s="5">
        <v>51942031403</v>
      </c>
      <c r="D2423" s="5" t="s">
        <v>13</v>
      </c>
      <c r="E2423" s="5">
        <v>8.7547393E7</v>
      </c>
      <c r="F2423" s="5" t="s">
        <v>259</v>
      </c>
      <c r="G2423" s="5" t="s">
        <v>15</v>
      </c>
      <c r="H2423" s="5" t="s">
        <v>66</v>
      </c>
      <c r="I2423" s="6" t="s">
        <v>17</v>
      </c>
      <c r="J2423" s="7" t="s">
        <v>18</v>
      </c>
      <c r="K2423" s="7" t="s">
        <v>19</v>
      </c>
      <c r="L2423" s="8">
        <v>1.772155379252E12</v>
      </c>
      <c r="M2423" s="9"/>
      <c r="N2423" s="10"/>
      <c r="O2423" s="10"/>
      <c r="P2423" s="10"/>
      <c r="Q2423" s="10"/>
      <c r="R2423" s="10"/>
      <c r="S2423" s="10"/>
      <c r="T2423" s="10"/>
      <c r="U2423" s="10"/>
      <c r="V2423" s="10"/>
    </row>
    <row r="2424" ht="22.5" customHeight="1">
      <c r="A2424" s="5">
        <v>2.0573678805E11</v>
      </c>
      <c r="B2424" s="5" t="s">
        <v>2253</v>
      </c>
      <c r="C2424" s="5">
        <v>51984284603</v>
      </c>
      <c r="D2424" s="5" t="s">
        <v>38</v>
      </c>
      <c r="E2424" s="5">
        <v>8.7547393E7</v>
      </c>
      <c r="F2424" s="5" t="s">
        <v>14</v>
      </c>
      <c r="G2424" s="5" t="s">
        <v>15</v>
      </c>
      <c r="H2424" s="5" t="s">
        <v>69</v>
      </c>
      <c r="I2424" s="6" t="s">
        <v>17</v>
      </c>
      <c r="J2424" s="7" t="s">
        <v>18</v>
      </c>
      <c r="K2424" s="7" t="s">
        <v>19</v>
      </c>
      <c r="L2424" s="8">
        <v>1.772155809807E12</v>
      </c>
      <c r="M2424" s="9"/>
      <c r="N2424" s="10"/>
      <c r="O2424" s="10"/>
      <c r="P2424" s="10"/>
      <c r="Q2424" s="10"/>
      <c r="R2424" s="10"/>
      <c r="S2424" s="10"/>
      <c r="T2424" s="10"/>
      <c r="U2424" s="10"/>
      <c r="V2424" s="10"/>
    </row>
    <row r="2425" ht="22.5" customHeight="1">
      <c r="A2425" s="5">
        <v>2.05745026584E11</v>
      </c>
      <c r="B2425" s="5" t="s">
        <v>2254</v>
      </c>
      <c r="C2425" s="5">
        <v>51912320643</v>
      </c>
      <c r="D2425" s="5" t="s">
        <v>13</v>
      </c>
      <c r="E2425" s="5">
        <v>8.7547393E7</v>
      </c>
      <c r="F2425" s="5" t="s">
        <v>65</v>
      </c>
      <c r="G2425" s="5" t="s">
        <v>15</v>
      </c>
      <c r="H2425" s="5" t="s">
        <v>858</v>
      </c>
      <c r="I2425" s="6" t="s">
        <v>17</v>
      </c>
      <c r="J2425" s="7" t="s">
        <v>34</v>
      </c>
      <c r="K2425" s="7"/>
      <c r="L2425" s="8">
        <v>1.772156093584E12</v>
      </c>
      <c r="M2425" s="9"/>
      <c r="N2425" s="10"/>
      <c r="O2425" s="10"/>
      <c r="P2425" s="10"/>
      <c r="Q2425" s="10"/>
      <c r="R2425" s="10"/>
      <c r="S2425" s="10"/>
      <c r="T2425" s="10"/>
      <c r="U2425" s="10"/>
      <c r="V2425" s="10"/>
    </row>
    <row r="2426" ht="22.5" customHeight="1">
      <c r="A2426" s="5">
        <v>2.05745035126E11</v>
      </c>
      <c r="B2426" s="5" t="s">
        <v>2255</v>
      </c>
      <c r="C2426" s="5">
        <v>51945658180</v>
      </c>
      <c r="D2426" s="5" t="s">
        <v>13</v>
      </c>
      <c r="E2426" s="5">
        <v>8.0566583E7</v>
      </c>
      <c r="F2426" s="5" t="s">
        <v>39</v>
      </c>
      <c r="G2426" s="5" t="s">
        <v>15</v>
      </c>
      <c r="H2426" s="5" t="s">
        <v>24</v>
      </c>
      <c r="I2426" s="6" t="s">
        <v>49</v>
      </c>
      <c r="J2426" s="7" t="s">
        <v>18</v>
      </c>
      <c r="K2426" s="7" t="s">
        <v>19</v>
      </c>
      <c r="L2426" s="8">
        <v>1.772156276551E12</v>
      </c>
      <c r="M2426" s="9"/>
      <c r="N2426" s="10"/>
      <c r="O2426" s="10"/>
      <c r="P2426" s="10"/>
      <c r="Q2426" s="10"/>
      <c r="R2426" s="10"/>
      <c r="S2426" s="10"/>
      <c r="T2426" s="10"/>
      <c r="U2426" s="10"/>
      <c r="V2426" s="10"/>
    </row>
    <row r="2427" ht="22.5" customHeight="1">
      <c r="A2427" s="5">
        <v>2.05738843802E11</v>
      </c>
      <c r="B2427" s="5" t="s">
        <v>2256</v>
      </c>
      <c r="C2427" s="5">
        <v>51967124538</v>
      </c>
      <c r="D2427" s="5" t="s">
        <v>13</v>
      </c>
      <c r="E2427" s="5">
        <v>8.7547393E7</v>
      </c>
      <c r="F2427" s="5" t="s">
        <v>65</v>
      </c>
      <c r="G2427" s="5" t="s">
        <v>32</v>
      </c>
      <c r="H2427" s="5" t="s">
        <v>66</v>
      </c>
      <c r="I2427" s="6" t="s">
        <v>17</v>
      </c>
      <c r="J2427" s="7" t="s">
        <v>18</v>
      </c>
      <c r="K2427" s="7" t="s">
        <v>19</v>
      </c>
      <c r="L2427" s="8">
        <v>1.772157960361E12</v>
      </c>
      <c r="M2427" s="9"/>
      <c r="N2427" s="10"/>
      <c r="O2427" s="10"/>
      <c r="P2427" s="10"/>
      <c r="Q2427" s="10"/>
      <c r="R2427" s="10"/>
      <c r="S2427" s="10"/>
      <c r="T2427" s="10"/>
      <c r="U2427" s="10"/>
      <c r="V2427" s="10"/>
    </row>
    <row r="2428" ht="22.5" customHeight="1">
      <c r="A2428" s="5">
        <v>2.05739537008E11</v>
      </c>
      <c r="B2428" s="5" t="s">
        <v>2257</v>
      </c>
      <c r="C2428" s="5">
        <v>51985399847</v>
      </c>
      <c r="D2428" s="5" t="s">
        <v>13</v>
      </c>
      <c r="E2428" s="5">
        <v>8.7547393E7</v>
      </c>
      <c r="F2428" s="5" t="s">
        <v>259</v>
      </c>
      <c r="G2428" s="5" t="s">
        <v>15</v>
      </c>
      <c r="H2428" s="5" t="s">
        <v>16</v>
      </c>
      <c r="I2428" s="6" t="s">
        <v>17</v>
      </c>
      <c r="J2428" s="7" t="s">
        <v>18</v>
      </c>
      <c r="K2428" s="7" t="s">
        <v>19</v>
      </c>
      <c r="L2428" s="8">
        <v>1.772158476735E12</v>
      </c>
      <c r="M2428" s="9"/>
      <c r="N2428" s="10"/>
      <c r="O2428" s="10"/>
      <c r="P2428" s="10"/>
      <c r="Q2428" s="10"/>
      <c r="R2428" s="10"/>
      <c r="S2428" s="10"/>
      <c r="T2428" s="10"/>
      <c r="U2428" s="10"/>
      <c r="V2428" s="10"/>
    </row>
    <row r="2429" ht="22.5" customHeight="1">
      <c r="A2429" s="5">
        <v>2.05755188803E11</v>
      </c>
      <c r="B2429" s="5" t="s">
        <v>2258</v>
      </c>
      <c r="C2429" s="5">
        <v>51910804111</v>
      </c>
      <c r="D2429" s="5" t="s">
        <v>13</v>
      </c>
      <c r="E2429" s="5">
        <v>8.7547393E7</v>
      </c>
      <c r="F2429" s="5" t="s">
        <v>82</v>
      </c>
      <c r="G2429" s="5" t="s">
        <v>15</v>
      </c>
      <c r="H2429" s="5" t="s">
        <v>51</v>
      </c>
      <c r="I2429" s="6" t="s">
        <v>17</v>
      </c>
      <c r="J2429" s="7" t="s">
        <v>18</v>
      </c>
      <c r="K2429" s="7" t="s">
        <v>19</v>
      </c>
      <c r="L2429" s="8">
        <v>1.772161368224E12</v>
      </c>
      <c r="M2429" s="9"/>
      <c r="N2429" s="10"/>
      <c r="O2429" s="10"/>
      <c r="P2429" s="10"/>
      <c r="Q2429" s="10"/>
      <c r="R2429" s="10"/>
      <c r="S2429" s="10"/>
      <c r="T2429" s="10"/>
      <c r="U2429" s="10"/>
      <c r="V2429" s="10"/>
    </row>
    <row r="2430" ht="22.5" customHeight="1">
      <c r="A2430" s="5">
        <v>1.87921237911E11</v>
      </c>
      <c r="B2430" s="5" t="s">
        <v>2259</v>
      </c>
      <c r="C2430" s="5">
        <v>51929278218</v>
      </c>
      <c r="D2430" s="5" t="s">
        <v>38</v>
      </c>
      <c r="E2430" s="5"/>
      <c r="F2430" s="5"/>
      <c r="G2430" s="5"/>
      <c r="H2430" s="5"/>
      <c r="I2430" s="6"/>
      <c r="J2430" s="7" t="s">
        <v>34</v>
      </c>
      <c r="K2430" s="7"/>
      <c r="L2430" s="8">
        <v>1.772161506292E12</v>
      </c>
      <c r="M2430" s="9"/>
      <c r="N2430" s="10"/>
      <c r="O2430" s="10"/>
      <c r="P2430" s="10"/>
      <c r="Q2430" s="10"/>
      <c r="R2430" s="10"/>
      <c r="S2430" s="10"/>
      <c r="T2430" s="10"/>
      <c r="U2430" s="10"/>
      <c r="V2430" s="10"/>
    </row>
    <row r="2431" ht="22.5" customHeight="1">
      <c r="A2431" s="5">
        <v>1.87921237911E11</v>
      </c>
      <c r="B2431" s="5" t="s">
        <v>2259</v>
      </c>
      <c r="C2431" s="5">
        <v>51929278218</v>
      </c>
      <c r="D2431" s="5" t="s">
        <v>38</v>
      </c>
      <c r="E2431" s="5"/>
      <c r="F2431" s="5"/>
      <c r="G2431" s="5"/>
      <c r="H2431" s="5"/>
      <c r="I2431" s="6"/>
      <c r="J2431" s="7" t="s">
        <v>34</v>
      </c>
      <c r="K2431" s="7"/>
      <c r="L2431" s="8">
        <v>1.77216152784E12</v>
      </c>
      <c r="M2431" s="9"/>
      <c r="N2431" s="10"/>
      <c r="O2431" s="10"/>
      <c r="P2431" s="10"/>
      <c r="Q2431" s="10"/>
      <c r="R2431" s="10"/>
      <c r="S2431" s="10"/>
      <c r="T2431" s="10"/>
      <c r="U2431" s="10"/>
      <c r="V2431" s="10"/>
    </row>
    <row r="2432" ht="22.5" customHeight="1">
      <c r="A2432" s="5">
        <v>2.05757139815E11</v>
      </c>
      <c r="B2432" s="5" t="s">
        <v>2260</v>
      </c>
      <c r="C2432" s="5">
        <v>51905768170</v>
      </c>
      <c r="D2432" s="5" t="s">
        <v>38</v>
      </c>
      <c r="E2432" s="5">
        <v>8.7547393E7</v>
      </c>
      <c r="F2432" s="5" t="s">
        <v>93</v>
      </c>
      <c r="G2432" s="5" t="s">
        <v>15</v>
      </c>
      <c r="H2432" s="5" t="s">
        <v>66</v>
      </c>
      <c r="I2432" s="6" t="s">
        <v>17</v>
      </c>
      <c r="J2432" s="7" t="s">
        <v>18</v>
      </c>
      <c r="K2432" s="7" t="s">
        <v>19</v>
      </c>
      <c r="L2432" s="8">
        <v>1.772162618259E12</v>
      </c>
      <c r="M2432" s="9"/>
      <c r="N2432" s="10"/>
      <c r="O2432" s="10"/>
      <c r="P2432" s="10"/>
      <c r="Q2432" s="10"/>
      <c r="R2432" s="10"/>
      <c r="S2432" s="10"/>
      <c r="T2432" s="10"/>
      <c r="U2432" s="10"/>
      <c r="V2432" s="10"/>
    </row>
    <row r="2433" ht="22.5" customHeight="1">
      <c r="A2433" s="5">
        <v>2.05757169013E11</v>
      </c>
      <c r="B2433" s="5" t="s">
        <v>2261</v>
      </c>
      <c r="C2433" s="5">
        <v>51900849486</v>
      </c>
      <c r="D2433" s="5" t="s">
        <v>22</v>
      </c>
      <c r="E2433" s="5">
        <v>8.0566583E7</v>
      </c>
      <c r="F2433" s="5" t="s">
        <v>259</v>
      </c>
      <c r="G2433" s="5" t="s">
        <v>44</v>
      </c>
      <c r="H2433" s="5" t="s">
        <v>2262</v>
      </c>
      <c r="I2433" s="6" t="s">
        <v>17</v>
      </c>
      <c r="J2433" s="7" t="s">
        <v>18</v>
      </c>
      <c r="K2433" s="7" t="s">
        <v>19</v>
      </c>
      <c r="L2433" s="8">
        <v>1.772163255253E12</v>
      </c>
      <c r="M2433" s="9"/>
      <c r="N2433" s="10"/>
      <c r="O2433" s="10"/>
      <c r="P2433" s="10"/>
      <c r="Q2433" s="10"/>
      <c r="R2433" s="10"/>
      <c r="S2433" s="10"/>
      <c r="T2433" s="10"/>
      <c r="U2433" s="10"/>
      <c r="V2433" s="10"/>
    </row>
    <row r="2434" ht="22.5" customHeight="1">
      <c r="A2434" s="5">
        <v>2.05757289259E11</v>
      </c>
      <c r="B2434" s="5" t="s">
        <v>2263</v>
      </c>
      <c r="C2434" s="5">
        <v>51995930031</v>
      </c>
      <c r="D2434" s="5" t="s">
        <v>13</v>
      </c>
      <c r="E2434" s="5">
        <v>8.7547393E7</v>
      </c>
      <c r="F2434" s="5" t="s">
        <v>93</v>
      </c>
      <c r="G2434" s="5" t="s">
        <v>15</v>
      </c>
      <c r="H2434" s="5" t="s">
        <v>51</v>
      </c>
      <c r="I2434" s="6" t="s">
        <v>17</v>
      </c>
      <c r="J2434" s="7" t="s">
        <v>18</v>
      </c>
      <c r="K2434" s="7" t="s">
        <v>19</v>
      </c>
      <c r="L2434" s="8">
        <v>1.772163579055E12</v>
      </c>
      <c r="M2434" s="9"/>
      <c r="N2434" s="10"/>
      <c r="O2434" s="10"/>
      <c r="P2434" s="10"/>
      <c r="Q2434" s="10"/>
      <c r="R2434" s="10"/>
      <c r="S2434" s="10"/>
      <c r="T2434" s="10"/>
      <c r="U2434" s="10"/>
      <c r="V2434" s="10"/>
    </row>
    <row r="2435" ht="22.5" customHeight="1">
      <c r="A2435" s="5">
        <v>2.05753309354E11</v>
      </c>
      <c r="B2435" s="5" t="s">
        <v>2264</v>
      </c>
      <c r="C2435" s="5">
        <v>51977332755</v>
      </c>
      <c r="D2435" s="5" t="s">
        <v>13</v>
      </c>
      <c r="E2435" s="5">
        <v>8.7547393E7</v>
      </c>
      <c r="F2435" s="5" t="s">
        <v>259</v>
      </c>
      <c r="G2435" s="5" t="s">
        <v>15</v>
      </c>
      <c r="H2435" s="5" t="s">
        <v>16</v>
      </c>
      <c r="I2435" s="6" t="s">
        <v>17</v>
      </c>
      <c r="J2435" s="7" t="s">
        <v>18</v>
      </c>
      <c r="K2435" s="7" t="s">
        <v>19</v>
      </c>
      <c r="L2435" s="8">
        <v>1.772164098651E12</v>
      </c>
      <c r="M2435" s="9"/>
      <c r="N2435" s="10"/>
      <c r="O2435" s="10"/>
      <c r="P2435" s="10"/>
      <c r="Q2435" s="10"/>
      <c r="R2435" s="10"/>
      <c r="S2435" s="10"/>
      <c r="T2435" s="10"/>
      <c r="U2435" s="10"/>
      <c r="V2435" s="10"/>
    </row>
    <row r="2436" ht="22.5" customHeight="1">
      <c r="A2436" s="5">
        <v>2.05766082379E11</v>
      </c>
      <c r="B2436" s="5" t="s">
        <v>2265</v>
      </c>
      <c r="C2436" s="5">
        <v>51963609234</v>
      </c>
      <c r="D2436" s="5" t="s">
        <v>13</v>
      </c>
      <c r="E2436" s="5">
        <v>8.7547393E7</v>
      </c>
      <c r="F2436" s="5" t="s">
        <v>14</v>
      </c>
      <c r="G2436" s="5" t="s">
        <v>15</v>
      </c>
      <c r="H2436" s="5" t="s">
        <v>2222</v>
      </c>
      <c r="I2436" s="6" t="s">
        <v>36</v>
      </c>
      <c r="J2436" s="7" t="s">
        <v>34</v>
      </c>
      <c r="K2436" s="7"/>
      <c r="L2436" s="8">
        <v>1.772164271857E12</v>
      </c>
      <c r="M2436" s="9"/>
      <c r="N2436" s="10"/>
      <c r="O2436" s="10"/>
      <c r="P2436" s="10"/>
      <c r="Q2436" s="10"/>
      <c r="R2436" s="10"/>
      <c r="S2436" s="10"/>
      <c r="T2436" s="10"/>
      <c r="U2436" s="10"/>
      <c r="V2436" s="10"/>
    </row>
    <row r="2437" ht="22.5" customHeight="1">
      <c r="A2437" s="5">
        <v>2.05767917948E11</v>
      </c>
      <c r="B2437" s="5" t="s">
        <v>2266</v>
      </c>
      <c r="C2437" s="5">
        <v>5562981702794</v>
      </c>
      <c r="D2437" s="5" t="s">
        <v>22</v>
      </c>
      <c r="E2437" s="5">
        <v>7.9360573E7</v>
      </c>
      <c r="F2437" s="5" t="s">
        <v>39</v>
      </c>
      <c r="G2437" s="5" t="s">
        <v>44</v>
      </c>
      <c r="H2437" s="5" t="s">
        <v>24</v>
      </c>
      <c r="I2437" s="6" t="s">
        <v>17</v>
      </c>
      <c r="J2437" s="7" t="s">
        <v>34</v>
      </c>
      <c r="K2437" s="7"/>
      <c r="L2437" s="8">
        <v>1.772165256614E12</v>
      </c>
      <c r="M2437" s="9"/>
      <c r="N2437" s="10"/>
      <c r="O2437" s="10"/>
      <c r="P2437" s="10"/>
      <c r="Q2437" s="10"/>
      <c r="R2437" s="10"/>
      <c r="S2437" s="10"/>
      <c r="T2437" s="10"/>
      <c r="U2437" s="10"/>
      <c r="V2437" s="10"/>
    </row>
    <row r="2438" ht="22.5" customHeight="1">
      <c r="A2438" s="5">
        <v>1.56203032633E11</v>
      </c>
      <c r="B2438" s="5" t="s">
        <v>2267</v>
      </c>
      <c r="C2438" s="5">
        <v>51969601732</v>
      </c>
      <c r="D2438" s="5" t="s">
        <v>13</v>
      </c>
      <c r="E2438" s="5">
        <v>8.0566583E7</v>
      </c>
      <c r="F2438" s="5" t="s">
        <v>39</v>
      </c>
      <c r="G2438" s="5" t="s">
        <v>15</v>
      </c>
      <c r="H2438" s="5" t="s">
        <v>69</v>
      </c>
      <c r="I2438" s="6" t="s">
        <v>17</v>
      </c>
      <c r="J2438" s="7" t="s">
        <v>18</v>
      </c>
      <c r="K2438" s="7" t="s">
        <v>116</v>
      </c>
      <c r="L2438" s="8">
        <v>1.772165850335E12</v>
      </c>
      <c r="M2438" s="9"/>
      <c r="N2438" s="10"/>
      <c r="O2438" s="10"/>
      <c r="P2438" s="10"/>
      <c r="Q2438" s="10"/>
      <c r="R2438" s="10"/>
      <c r="S2438" s="10"/>
      <c r="T2438" s="10"/>
      <c r="U2438" s="10"/>
      <c r="V2438" s="10"/>
    </row>
    <row r="2439" ht="22.5" customHeight="1">
      <c r="A2439" s="5">
        <v>2.05760240279E11</v>
      </c>
      <c r="B2439" s="5" t="s">
        <v>2268</v>
      </c>
      <c r="C2439" s="5">
        <v>51900659887</v>
      </c>
      <c r="D2439" s="5" t="s">
        <v>13</v>
      </c>
      <c r="E2439" s="5">
        <v>8.0566583E7</v>
      </c>
      <c r="F2439" s="5" t="s">
        <v>93</v>
      </c>
      <c r="G2439" s="5" t="s">
        <v>15</v>
      </c>
      <c r="H2439" s="5" t="s">
        <v>24</v>
      </c>
      <c r="I2439" s="6" t="s">
        <v>17</v>
      </c>
      <c r="J2439" s="7" t="s">
        <v>34</v>
      </c>
      <c r="K2439" s="7"/>
      <c r="L2439" s="8">
        <v>1.772166123358E12</v>
      </c>
      <c r="M2439" s="9"/>
      <c r="N2439" s="10"/>
      <c r="O2439" s="10"/>
      <c r="P2439" s="10"/>
      <c r="Q2439" s="10"/>
      <c r="R2439" s="10"/>
      <c r="S2439" s="10"/>
      <c r="T2439" s="10"/>
      <c r="U2439" s="10"/>
      <c r="V2439" s="10"/>
    </row>
    <row r="2440" ht="22.5" customHeight="1">
      <c r="A2440" s="5">
        <v>2.05760240279E11</v>
      </c>
      <c r="B2440" s="5" t="s">
        <v>2268</v>
      </c>
      <c r="C2440" s="5">
        <v>51900659887</v>
      </c>
      <c r="D2440" s="5" t="s">
        <v>13</v>
      </c>
      <c r="E2440" s="5">
        <v>8.0566583E7</v>
      </c>
      <c r="F2440" s="5" t="s">
        <v>93</v>
      </c>
      <c r="G2440" s="5" t="s">
        <v>15</v>
      </c>
      <c r="H2440" s="5" t="s">
        <v>24</v>
      </c>
      <c r="I2440" s="6" t="s">
        <v>17</v>
      </c>
      <c r="J2440" s="7" t="s">
        <v>34</v>
      </c>
      <c r="K2440" s="7"/>
      <c r="L2440" s="8">
        <v>1.77216613865E12</v>
      </c>
      <c r="M2440" s="9"/>
      <c r="N2440" s="10"/>
      <c r="O2440" s="10"/>
      <c r="P2440" s="10"/>
      <c r="Q2440" s="10"/>
      <c r="R2440" s="10"/>
      <c r="S2440" s="10"/>
      <c r="T2440" s="10"/>
      <c r="U2440" s="10"/>
      <c r="V2440" s="10"/>
    </row>
    <row r="2441" ht="22.5" customHeight="1">
      <c r="A2441" s="5">
        <v>2.05763274813E11</v>
      </c>
      <c r="B2441" s="5" t="s">
        <v>2269</v>
      </c>
      <c r="C2441" s="5">
        <v>51908043146</v>
      </c>
      <c r="D2441" s="5" t="s">
        <v>13</v>
      </c>
      <c r="E2441" s="5">
        <v>8.0566583E7</v>
      </c>
      <c r="F2441" s="5" t="s">
        <v>39</v>
      </c>
      <c r="G2441" s="5" t="s">
        <v>15</v>
      </c>
      <c r="H2441" s="5" t="s">
        <v>24</v>
      </c>
      <c r="I2441" s="6" t="s">
        <v>17</v>
      </c>
      <c r="J2441" s="7" t="s">
        <v>18</v>
      </c>
      <c r="K2441" s="7" t="s">
        <v>19</v>
      </c>
      <c r="L2441" s="8">
        <v>1.772168893454E12</v>
      </c>
      <c r="M2441" s="9"/>
      <c r="N2441" s="10"/>
      <c r="O2441" s="10"/>
      <c r="P2441" s="10"/>
      <c r="Q2441" s="10"/>
      <c r="R2441" s="10"/>
      <c r="S2441" s="10"/>
      <c r="T2441" s="10"/>
      <c r="U2441" s="10"/>
      <c r="V2441" s="10"/>
    </row>
    <row r="2442" ht="22.5" customHeight="1">
      <c r="A2442" s="5">
        <v>2.05772583476E11</v>
      </c>
      <c r="B2442" s="5" t="s">
        <v>2270</v>
      </c>
      <c r="C2442" s="5">
        <v>51960299100</v>
      </c>
      <c r="D2442" s="5" t="s">
        <v>13</v>
      </c>
      <c r="E2442" s="5">
        <v>8.0566583E7</v>
      </c>
      <c r="F2442" s="5" t="s">
        <v>39</v>
      </c>
      <c r="G2442" s="5" t="s">
        <v>32</v>
      </c>
      <c r="H2442" s="5" t="s">
        <v>16</v>
      </c>
      <c r="I2442" s="6" t="s">
        <v>17</v>
      </c>
      <c r="J2442" s="7" t="s">
        <v>18</v>
      </c>
      <c r="K2442" s="7" t="s">
        <v>19</v>
      </c>
      <c r="L2442" s="8">
        <v>1.772175513142E12</v>
      </c>
      <c r="M2442" s="9"/>
      <c r="N2442" s="10"/>
      <c r="O2442" s="10"/>
      <c r="P2442" s="10"/>
      <c r="Q2442" s="10"/>
      <c r="R2442" s="10"/>
      <c r="S2442" s="10"/>
      <c r="T2442" s="10"/>
      <c r="U2442" s="10"/>
      <c r="V2442" s="10"/>
    </row>
    <row r="2443" ht="22.5" customHeight="1">
      <c r="A2443" s="5">
        <v>2.05775453996E11</v>
      </c>
      <c r="B2443" s="5" t="s">
        <v>2271</v>
      </c>
      <c r="C2443" s="5">
        <v>51951426761</v>
      </c>
      <c r="D2443" s="5" t="s">
        <v>38</v>
      </c>
      <c r="E2443" s="5">
        <v>8.7547393E7</v>
      </c>
      <c r="F2443" s="5" t="s">
        <v>28</v>
      </c>
      <c r="G2443" s="5"/>
      <c r="H2443" s="5"/>
      <c r="I2443" s="6" t="s">
        <v>17</v>
      </c>
      <c r="J2443" s="7" t="s">
        <v>18</v>
      </c>
      <c r="K2443" s="7" t="s">
        <v>19</v>
      </c>
      <c r="L2443" s="8">
        <v>1.772175707919E12</v>
      </c>
      <c r="M2443" s="9"/>
      <c r="N2443" s="10"/>
      <c r="O2443" s="10"/>
      <c r="P2443" s="10"/>
      <c r="Q2443" s="10"/>
      <c r="R2443" s="10"/>
      <c r="S2443" s="10"/>
      <c r="T2443" s="10"/>
      <c r="U2443" s="10"/>
      <c r="V2443" s="10"/>
    </row>
    <row r="2444" ht="22.5" customHeight="1">
      <c r="A2444" s="5">
        <v>2.05790033433E11</v>
      </c>
      <c r="B2444" s="5" t="s">
        <v>2272</v>
      </c>
      <c r="C2444" s="5">
        <v>51961513214</v>
      </c>
      <c r="D2444" s="5" t="s">
        <v>13</v>
      </c>
      <c r="E2444" s="5">
        <v>8.0566583E7</v>
      </c>
      <c r="F2444" s="5" t="s">
        <v>510</v>
      </c>
      <c r="G2444" s="5" t="s">
        <v>15</v>
      </c>
      <c r="H2444" s="5" t="s">
        <v>66</v>
      </c>
      <c r="I2444" s="6" t="s">
        <v>17</v>
      </c>
      <c r="J2444" s="7" t="s">
        <v>18</v>
      </c>
      <c r="K2444" s="7" t="s">
        <v>19</v>
      </c>
      <c r="L2444" s="8">
        <v>1.772178331867E12</v>
      </c>
      <c r="M2444" s="9"/>
      <c r="N2444" s="10"/>
      <c r="O2444" s="10"/>
      <c r="P2444" s="10"/>
      <c r="Q2444" s="10"/>
      <c r="R2444" s="10"/>
      <c r="S2444" s="10"/>
      <c r="T2444" s="10"/>
      <c r="U2444" s="10"/>
      <c r="V2444" s="10"/>
    </row>
    <row r="2445" ht="22.5" customHeight="1">
      <c r="A2445" s="5">
        <v>2.0579702786E11</v>
      </c>
      <c r="B2445" s="5" t="s">
        <v>2273</v>
      </c>
      <c r="C2445" s="5">
        <v>51982444896</v>
      </c>
      <c r="D2445" s="5" t="s">
        <v>13</v>
      </c>
      <c r="E2445" s="5">
        <v>8.0566583E7</v>
      </c>
      <c r="F2445" s="5" t="s">
        <v>259</v>
      </c>
      <c r="G2445" s="5" t="s">
        <v>15</v>
      </c>
      <c r="H2445" s="5" t="s">
        <v>51</v>
      </c>
      <c r="I2445" s="6" t="s">
        <v>17</v>
      </c>
      <c r="J2445" s="7" t="s">
        <v>18</v>
      </c>
      <c r="K2445" s="7" t="s">
        <v>19</v>
      </c>
      <c r="L2445" s="8">
        <v>1.77218584111E12</v>
      </c>
      <c r="M2445" s="9"/>
      <c r="N2445" s="10"/>
      <c r="O2445" s="10"/>
      <c r="P2445" s="10"/>
      <c r="Q2445" s="10"/>
      <c r="R2445" s="10"/>
      <c r="S2445" s="10"/>
      <c r="T2445" s="10"/>
      <c r="U2445" s="10"/>
      <c r="V2445" s="10"/>
    </row>
    <row r="2446" ht="22.5" customHeight="1">
      <c r="A2446" s="5">
        <v>1.48718006097E11</v>
      </c>
      <c r="B2446" s="5" t="s">
        <v>2274</v>
      </c>
      <c r="C2446" s="5">
        <v>51929022256</v>
      </c>
      <c r="D2446" s="5" t="s">
        <v>13</v>
      </c>
      <c r="E2446" s="5">
        <v>8.7547393E7</v>
      </c>
      <c r="F2446" s="5" t="s">
        <v>259</v>
      </c>
      <c r="G2446" s="5" t="s">
        <v>15</v>
      </c>
      <c r="H2446" s="5" t="s">
        <v>51</v>
      </c>
      <c r="I2446" s="6"/>
      <c r="J2446" s="7" t="s">
        <v>18</v>
      </c>
      <c r="K2446" s="7" t="s">
        <v>116</v>
      </c>
      <c r="L2446" s="8">
        <v>1.772188050776E12</v>
      </c>
      <c r="M2446" s="9"/>
      <c r="N2446" s="10"/>
      <c r="O2446" s="10"/>
      <c r="P2446" s="10"/>
      <c r="Q2446" s="10"/>
      <c r="R2446" s="10"/>
      <c r="S2446" s="10"/>
      <c r="T2446" s="10"/>
      <c r="U2446" s="10"/>
      <c r="V2446" s="10"/>
    </row>
    <row r="2447" ht="22.5" customHeight="1">
      <c r="A2447" s="5">
        <v>2.05821526549E11</v>
      </c>
      <c r="B2447" s="5" t="s">
        <v>2275</v>
      </c>
      <c r="C2447" s="5">
        <v>51939374718</v>
      </c>
      <c r="D2447" s="5" t="s">
        <v>22</v>
      </c>
      <c r="E2447" s="5">
        <v>8.7547393E7</v>
      </c>
      <c r="F2447" s="5" t="s">
        <v>42</v>
      </c>
      <c r="G2447" s="5" t="s">
        <v>44</v>
      </c>
      <c r="H2447" s="5" t="s">
        <v>66</v>
      </c>
      <c r="I2447" s="6" t="s">
        <v>17</v>
      </c>
      <c r="J2447" s="7" t="s">
        <v>18</v>
      </c>
      <c r="K2447" s="7" t="s">
        <v>19</v>
      </c>
      <c r="L2447" s="8">
        <v>1.772188993572E12</v>
      </c>
      <c r="M2447" s="9"/>
      <c r="N2447" s="10"/>
      <c r="O2447" s="10"/>
      <c r="P2447" s="10"/>
      <c r="Q2447" s="10"/>
      <c r="R2447" s="10"/>
      <c r="S2447" s="10"/>
      <c r="T2447" s="10"/>
      <c r="U2447" s="10"/>
      <c r="V2447" s="10"/>
    </row>
    <row r="2448" ht="22.5" customHeight="1">
      <c r="A2448" s="5">
        <v>2.05825289299E11</v>
      </c>
      <c r="B2448" s="5" t="s">
        <v>2276</v>
      </c>
      <c r="C2448" s="5">
        <v>51902471555</v>
      </c>
      <c r="D2448" s="5" t="s">
        <v>13</v>
      </c>
      <c r="E2448" s="5">
        <v>8.0566583E7</v>
      </c>
      <c r="F2448" s="5" t="s">
        <v>714</v>
      </c>
      <c r="G2448" s="5" t="s">
        <v>15</v>
      </c>
      <c r="H2448" s="5" t="s">
        <v>69</v>
      </c>
      <c r="I2448" s="6" t="s">
        <v>63</v>
      </c>
      <c r="J2448" s="7" t="s">
        <v>18</v>
      </c>
      <c r="K2448" s="7" t="s">
        <v>19</v>
      </c>
      <c r="L2448" s="8">
        <v>1.772191037933E12</v>
      </c>
      <c r="M2448" s="9"/>
      <c r="N2448" s="10"/>
      <c r="O2448" s="10"/>
      <c r="P2448" s="10"/>
      <c r="Q2448" s="10"/>
      <c r="R2448" s="10"/>
      <c r="S2448" s="10"/>
      <c r="T2448" s="10"/>
      <c r="U2448" s="10"/>
      <c r="V2448" s="10"/>
    </row>
    <row r="2449" ht="22.5" customHeight="1">
      <c r="A2449" s="5">
        <v>2.05822614033E11</v>
      </c>
      <c r="B2449" s="5" t="s">
        <v>2277</v>
      </c>
      <c r="C2449" s="5">
        <v>51943127271</v>
      </c>
      <c r="D2449" s="5" t="s">
        <v>13</v>
      </c>
      <c r="E2449" s="5">
        <v>8.0566583E7</v>
      </c>
      <c r="F2449" s="5" t="s">
        <v>28</v>
      </c>
      <c r="G2449" s="5" t="s">
        <v>15</v>
      </c>
      <c r="H2449" s="5" t="s">
        <v>24</v>
      </c>
      <c r="I2449" s="6" t="s">
        <v>17</v>
      </c>
      <c r="J2449" s="7" t="s">
        <v>18</v>
      </c>
      <c r="K2449" s="7" t="s">
        <v>19</v>
      </c>
      <c r="L2449" s="8">
        <v>1.772191643922E12</v>
      </c>
      <c r="M2449" s="9"/>
      <c r="N2449" s="10"/>
      <c r="O2449" s="10"/>
      <c r="P2449" s="10"/>
      <c r="Q2449" s="10"/>
      <c r="R2449" s="10"/>
      <c r="S2449" s="10"/>
      <c r="T2449" s="10"/>
      <c r="U2449" s="10"/>
      <c r="V2449" s="10"/>
    </row>
    <row r="2450" ht="22.5" customHeight="1">
      <c r="A2450" s="5">
        <v>2.05826864019E11</v>
      </c>
      <c r="B2450" s="5" t="s">
        <v>2278</v>
      </c>
      <c r="C2450" s="5">
        <v>51968287819</v>
      </c>
      <c r="D2450" s="5" t="s">
        <v>13</v>
      </c>
      <c r="E2450" s="5">
        <v>8.7547393E7</v>
      </c>
      <c r="F2450" s="5" t="s">
        <v>714</v>
      </c>
      <c r="G2450" s="5" t="s">
        <v>44</v>
      </c>
      <c r="H2450" s="5" t="s">
        <v>16</v>
      </c>
      <c r="I2450" s="6" t="s">
        <v>17</v>
      </c>
      <c r="J2450" s="7" t="s">
        <v>18</v>
      </c>
      <c r="K2450" s="7" t="s">
        <v>19</v>
      </c>
      <c r="L2450" s="8">
        <v>1.772192559497E12</v>
      </c>
      <c r="M2450" s="9"/>
      <c r="N2450" s="10"/>
      <c r="O2450" s="10"/>
      <c r="P2450" s="10"/>
      <c r="Q2450" s="10"/>
      <c r="R2450" s="10"/>
      <c r="S2450" s="10"/>
      <c r="T2450" s="10"/>
      <c r="U2450" s="10"/>
      <c r="V2450" s="10"/>
    </row>
    <row r="2451" ht="22.5" customHeight="1">
      <c r="A2451" s="5">
        <v>1.80488293297E11</v>
      </c>
      <c r="B2451" s="5" t="s">
        <v>2279</v>
      </c>
      <c r="C2451" s="5">
        <v>51920378787</v>
      </c>
      <c r="D2451" s="5" t="s">
        <v>13</v>
      </c>
      <c r="E2451" s="5">
        <v>8.7547393E7</v>
      </c>
      <c r="F2451" s="5" t="s">
        <v>39</v>
      </c>
      <c r="G2451" s="5" t="s">
        <v>32</v>
      </c>
      <c r="H2451" s="5" t="s">
        <v>16</v>
      </c>
      <c r="I2451" s="6" t="s">
        <v>17</v>
      </c>
      <c r="J2451" s="7" t="s">
        <v>25</v>
      </c>
      <c r="K2451" s="7" t="s">
        <v>501</v>
      </c>
      <c r="L2451" s="8">
        <v>1.772193542257E12</v>
      </c>
      <c r="M2451" s="9"/>
      <c r="N2451" s="10"/>
      <c r="O2451" s="10"/>
      <c r="P2451" s="10"/>
      <c r="Q2451" s="10"/>
      <c r="R2451" s="10"/>
      <c r="S2451" s="10"/>
      <c r="T2451" s="10"/>
      <c r="U2451" s="10"/>
      <c r="V2451" s="10"/>
    </row>
    <row r="2452" ht="22.5" customHeight="1">
      <c r="A2452" s="5">
        <v>2.05834357591E11</v>
      </c>
      <c r="B2452" s="5" t="s">
        <v>2280</v>
      </c>
      <c r="C2452" s="5">
        <v>51950510041</v>
      </c>
      <c r="D2452" s="5" t="s">
        <v>13</v>
      </c>
      <c r="E2452" s="5">
        <v>8.0566583E7</v>
      </c>
      <c r="F2452" s="5" t="s">
        <v>714</v>
      </c>
      <c r="G2452" s="5" t="s">
        <v>44</v>
      </c>
      <c r="H2452" s="5" t="s">
        <v>180</v>
      </c>
      <c r="I2452" s="6" t="s">
        <v>17</v>
      </c>
      <c r="J2452" s="7" t="s">
        <v>18</v>
      </c>
      <c r="K2452" s="7" t="s">
        <v>19</v>
      </c>
      <c r="L2452" s="8">
        <v>1.772194878676E12</v>
      </c>
      <c r="M2452" s="9"/>
      <c r="N2452" s="10"/>
      <c r="O2452" s="10"/>
      <c r="P2452" s="10"/>
      <c r="Q2452" s="10"/>
      <c r="R2452" s="10"/>
      <c r="S2452" s="10"/>
      <c r="T2452" s="10"/>
      <c r="U2452" s="10"/>
      <c r="V2452" s="10"/>
    </row>
    <row r="2453" ht="22.5" customHeight="1">
      <c r="A2453" s="5">
        <v>2.05834719404E11</v>
      </c>
      <c r="B2453" s="5" t="s">
        <v>2281</v>
      </c>
      <c r="C2453" s="5">
        <v>51907066968</v>
      </c>
      <c r="D2453" s="5" t="s">
        <v>13</v>
      </c>
      <c r="E2453" s="5">
        <v>8.7547393E7</v>
      </c>
      <c r="F2453" s="5" t="s">
        <v>28</v>
      </c>
      <c r="G2453" s="5" t="s">
        <v>32</v>
      </c>
      <c r="H2453" s="5" t="s">
        <v>24</v>
      </c>
      <c r="I2453" s="6" t="s">
        <v>17</v>
      </c>
      <c r="J2453" s="7" t="s">
        <v>18</v>
      </c>
      <c r="K2453" s="7" t="s">
        <v>19</v>
      </c>
      <c r="L2453" s="8">
        <v>1.772195315384E12</v>
      </c>
      <c r="M2453" s="9"/>
      <c r="N2453" s="10"/>
      <c r="O2453" s="10"/>
      <c r="P2453" s="10"/>
      <c r="Q2453" s="10"/>
      <c r="R2453" s="10"/>
      <c r="S2453" s="10"/>
      <c r="T2453" s="10"/>
      <c r="U2453" s="10"/>
      <c r="V2453" s="10"/>
    </row>
    <row r="2454" ht="22.5" customHeight="1">
      <c r="A2454" s="5">
        <v>2.05829865266E11</v>
      </c>
      <c r="B2454" s="5" t="s">
        <v>2282</v>
      </c>
      <c r="C2454" s="5">
        <v>51928591999</v>
      </c>
      <c r="D2454" s="5" t="s">
        <v>38</v>
      </c>
      <c r="E2454" s="5">
        <v>8.0566583E7</v>
      </c>
      <c r="F2454" s="5" t="s">
        <v>39</v>
      </c>
      <c r="G2454" s="5" t="s">
        <v>15</v>
      </c>
      <c r="H2454" s="5" t="s">
        <v>24</v>
      </c>
      <c r="I2454" s="6" t="s">
        <v>89</v>
      </c>
      <c r="J2454" s="7" t="s">
        <v>34</v>
      </c>
      <c r="K2454" s="7"/>
      <c r="L2454" s="8">
        <v>1.772195393805E12</v>
      </c>
      <c r="M2454" s="9"/>
      <c r="N2454" s="10"/>
      <c r="O2454" s="10"/>
      <c r="P2454" s="10"/>
      <c r="Q2454" s="10"/>
      <c r="R2454" s="10"/>
      <c r="S2454" s="10"/>
      <c r="T2454" s="10"/>
      <c r="U2454" s="10"/>
      <c r="V2454" s="10"/>
    </row>
    <row r="2455" ht="22.5" customHeight="1">
      <c r="A2455" s="5">
        <v>2.05829739363E11</v>
      </c>
      <c r="B2455" s="5" t="s">
        <v>2283</v>
      </c>
      <c r="C2455" s="5">
        <v>51941297844</v>
      </c>
      <c r="D2455" s="5" t="s">
        <v>13</v>
      </c>
      <c r="E2455" s="5">
        <v>8.7547393E7</v>
      </c>
      <c r="F2455" s="5" t="s">
        <v>259</v>
      </c>
      <c r="G2455" s="5" t="s">
        <v>15</v>
      </c>
      <c r="H2455" s="5" t="s">
        <v>51</v>
      </c>
      <c r="I2455" s="6" t="s">
        <v>49</v>
      </c>
      <c r="J2455" s="7" t="s">
        <v>34</v>
      </c>
      <c r="K2455" s="7"/>
      <c r="L2455" s="8">
        <v>1.772195676371E12</v>
      </c>
      <c r="M2455" s="9"/>
      <c r="N2455" s="10"/>
      <c r="O2455" s="10"/>
      <c r="P2455" s="10"/>
      <c r="Q2455" s="10"/>
      <c r="R2455" s="10"/>
      <c r="S2455" s="10"/>
      <c r="T2455" s="10"/>
      <c r="U2455" s="10"/>
      <c r="V2455" s="10"/>
    </row>
    <row r="2456" ht="22.5" customHeight="1">
      <c r="A2456" s="5">
        <v>2.0583024184E11</v>
      </c>
      <c r="B2456" s="5" t="s">
        <v>2284</v>
      </c>
      <c r="C2456" s="5">
        <v>51912591700</v>
      </c>
      <c r="D2456" s="5" t="s">
        <v>13</v>
      </c>
      <c r="E2456" s="5">
        <v>8.0566583E7</v>
      </c>
      <c r="F2456" s="5" t="s">
        <v>714</v>
      </c>
      <c r="G2456" s="5" t="s">
        <v>44</v>
      </c>
      <c r="H2456" s="5" t="s">
        <v>114</v>
      </c>
      <c r="I2456" s="6" t="s">
        <v>17</v>
      </c>
      <c r="J2456" s="7" t="s">
        <v>18</v>
      </c>
      <c r="K2456" s="7" t="s">
        <v>19</v>
      </c>
      <c r="L2456" s="8">
        <v>1.772195751086E12</v>
      </c>
      <c r="M2456" s="9"/>
      <c r="N2456" s="10"/>
      <c r="O2456" s="10"/>
      <c r="P2456" s="10"/>
      <c r="Q2456" s="10"/>
      <c r="R2456" s="10"/>
      <c r="S2456" s="10"/>
      <c r="T2456" s="10"/>
      <c r="U2456" s="10"/>
      <c r="V2456" s="10"/>
    </row>
    <row r="2457" ht="22.5" customHeight="1">
      <c r="A2457" s="5">
        <v>1.48718006097E11</v>
      </c>
      <c r="B2457" s="5" t="s">
        <v>2274</v>
      </c>
      <c r="C2457" s="5">
        <v>51929022256</v>
      </c>
      <c r="D2457" s="5" t="s">
        <v>13</v>
      </c>
      <c r="E2457" s="5">
        <v>8.7547393E7</v>
      </c>
      <c r="F2457" s="5" t="s">
        <v>42</v>
      </c>
      <c r="G2457" s="5" t="s">
        <v>15</v>
      </c>
      <c r="H2457" s="5" t="s">
        <v>51</v>
      </c>
      <c r="I2457" s="6" t="s">
        <v>17</v>
      </c>
      <c r="J2457" s="7" t="s">
        <v>34</v>
      </c>
      <c r="K2457" s="7"/>
      <c r="L2457" s="8">
        <v>1.772196479807E12</v>
      </c>
      <c r="M2457" s="9"/>
      <c r="N2457" s="10"/>
      <c r="O2457" s="10"/>
      <c r="P2457" s="10"/>
      <c r="Q2457" s="10"/>
      <c r="R2457" s="10"/>
      <c r="S2457" s="10"/>
      <c r="T2457" s="10"/>
      <c r="U2457" s="10"/>
      <c r="V2457" s="10"/>
    </row>
    <row r="2458" ht="22.5" customHeight="1">
      <c r="A2458" s="5">
        <v>2.05831952229E11</v>
      </c>
      <c r="B2458" s="5" t="s">
        <v>2285</v>
      </c>
      <c r="C2458" s="5">
        <v>51958241878</v>
      </c>
      <c r="D2458" s="5" t="s">
        <v>13</v>
      </c>
      <c r="E2458" s="5">
        <v>8.0566583E7</v>
      </c>
      <c r="F2458" s="5" t="s">
        <v>65</v>
      </c>
      <c r="G2458" s="5" t="s">
        <v>32</v>
      </c>
      <c r="H2458" s="5" t="s">
        <v>114</v>
      </c>
      <c r="I2458" s="6" t="s">
        <v>17</v>
      </c>
      <c r="J2458" s="7" t="s">
        <v>34</v>
      </c>
      <c r="K2458" s="7"/>
      <c r="L2458" s="8">
        <v>1.772196587111E12</v>
      </c>
      <c r="M2458" s="9"/>
      <c r="N2458" s="10"/>
      <c r="O2458" s="10"/>
      <c r="P2458" s="10"/>
      <c r="Q2458" s="10"/>
      <c r="R2458" s="10"/>
      <c r="S2458" s="10"/>
      <c r="T2458" s="10"/>
      <c r="U2458" s="10"/>
      <c r="V2458" s="10"/>
    </row>
    <row r="2459" ht="22.5" customHeight="1">
      <c r="A2459" s="5">
        <v>2.05837717853E11</v>
      </c>
      <c r="B2459" s="5" t="s">
        <v>2286</v>
      </c>
      <c r="C2459" s="5">
        <v>51983725642</v>
      </c>
      <c r="D2459" s="5" t="s">
        <v>38</v>
      </c>
      <c r="E2459" s="5">
        <v>8.7547393E7</v>
      </c>
      <c r="F2459" s="5"/>
      <c r="G2459" s="5"/>
      <c r="H2459" s="5"/>
      <c r="I2459" s="6"/>
      <c r="J2459" s="7" t="s">
        <v>18</v>
      </c>
      <c r="K2459" s="7" t="s">
        <v>19</v>
      </c>
      <c r="L2459" s="8">
        <v>1.772197139113E12</v>
      </c>
      <c r="M2459" s="9"/>
      <c r="N2459" s="10"/>
      <c r="O2459" s="10"/>
      <c r="P2459" s="10"/>
      <c r="Q2459" s="10"/>
      <c r="R2459" s="10"/>
      <c r="S2459" s="10"/>
      <c r="T2459" s="10"/>
      <c r="U2459" s="10"/>
      <c r="V2459" s="10"/>
    </row>
    <row r="2460" ht="22.5" customHeight="1">
      <c r="A2460" s="5">
        <v>2.05836939582E11</v>
      </c>
      <c r="B2460" s="5" t="s">
        <v>2287</v>
      </c>
      <c r="C2460" s="5">
        <v>51992995428</v>
      </c>
      <c r="D2460" s="5" t="s">
        <v>22</v>
      </c>
      <c r="E2460" s="5">
        <v>8.7547393E7</v>
      </c>
      <c r="F2460" s="5" t="s">
        <v>93</v>
      </c>
      <c r="G2460" s="5" t="s">
        <v>32</v>
      </c>
      <c r="H2460" s="5" t="s">
        <v>16</v>
      </c>
      <c r="I2460" s="6" t="s">
        <v>36</v>
      </c>
      <c r="J2460" s="7" t="s">
        <v>18</v>
      </c>
      <c r="K2460" s="7" t="s">
        <v>19</v>
      </c>
      <c r="L2460" s="8">
        <v>1.772197720728E12</v>
      </c>
      <c r="M2460" s="9"/>
      <c r="N2460" s="10"/>
      <c r="O2460" s="10"/>
      <c r="P2460" s="10"/>
      <c r="Q2460" s="10"/>
      <c r="R2460" s="10"/>
      <c r="S2460" s="10"/>
      <c r="T2460" s="10"/>
      <c r="U2460" s="10"/>
      <c r="V2460" s="10"/>
    </row>
    <row r="2461" ht="22.5" customHeight="1">
      <c r="A2461" s="5">
        <v>2.05834394231E11</v>
      </c>
      <c r="B2461" s="5" t="s">
        <v>2288</v>
      </c>
      <c r="C2461" s="5">
        <v>51979598331</v>
      </c>
      <c r="D2461" s="5" t="s">
        <v>13</v>
      </c>
      <c r="E2461" s="5">
        <v>8.0566583E7</v>
      </c>
      <c r="F2461" s="5" t="s">
        <v>82</v>
      </c>
      <c r="G2461" s="5" t="s">
        <v>15</v>
      </c>
      <c r="H2461" s="5" t="s">
        <v>112</v>
      </c>
      <c r="I2461" s="6" t="s">
        <v>148</v>
      </c>
      <c r="J2461" s="7" t="s">
        <v>58</v>
      </c>
      <c r="K2461" s="11" t="s">
        <v>59</v>
      </c>
      <c r="L2461" s="8">
        <v>1.772197746932E12</v>
      </c>
      <c r="M2461" s="9"/>
      <c r="N2461" s="10"/>
      <c r="O2461" s="10"/>
      <c r="P2461" s="10"/>
      <c r="Q2461" s="10"/>
      <c r="R2461" s="10"/>
      <c r="S2461" s="10"/>
      <c r="T2461" s="10"/>
      <c r="U2461" s="10"/>
      <c r="V2461" s="10"/>
    </row>
    <row r="2462" ht="22.5" customHeight="1">
      <c r="A2462" s="5">
        <v>2.05845774903E11</v>
      </c>
      <c r="B2462" s="5" t="s">
        <v>2289</v>
      </c>
      <c r="C2462" s="5">
        <v>51902920516</v>
      </c>
      <c r="D2462" s="5" t="s">
        <v>13</v>
      </c>
      <c r="E2462" s="5">
        <v>8.0566583E7</v>
      </c>
      <c r="F2462" s="5" t="s">
        <v>259</v>
      </c>
      <c r="G2462" s="5" t="s">
        <v>15</v>
      </c>
      <c r="H2462" s="5" t="s">
        <v>51</v>
      </c>
      <c r="I2462" s="6" t="s">
        <v>17</v>
      </c>
      <c r="J2462" s="7" t="s">
        <v>18</v>
      </c>
      <c r="K2462" s="7" t="s">
        <v>19</v>
      </c>
      <c r="L2462" s="8">
        <v>1.772197869661E12</v>
      </c>
      <c r="M2462" s="9"/>
      <c r="N2462" s="10"/>
      <c r="O2462" s="10"/>
      <c r="P2462" s="10"/>
      <c r="Q2462" s="10"/>
      <c r="R2462" s="10"/>
      <c r="S2462" s="10"/>
      <c r="T2462" s="10"/>
      <c r="U2462" s="10"/>
      <c r="V2462" s="10"/>
    </row>
    <row r="2463" ht="22.5" customHeight="1">
      <c r="A2463" s="5">
        <v>2.05832810353E11</v>
      </c>
      <c r="B2463" s="5" t="s">
        <v>2290</v>
      </c>
      <c r="C2463" s="5">
        <v>51904197316</v>
      </c>
      <c r="D2463" s="5" t="s">
        <v>13</v>
      </c>
      <c r="E2463" s="5">
        <v>8.7547393E7</v>
      </c>
      <c r="F2463" s="5" t="s">
        <v>259</v>
      </c>
      <c r="G2463" s="5" t="s">
        <v>15</v>
      </c>
      <c r="H2463" s="5" t="s">
        <v>66</v>
      </c>
      <c r="I2463" s="6" t="s">
        <v>17</v>
      </c>
      <c r="J2463" s="7" t="s">
        <v>34</v>
      </c>
      <c r="K2463" s="7"/>
      <c r="L2463" s="8">
        <v>1.772197871696E12</v>
      </c>
      <c r="M2463" s="9"/>
      <c r="N2463" s="10"/>
      <c r="O2463" s="10"/>
      <c r="P2463" s="10"/>
      <c r="Q2463" s="10"/>
      <c r="R2463" s="10"/>
      <c r="S2463" s="10"/>
      <c r="T2463" s="10"/>
      <c r="U2463" s="10"/>
      <c r="V2463" s="10"/>
    </row>
    <row r="2464" ht="22.5" customHeight="1">
      <c r="A2464" s="5">
        <v>2.05831100951E11</v>
      </c>
      <c r="B2464" s="5" t="s">
        <v>2291</v>
      </c>
      <c r="C2464" s="5">
        <v>51966419317</v>
      </c>
      <c r="D2464" s="5" t="s">
        <v>13</v>
      </c>
      <c r="E2464" s="5">
        <v>8.0566583E7</v>
      </c>
      <c r="F2464" s="5" t="s">
        <v>714</v>
      </c>
      <c r="G2464" s="5" t="s">
        <v>15</v>
      </c>
      <c r="H2464" s="5" t="s">
        <v>24</v>
      </c>
      <c r="I2464" s="6" t="s">
        <v>17</v>
      </c>
      <c r="J2464" s="7" t="s">
        <v>34</v>
      </c>
      <c r="K2464" s="7"/>
      <c r="L2464" s="8">
        <v>1.772198035451E12</v>
      </c>
      <c r="M2464" s="9"/>
      <c r="N2464" s="10"/>
      <c r="O2464" s="10"/>
      <c r="P2464" s="10"/>
      <c r="Q2464" s="10"/>
      <c r="R2464" s="10"/>
      <c r="S2464" s="10"/>
      <c r="T2464" s="10"/>
      <c r="U2464" s="10"/>
      <c r="V2464" s="10"/>
    </row>
    <row r="2465" ht="22.5" customHeight="1">
      <c r="A2465" s="5">
        <v>2.05835223075E11</v>
      </c>
      <c r="B2465" s="5" t="s">
        <v>2292</v>
      </c>
      <c r="C2465" s="5">
        <v>5563992515880</v>
      </c>
      <c r="D2465" s="5" t="s">
        <v>13</v>
      </c>
      <c r="E2465" s="5">
        <v>7.9360573E7</v>
      </c>
      <c r="F2465" s="5" t="s">
        <v>259</v>
      </c>
      <c r="G2465" s="5" t="s">
        <v>15</v>
      </c>
      <c r="H2465" s="5" t="s">
        <v>51</v>
      </c>
      <c r="I2465" s="6" t="s">
        <v>17</v>
      </c>
      <c r="J2465" s="7" t="s">
        <v>124</v>
      </c>
      <c r="K2465" s="7" t="s">
        <v>1256</v>
      </c>
      <c r="L2465" s="8">
        <v>1.772198175608E12</v>
      </c>
      <c r="M2465" s="9"/>
      <c r="N2465" s="10"/>
      <c r="O2465" s="10"/>
      <c r="P2465" s="10"/>
      <c r="Q2465" s="10"/>
      <c r="R2465" s="10"/>
      <c r="S2465" s="10"/>
      <c r="T2465" s="10"/>
      <c r="U2465" s="10"/>
      <c r="V2465" s="10"/>
    </row>
    <row r="2466" ht="22.5" customHeight="1">
      <c r="A2466" s="5">
        <v>2.05841577558E11</v>
      </c>
      <c r="B2466" s="5" t="s">
        <v>2293</v>
      </c>
      <c r="C2466" s="5">
        <v>51977768298</v>
      </c>
      <c r="D2466" s="5" t="s">
        <v>13</v>
      </c>
      <c r="E2466" s="5">
        <v>8.7547393E7</v>
      </c>
      <c r="F2466" s="5" t="s">
        <v>259</v>
      </c>
      <c r="G2466" s="5" t="s">
        <v>15</v>
      </c>
      <c r="H2466" s="5" t="s">
        <v>16</v>
      </c>
      <c r="I2466" s="6" t="s">
        <v>17</v>
      </c>
      <c r="J2466" s="7" t="s">
        <v>18</v>
      </c>
      <c r="K2466" s="7" t="s">
        <v>19</v>
      </c>
      <c r="L2466" s="8">
        <v>1.772200038562E12</v>
      </c>
      <c r="M2466" s="9"/>
      <c r="N2466" s="10"/>
      <c r="O2466" s="10"/>
      <c r="P2466" s="10"/>
      <c r="Q2466" s="10"/>
      <c r="R2466" s="10"/>
      <c r="S2466" s="10"/>
      <c r="T2466" s="10"/>
      <c r="U2466" s="10"/>
      <c r="V2466" s="10"/>
    </row>
    <row r="2467" ht="22.5" customHeight="1">
      <c r="A2467" s="5">
        <v>2.01938539101E11</v>
      </c>
      <c r="B2467" s="5" t="s">
        <v>950</v>
      </c>
      <c r="C2467" s="5">
        <v>51902827997</v>
      </c>
      <c r="D2467" s="5" t="s">
        <v>22</v>
      </c>
      <c r="E2467" s="5">
        <v>8.0566583E7</v>
      </c>
      <c r="F2467" s="5" t="s">
        <v>39</v>
      </c>
      <c r="G2467" s="5" t="s">
        <v>32</v>
      </c>
      <c r="H2467" s="5" t="s">
        <v>29</v>
      </c>
      <c r="I2467" s="6" t="s">
        <v>17</v>
      </c>
      <c r="J2467" s="7" t="s">
        <v>25</v>
      </c>
      <c r="K2467" s="7" t="s">
        <v>2294</v>
      </c>
      <c r="L2467" s="8">
        <v>1.7722003722E12</v>
      </c>
      <c r="M2467" s="9"/>
      <c r="N2467" s="10"/>
      <c r="O2467" s="10"/>
      <c r="P2467" s="10"/>
      <c r="Q2467" s="10"/>
      <c r="R2467" s="10"/>
      <c r="S2467" s="10"/>
      <c r="T2467" s="10"/>
      <c r="U2467" s="10"/>
      <c r="V2467" s="10"/>
    </row>
    <row r="2468" ht="22.5" customHeight="1">
      <c r="A2468" s="5">
        <v>2.058430358E11</v>
      </c>
      <c r="B2468" s="5" t="s">
        <v>2295</v>
      </c>
      <c r="C2468" s="5">
        <v>5541999644774</v>
      </c>
      <c r="D2468" s="5" t="s">
        <v>13</v>
      </c>
      <c r="E2468" s="5">
        <v>7.9360573E7</v>
      </c>
      <c r="F2468" s="5" t="s">
        <v>28</v>
      </c>
      <c r="G2468" s="5" t="s">
        <v>15</v>
      </c>
      <c r="H2468" s="5" t="s">
        <v>188</v>
      </c>
      <c r="I2468" s="6" t="s">
        <v>63</v>
      </c>
      <c r="J2468" s="7" t="s">
        <v>124</v>
      </c>
      <c r="K2468" s="7" t="s">
        <v>2296</v>
      </c>
      <c r="L2468" s="8">
        <v>1.772201607167E12</v>
      </c>
      <c r="M2468" s="9"/>
      <c r="N2468" s="10"/>
      <c r="O2468" s="10"/>
      <c r="P2468" s="10"/>
      <c r="Q2468" s="10"/>
      <c r="R2468" s="10"/>
      <c r="S2468" s="10"/>
      <c r="T2468" s="10"/>
      <c r="U2468" s="10"/>
      <c r="V2468" s="10"/>
    </row>
    <row r="2469" ht="22.5" customHeight="1">
      <c r="A2469" s="5">
        <v>2.04805080858E11</v>
      </c>
      <c r="B2469" s="5" t="s">
        <v>2234</v>
      </c>
      <c r="C2469" s="5">
        <v>51960639454</v>
      </c>
      <c r="D2469" s="5" t="s">
        <v>13</v>
      </c>
      <c r="E2469" s="5">
        <v>8.0566583E7</v>
      </c>
      <c r="F2469" s="5" t="s">
        <v>28</v>
      </c>
      <c r="G2469" s="5" t="s">
        <v>15</v>
      </c>
      <c r="H2469" s="5" t="s">
        <v>51</v>
      </c>
      <c r="I2469" s="6" t="s">
        <v>148</v>
      </c>
      <c r="J2469" s="7" t="s">
        <v>34</v>
      </c>
      <c r="K2469" s="7"/>
      <c r="L2469" s="8">
        <v>1.772201629571E12</v>
      </c>
      <c r="M2469" s="9"/>
      <c r="N2469" s="10"/>
      <c r="O2469" s="10"/>
      <c r="P2469" s="10"/>
      <c r="Q2469" s="10"/>
      <c r="R2469" s="10"/>
      <c r="S2469" s="10"/>
      <c r="T2469" s="10"/>
      <c r="U2469" s="10"/>
      <c r="V2469" s="10"/>
    </row>
    <row r="2470" ht="22.5" customHeight="1">
      <c r="A2470" s="5">
        <v>2.05850139514E11</v>
      </c>
      <c r="B2470" s="5" t="s">
        <v>2297</v>
      </c>
      <c r="C2470" s="5">
        <v>51987743710</v>
      </c>
      <c r="D2470" s="5" t="s">
        <v>13</v>
      </c>
      <c r="E2470" s="5">
        <v>8.0566583E7</v>
      </c>
      <c r="F2470" s="5" t="s">
        <v>714</v>
      </c>
      <c r="G2470" s="5" t="s">
        <v>32</v>
      </c>
      <c r="H2470" s="5" t="s">
        <v>114</v>
      </c>
      <c r="I2470" s="6" t="s">
        <v>17</v>
      </c>
      <c r="J2470" s="7" t="s">
        <v>34</v>
      </c>
      <c r="K2470" s="7"/>
      <c r="L2470" s="8">
        <v>1.772201779797E12</v>
      </c>
      <c r="M2470" s="9"/>
      <c r="N2470" s="10"/>
      <c r="O2470" s="10"/>
      <c r="P2470" s="10"/>
      <c r="Q2470" s="10"/>
      <c r="R2470" s="10"/>
      <c r="S2470" s="10"/>
      <c r="T2470" s="10"/>
      <c r="U2470" s="10"/>
      <c r="V2470" s="10"/>
    </row>
    <row r="2471" ht="22.5" customHeight="1">
      <c r="A2471" s="5">
        <v>2.05861305151E11</v>
      </c>
      <c r="B2471" s="5" t="s">
        <v>2298</v>
      </c>
      <c r="C2471" s="5">
        <v>51979144618</v>
      </c>
      <c r="D2471" s="5" t="s">
        <v>38</v>
      </c>
      <c r="E2471" s="5">
        <v>8.7547393E7</v>
      </c>
      <c r="F2471" s="5" t="s">
        <v>42</v>
      </c>
      <c r="G2471" s="5" t="s">
        <v>15</v>
      </c>
      <c r="H2471" s="5" t="s">
        <v>66</v>
      </c>
      <c r="I2471" s="6" t="s">
        <v>17</v>
      </c>
      <c r="J2471" s="7" t="s">
        <v>18</v>
      </c>
      <c r="K2471" s="7" t="s">
        <v>19</v>
      </c>
      <c r="L2471" s="8">
        <v>1.77220273803E12</v>
      </c>
      <c r="M2471" s="9"/>
      <c r="N2471" s="10"/>
      <c r="O2471" s="10"/>
      <c r="P2471" s="10"/>
      <c r="Q2471" s="10"/>
      <c r="R2471" s="10"/>
      <c r="S2471" s="10"/>
      <c r="T2471" s="10"/>
      <c r="U2471" s="10"/>
      <c r="V2471" s="10"/>
    </row>
    <row r="2472" ht="22.5" customHeight="1">
      <c r="A2472" s="5">
        <v>2.05843372347E11</v>
      </c>
      <c r="B2472" s="5" t="s">
        <v>2299</v>
      </c>
      <c r="C2472" s="5">
        <v>51930122393</v>
      </c>
      <c r="D2472" s="5" t="s">
        <v>13</v>
      </c>
      <c r="E2472" s="5">
        <v>8.7547393E7</v>
      </c>
      <c r="F2472" s="5" t="s">
        <v>714</v>
      </c>
      <c r="G2472" s="5" t="s">
        <v>15</v>
      </c>
      <c r="H2472" s="5" t="s">
        <v>16</v>
      </c>
      <c r="I2472" s="6" t="s">
        <v>17</v>
      </c>
      <c r="J2472" s="7" t="s">
        <v>34</v>
      </c>
      <c r="K2472" s="7"/>
      <c r="L2472" s="8">
        <v>1.772202803182E12</v>
      </c>
      <c r="M2472" s="9"/>
      <c r="N2472" s="10"/>
      <c r="O2472" s="10"/>
      <c r="P2472" s="10"/>
      <c r="Q2472" s="10"/>
      <c r="R2472" s="10"/>
      <c r="S2472" s="10"/>
      <c r="T2472" s="10"/>
      <c r="U2472" s="10"/>
      <c r="V2472" s="10"/>
    </row>
    <row r="2473" ht="22.5" customHeight="1">
      <c r="A2473" s="5">
        <v>2.05863432254E11</v>
      </c>
      <c r="B2473" s="5" t="s">
        <v>2300</v>
      </c>
      <c r="C2473" s="5">
        <v>51923257359</v>
      </c>
      <c r="D2473" s="5" t="s">
        <v>22</v>
      </c>
      <c r="E2473" s="5">
        <v>8.7547393E7</v>
      </c>
      <c r="F2473" s="5" t="s">
        <v>259</v>
      </c>
      <c r="G2473" s="5" t="s">
        <v>44</v>
      </c>
      <c r="H2473" s="5" t="s">
        <v>114</v>
      </c>
      <c r="I2473" s="6" t="s">
        <v>17</v>
      </c>
      <c r="J2473" s="7" t="s">
        <v>18</v>
      </c>
      <c r="K2473" s="7" t="s">
        <v>19</v>
      </c>
      <c r="L2473" s="8">
        <v>1.772203785779E12</v>
      </c>
      <c r="M2473" s="9"/>
      <c r="N2473" s="10"/>
      <c r="O2473" s="10"/>
      <c r="P2473" s="10"/>
      <c r="Q2473" s="10"/>
      <c r="R2473" s="10"/>
      <c r="S2473" s="10"/>
      <c r="T2473" s="10"/>
      <c r="U2473" s="10"/>
      <c r="V2473" s="10"/>
    </row>
    <row r="2474" ht="22.5" customHeight="1">
      <c r="A2474" s="5">
        <v>2.05855771211E11</v>
      </c>
      <c r="B2474" s="5" t="s">
        <v>2301</v>
      </c>
      <c r="C2474" s="5">
        <v>5584999021989</v>
      </c>
      <c r="D2474" s="5" t="s">
        <v>38</v>
      </c>
      <c r="E2474" s="5">
        <v>7.9360573E7</v>
      </c>
      <c r="F2474" s="5"/>
      <c r="G2474" s="5"/>
      <c r="H2474" s="5"/>
      <c r="I2474" s="6"/>
      <c r="J2474" s="7" t="s">
        <v>34</v>
      </c>
      <c r="K2474" s="7"/>
      <c r="L2474" s="8">
        <v>1.772204078465E12</v>
      </c>
      <c r="M2474" s="9"/>
      <c r="N2474" s="10"/>
      <c r="O2474" s="10"/>
      <c r="P2474" s="10"/>
      <c r="Q2474" s="10"/>
      <c r="R2474" s="10"/>
      <c r="S2474" s="10"/>
      <c r="T2474" s="10"/>
      <c r="U2474" s="10"/>
      <c r="V2474" s="10"/>
    </row>
    <row r="2475" ht="22.5" customHeight="1">
      <c r="A2475" s="5">
        <v>2.05864187716E11</v>
      </c>
      <c r="B2475" s="5" t="s">
        <v>2302</v>
      </c>
      <c r="C2475" s="5">
        <v>51943218985</v>
      </c>
      <c r="D2475" s="5" t="s">
        <v>38</v>
      </c>
      <c r="E2475" s="5">
        <v>8.0566583E7</v>
      </c>
      <c r="F2475" s="5"/>
      <c r="G2475" s="5"/>
      <c r="H2475" s="5"/>
      <c r="I2475" s="6"/>
      <c r="J2475" s="7" t="s">
        <v>18</v>
      </c>
      <c r="K2475" s="7" t="s">
        <v>19</v>
      </c>
      <c r="L2475" s="8">
        <v>1.772205495192E12</v>
      </c>
      <c r="M2475" s="9"/>
      <c r="N2475" s="10"/>
      <c r="O2475" s="10"/>
      <c r="P2475" s="10"/>
      <c r="Q2475" s="10"/>
      <c r="R2475" s="10"/>
      <c r="S2475" s="10"/>
      <c r="T2475" s="10"/>
      <c r="U2475" s="10"/>
      <c r="V2475" s="10"/>
    </row>
    <row r="2476" ht="22.5" customHeight="1">
      <c r="A2476" s="5">
        <v>2.0585927261E11</v>
      </c>
      <c r="B2476" s="5" t="s">
        <v>2303</v>
      </c>
      <c r="C2476" s="5">
        <v>51931838061</v>
      </c>
      <c r="D2476" s="5" t="s">
        <v>13</v>
      </c>
      <c r="E2476" s="5">
        <v>8.0566583E7</v>
      </c>
      <c r="F2476" s="5" t="s">
        <v>39</v>
      </c>
      <c r="G2476" s="5" t="s">
        <v>15</v>
      </c>
      <c r="H2476" s="5" t="s">
        <v>24</v>
      </c>
      <c r="I2476" s="6" t="s">
        <v>17</v>
      </c>
      <c r="J2476" s="7" t="s">
        <v>18</v>
      </c>
      <c r="K2476" s="7" t="s">
        <v>19</v>
      </c>
      <c r="L2476" s="8">
        <v>1.772206260823E12</v>
      </c>
      <c r="M2476" s="9"/>
      <c r="N2476" s="10"/>
      <c r="O2476" s="10"/>
      <c r="P2476" s="10"/>
      <c r="Q2476" s="10"/>
      <c r="R2476" s="10"/>
      <c r="S2476" s="10"/>
      <c r="T2476" s="10"/>
      <c r="U2476" s="10"/>
      <c r="V2476" s="10"/>
    </row>
    <row r="2477" ht="22.5" customHeight="1">
      <c r="A2477" s="5">
        <v>2.05860040745E11</v>
      </c>
      <c r="B2477" s="5" t="s">
        <v>2304</v>
      </c>
      <c r="C2477" s="5">
        <v>51977506417</v>
      </c>
      <c r="D2477" s="5" t="s">
        <v>13</v>
      </c>
      <c r="E2477" s="5">
        <v>8.7547393E7</v>
      </c>
      <c r="F2477" s="5" t="s">
        <v>28</v>
      </c>
      <c r="G2477" s="5" t="s">
        <v>32</v>
      </c>
      <c r="H2477" s="5" t="s">
        <v>16</v>
      </c>
      <c r="I2477" s="6"/>
      <c r="J2477" s="7" t="s">
        <v>58</v>
      </c>
      <c r="K2477" s="11" t="s">
        <v>59</v>
      </c>
      <c r="L2477" s="8">
        <v>1.772206624311E12</v>
      </c>
      <c r="M2477" s="9"/>
      <c r="N2477" s="10"/>
      <c r="O2477" s="10"/>
      <c r="P2477" s="10"/>
      <c r="Q2477" s="10"/>
      <c r="R2477" s="10"/>
      <c r="S2477" s="10"/>
      <c r="T2477" s="10"/>
      <c r="U2477" s="10"/>
      <c r="V2477" s="10"/>
    </row>
    <row r="2478" ht="22.5" customHeight="1">
      <c r="A2478" s="5">
        <v>2.05859318345E11</v>
      </c>
      <c r="B2478" s="5" t="s">
        <v>2305</v>
      </c>
      <c r="C2478" s="5">
        <v>51966882247</v>
      </c>
      <c r="D2478" s="5" t="s">
        <v>38</v>
      </c>
      <c r="E2478" s="5">
        <v>8.7547393E7</v>
      </c>
      <c r="F2478" s="5"/>
      <c r="G2478" s="5"/>
      <c r="H2478" s="5"/>
      <c r="I2478" s="6"/>
      <c r="J2478" s="7" t="s">
        <v>18</v>
      </c>
      <c r="K2478" s="7" t="s">
        <v>19</v>
      </c>
      <c r="L2478" s="8">
        <v>1.772206966846E12</v>
      </c>
      <c r="M2478" s="9"/>
      <c r="N2478" s="10"/>
      <c r="O2478" s="10"/>
      <c r="P2478" s="10"/>
      <c r="Q2478" s="10"/>
      <c r="R2478" s="10"/>
      <c r="S2478" s="10"/>
      <c r="T2478" s="10"/>
      <c r="U2478" s="10"/>
      <c r="V2478" s="10"/>
    </row>
    <row r="2479" ht="22.5" customHeight="1">
      <c r="A2479" s="5">
        <v>2.05836511645E11</v>
      </c>
      <c r="B2479" s="5" t="s">
        <v>2306</v>
      </c>
      <c r="C2479" s="5">
        <v>5517988153535</v>
      </c>
      <c r="D2479" s="5" t="s">
        <v>22</v>
      </c>
      <c r="E2479" s="5">
        <v>7.9360573E7</v>
      </c>
      <c r="F2479" s="5" t="s">
        <v>39</v>
      </c>
      <c r="G2479" s="5">
        <v>50</v>
      </c>
      <c r="H2479" s="5" t="s">
        <v>2262</v>
      </c>
      <c r="I2479" s="6" t="s">
        <v>17</v>
      </c>
      <c r="J2479" s="7" t="s">
        <v>34</v>
      </c>
      <c r="K2479" s="7"/>
      <c r="L2479" s="8">
        <v>1.772207383784E12</v>
      </c>
      <c r="M2479" s="9"/>
      <c r="N2479" s="10"/>
      <c r="O2479" s="10"/>
      <c r="P2479" s="10"/>
      <c r="Q2479" s="10"/>
      <c r="R2479" s="10"/>
      <c r="S2479" s="10"/>
      <c r="T2479" s="10"/>
      <c r="U2479" s="10"/>
      <c r="V2479" s="10"/>
    </row>
    <row r="2480" ht="22.5" customHeight="1">
      <c r="A2480" s="5">
        <v>1.87123943013E11</v>
      </c>
      <c r="B2480" s="5" t="s">
        <v>2307</v>
      </c>
      <c r="C2480" s="5">
        <v>51930141506</v>
      </c>
      <c r="D2480" s="5" t="s">
        <v>13</v>
      </c>
      <c r="E2480" s="5">
        <v>8.0566583E7</v>
      </c>
      <c r="F2480" s="5" t="s">
        <v>28</v>
      </c>
      <c r="G2480" s="5" t="s">
        <v>15</v>
      </c>
      <c r="H2480" s="5" t="s">
        <v>66</v>
      </c>
      <c r="I2480" s="6" t="s">
        <v>17</v>
      </c>
      <c r="J2480" s="7" t="s">
        <v>18</v>
      </c>
      <c r="K2480" s="7" t="s">
        <v>19</v>
      </c>
      <c r="L2480" s="8">
        <v>1.772209261358E12</v>
      </c>
      <c r="M2480" s="9"/>
      <c r="N2480" s="10"/>
      <c r="O2480" s="10"/>
      <c r="P2480" s="10"/>
      <c r="Q2480" s="10"/>
      <c r="R2480" s="10"/>
      <c r="S2480" s="10"/>
      <c r="T2480" s="10"/>
      <c r="U2480" s="10"/>
      <c r="V2480" s="10"/>
    </row>
    <row r="2481" ht="22.5" customHeight="1">
      <c r="A2481" s="5">
        <v>1.59585789509E11</v>
      </c>
      <c r="B2481" s="5" t="s">
        <v>2308</v>
      </c>
      <c r="C2481" s="5">
        <v>51937837961</v>
      </c>
      <c r="D2481" s="5" t="s">
        <v>22</v>
      </c>
      <c r="E2481" s="5">
        <v>8.0566583E7</v>
      </c>
      <c r="F2481" s="5" t="s">
        <v>65</v>
      </c>
      <c r="G2481" s="5" t="s">
        <v>79</v>
      </c>
      <c r="H2481" s="5" t="s">
        <v>24</v>
      </c>
      <c r="I2481" s="6" t="s">
        <v>49</v>
      </c>
      <c r="J2481" s="7" t="s">
        <v>34</v>
      </c>
      <c r="K2481" s="7"/>
      <c r="L2481" s="8">
        <v>1.772209266861E12</v>
      </c>
      <c r="M2481" s="9"/>
      <c r="N2481" s="10"/>
      <c r="O2481" s="10"/>
      <c r="P2481" s="10"/>
      <c r="Q2481" s="10"/>
      <c r="R2481" s="10"/>
      <c r="S2481" s="10"/>
      <c r="T2481" s="10"/>
      <c r="U2481" s="10"/>
      <c r="V2481" s="10"/>
    </row>
    <row r="2482" ht="22.5" customHeight="1">
      <c r="A2482" s="5">
        <v>2.05872887207E11</v>
      </c>
      <c r="B2482" s="5" t="s">
        <v>2309</v>
      </c>
      <c r="C2482" s="5">
        <v>5547984248079</v>
      </c>
      <c r="D2482" s="5" t="s">
        <v>13</v>
      </c>
      <c r="E2482" s="5">
        <v>7.9360573E7</v>
      </c>
      <c r="F2482" s="5" t="s">
        <v>259</v>
      </c>
      <c r="G2482" s="5" t="s">
        <v>32</v>
      </c>
      <c r="H2482" s="5" t="s">
        <v>53</v>
      </c>
      <c r="I2482" s="6" t="s">
        <v>17</v>
      </c>
      <c r="J2482" s="7" t="s">
        <v>124</v>
      </c>
      <c r="K2482" s="7" t="s">
        <v>1256</v>
      </c>
      <c r="L2482" s="8">
        <v>1.772209343616E12</v>
      </c>
      <c r="M2482" s="9"/>
      <c r="N2482" s="10"/>
      <c r="O2482" s="10"/>
      <c r="P2482" s="10"/>
      <c r="Q2482" s="10"/>
      <c r="R2482" s="10"/>
      <c r="S2482" s="10"/>
      <c r="T2482" s="10"/>
      <c r="U2482" s="10"/>
      <c r="V2482" s="10"/>
    </row>
    <row r="2483" ht="22.5" customHeight="1">
      <c r="A2483" s="5">
        <v>2.05873113158E11</v>
      </c>
      <c r="B2483" s="5" t="s">
        <v>2310</v>
      </c>
      <c r="C2483" s="5">
        <v>5511940219445</v>
      </c>
      <c r="D2483" s="5" t="s">
        <v>38</v>
      </c>
      <c r="E2483" s="5">
        <v>7.9360573E7</v>
      </c>
      <c r="F2483" s="5"/>
      <c r="G2483" s="5"/>
      <c r="H2483" s="5"/>
      <c r="I2483" s="6"/>
      <c r="J2483" s="7" t="s">
        <v>34</v>
      </c>
      <c r="K2483" s="7"/>
      <c r="L2483" s="8">
        <v>1.772210269271E12</v>
      </c>
      <c r="M2483" s="9"/>
      <c r="N2483" s="10"/>
      <c r="O2483" s="10"/>
      <c r="P2483" s="10"/>
      <c r="Q2483" s="10"/>
      <c r="R2483" s="10"/>
      <c r="S2483" s="10"/>
      <c r="T2483" s="10"/>
      <c r="U2483" s="10"/>
      <c r="V2483" s="10"/>
    </row>
    <row r="2484" ht="22.5" customHeight="1">
      <c r="A2484" s="5">
        <v>2.05829619587E11</v>
      </c>
      <c r="B2484" s="5" t="s">
        <v>2311</v>
      </c>
      <c r="C2484" s="5">
        <v>51989578266</v>
      </c>
      <c r="D2484" s="5" t="s">
        <v>13</v>
      </c>
      <c r="E2484" s="5">
        <v>8.0566583E7</v>
      </c>
      <c r="F2484" s="5" t="s">
        <v>39</v>
      </c>
      <c r="G2484" s="5" t="s">
        <v>15</v>
      </c>
      <c r="H2484" s="5" t="s">
        <v>51</v>
      </c>
      <c r="I2484" s="6" t="s">
        <v>17</v>
      </c>
      <c r="J2484" s="7" t="s">
        <v>18</v>
      </c>
      <c r="K2484" s="7" t="s">
        <v>19</v>
      </c>
      <c r="L2484" s="8">
        <v>1.772210549026E12</v>
      </c>
      <c r="M2484" s="9"/>
      <c r="N2484" s="10"/>
      <c r="O2484" s="10"/>
      <c r="P2484" s="10"/>
      <c r="Q2484" s="10"/>
      <c r="R2484" s="10"/>
      <c r="S2484" s="10"/>
      <c r="T2484" s="10"/>
      <c r="U2484" s="10"/>
      <c r="V2484" s="10"/>
    </row>
    <row r="2485" ht="22.5" customHeight="1">
      <c r="A2485" s="5">
        <v>2.05888775304E11</v>
      </c>
      <c r="B2485" s="5" t="s">
        <v>2312</v>
      </c>
      <c r="C2485" s="5">
        <v>51926963444</v>
      </c>
      <c r="D2485" s="5" t="s">
        <v>13</v>
      </c>
      <c r="E2485" s="5">
        <v>8.0566583E7</v>
      </c>
      <c r="F2485" s="5" t="s">
        <v>510</v>
      </c>
      <c r="G2485" s="5" t="s">
        <v>32</v>
      </c>
      <c r="H2485" s="5" t="s">
        <v>16</v>
      </c>
      <c r="I2485" s="6" t="s">
        <v>49</v>
      </c>
      <c r="J2485" s="7" t="s">
        <v>34</v>
      </c>
      <c r="K2485" s="7"/>
      <c r="L2485" s="8">
        <v>1.772214130725E12</v>
      </c>
      <c r="M2485" s="9"/>
      <c r="N2485" s="10"/>
      <c r="O2485" s="10"/>
      <c r="P2485" s="10"/>
      <c r="Q2485" s="10"/>
      <c r="R2485" s="10"/>
      <c r="S2485" s="10"/>
      <c r="T2485" s="10"/>
      <c r="U2485" s="10"/>
      <c r="V2485" s="10"/>
    </row>
    <row r="2486" ht="22.5" customHeight="1">
      <c r="A2486" s="5">
        <v>2.05878885219E11</v>
      </c>
      <c r="B2486" s="5" t="s">
        <v>2313</v>
      </c>
      <c r="C2486" s="5">
        <v>51926257895</v>
      </c>
      <c r="D2486" s="5" t="s">
        <v>13</v>
      </c>
      <c r="E2486" s="5">
        <v>8.7547393E7</v>
      </c>
      <c r="F2486" s="5" t="s">
        <v>14</v>
      </c>
      <c r="G2486" s="5" t="s">
        <v>15</v>
      </c>
      <c r="H2486" s="5" t="s">
        <v>188</v>
      </c>
      <c r="I2486" s="6" t="s">
        <v>17</v>
      </c>
      <c r="J2486" s="7" t="s">
        <v>34</v>
      </c>
      <c r="K2486" s="7"/>
      <c r="L2486" s="8">
        <v>1.772214863734E12</v>
      </c>
      <c r="M2486" s="9"/>
      <c r="N2486" s="10"/>
      <c r="O2486" s="10"/>
      <c r="P2486" s="10"/>
      <c r="Q2486" s="10"/>
      <c r="R2486" s="10"/>
      <c r="S2486" s="10"/>
      <c r="T2486" s="10"/>
      <c r="U2486" s="10"/>
      <c r="V2486" s="10"/>
    </row>
    <row r="2487" ht="22.5" customHeight="1">
      <c r="A2487" s="5">
        <v>2.05897092956E11</v>
      </c>
      <c r="B2487" s="5" t="s">
        <v>2314</v>
      </c>
      <c r="C2487" s="5">
        <v>51958953999</v>
      </c>
      <c r="D2487" s="5" t="s">
        <v>13</v>
      </c>
      <c r="E2487" s="5">
        <v>8.7547393E7</v>
      </c>
      <c r="F2487" s="5" t="s">
        <v>14</v>
      </c>
      <c r="G2487" s="5" t="s">
        <v>15</v>
      </c>
      <c r="H2487" s="5" t="s">
        <v>24</v>
      </c>
      <c r="I2487" s="6" t="s">
        <v>17</v>
      </c>
      <c r="J2487" s="7" t="s">
        <v>18</v>
      </c>
      <c r="K2487" s="7" t="s">
        <v>19</v>
      </c>
      <c r="L2487" s="8">
        <v>1.772218814409E12</v>
      </c>
      <c r="M2487" s="9"/>
      <c r="N2487" s="10"/>
      <c r="O2487" s="10"/>
      <c r="P2487" s="10"/>
      <c r="Q2487" s="10"/>
      <c r="R2487" s="10"/>
      <c r="S2487" s="10"/>
      <c r="T2487" s="10"/>
      <c r="U2487" s="10"/>
      <c r="V2487" s="10"/>
    </row>
    <row r="2488" ht="22.5" customHeight="1">
      <c r="A2488" s="5">
        <v>2.05899298194E11</v>
      </c>
      <c r="B2488" s="5" t="s">
        <v>2315</v>
      </c>
      <c r="C2488" s="5">
        <v>51917663236</v>
      </c>
      <c r="D2488" s="5" t="s">
        <v>13</v>
      </c>
      <c r="E2488" s="5">
        <v>8.0566583E7</v>
      </c>
      <c r="F2488" s="5" t="s">
        <v>259</v>
      </c>
      <c r="G2488" s="5" t="s">
        <v>15</v>
      </c>
      <c r="H2488" s="5" t="s">
        <v>24</v>
      </c>
      <c r="I2488" s="6" t="s">
        <v>17</v>
      </c>
      <c r="J2488" s="7" t="s">
        <v>34</v>
      </c>
      <c r="K2488" s="7"/>
      <c r="L2488" s="8">
        <v>1.772219192015E12</v>
      </c>
      <c r="M2488" s="9"/>
      <c r="N2488" s="10"/>
      <c r="O2488" s="10"/>
      <c r="P2488" s="10"/>
      <c r="Q2488" s="10"/>
      <c r="R2488" s="10"/>
      <c r="S2488" s="10"/>
      <c r="T2488" s="10"/>
      <c r="U2488" s="10"/>
      <c r="V2488" s="10"/>
    </row>
    <row r="2489" ht="22.5" customHeight="1">
      <c r="A2489" s="5">
        <v>2.05897730626E11</v>
      </c>
      <c r="B2489" s="5" t="s">
        <v>2316</v>
      </c>
      <c r="C2489" s="5">
        <v>51929210609</v>
      </c>
      <c r="D2489" s="5" t="s">
        <v>13</v>
      </c>
      <c r="E2489" s="5">
        <v>8.0566583E7</v>
      </c>
      <c r="F2489" s="5" t="s">
        <v>28</v>
      </c>
      <c r="G2489" s="5" t="s">
        <v>15</v>
      </c>
      <c r="H2489" s="5" t="s">
        <v>51</v>
      </c>
      <c r="I2489" s="6"/>
      <c r="J2489" s="7" t="s">
        <v>18</v>
      </c>
      <c r="K2489" s="7" t="s">
        <v>19</v>
      </c>
      <c r="L2489" s="8">
        <v>1.772219368938E12</v>
      </c>
      <c r="M2489" s="9"/>
      <c r="N2489" s="10"/>
      <c r="O2489" s="10"/>
      <c r="P2489" s="10"/>
      <c r="Q2489" s="10"/>
      <c r="R2489" s="10"/>
      <c r="S2489" s="10"/>
      <c r="T2489" s="10"/>
      <c r="U2489" s="10"/>
      <c r="V2489" s="10"/>
    </row>
    <row r="2490" ht="22.5" customHeight="1">
      <c r="A2490" s="5">
        <v>2.05899135043E11</v>
      </c>
      <c r="B2490" s="5" t="s">
        <v>2317</v>
      </c>
      <c r="C2490" s="5">
        <v>51913789318</v>
      </c>
      <c r="D2490" s="5" t="s">
        <v>13</v>
      </c>
      <c r="E2490" s="5">
        <v>8.7547393E7</v>
      </c>
      <c r="F2490" s="5" t="s">
        <v>39</v>
      </c>
      <c r="G2490" s="5" t="s">
        <v>15</v>
      </c>
      <c r="H2490" s="5" t="s">
        <v>51</v>
      </c>
      <c r="I2490" s="6" t="s">
        <v>17</v>
      </c>
      <c r="J2490" s="7" t="s">
        <v>124</v>
      </c>
      <c r="K2490" s="7" t="s">
        <v>125</v>
      </c>
      <c r="L2490" s="8">
        <v>1.772219415372E12</v>
      </c>
      <c r="M2490" s="9"/>
      <c r="N2490" s="10"/>
      <c r="O2490" s="10"/>
      <c r="P2490" s="10"/>
      <c r="Q2490" s="10"/>
      <c r="R2490" s="10"/>
      <c r="S2490" s="10"/>
      <c r="T2490" s="10"/>
      <c r="U2490" s="10"/>
      <c r="V2490" s="10"/>
    </row>
    <row r="2491" ht="22.5" customHeight="1">
      <c r="A2491" s="5">
        <v>2.05899152678E11</v>
      </c>
      <c r="B2491" s="5" t="s">
        <v>2318</v>
      </c>
      <c r="C2491" s="5">
        <v>51932236180</v>
      </c>
      <c r="D2491" s="5" t="s">
        <v>13</v>
      </c>
      <c r="E2491" s="5">
        <v>8.0566583E7</v>
      </c>
      <c r="F2491" s="5" t="s">
        <v>714</v>
      </c>
      <c r="G2491" s="5" t="s">
        <v>15</v>
      </c>
      <c r="H2491" s="5" t="s">
        <v>66</v>
      </c>
      <c r="I2491" s="6" t="s">
        <v>17</v>
      </c>
      <c r="J2491" s="7" t="s">
        <v>25</v>
      </c>
      <c r="K2491" s="7" t="s">
        <v>26</v>
      </c>
      <c r="L2491" s="8">
        <v>1.772219562287E12</v>
      </c>
      <c r="M2491" s="9"/>
      <c r="N2491" s="10"/>
      <c r="O2491" s="10"/>
      <c r="P2491" s="10"/>
      <c r="Q2491" s="10"/>
      <c r="R2491" s="10"/>
      <c r="S2491" s="10"/>
      <c r="T2491" s="10"/>
      <c r="U2491" s="10"/>
      <c r="V2491" s="10"/>
    </row>
    <row r="2492" ht="22.5" customHeight="1">
      <c r="A2492" s="5">
        <v>2.05448865451E11</v>
      </c>
      <c r="B2492" s="5" t="s">
        <v>2319</v>
      </c>
      <c r="C2492" s="5">
        <v>51910144480</v>
      </c>
      <c r="D2492" s="5" t="s">
        <v>13</v>
      </c>
      <c r="E2492" s="5">
        <v>8.0566583E7</v>
      </c>
      <c r="F2492" s="5" t="s">
        <v>39</v>
      </c>
      <c r="G2492" s="5" t="s">
        <v>15</v>
      </c>
      <c r="H2492" s="5" t="s">
        <v>24</v>
      </c>
      <c r="I2492" s="6" t="s">
        <v>17</v>
      </c>
      <c r="J2492" s="7" t="s">
        <v>18</v>
      </c>
      <c r="K2492" s="7" t="s">
        <v>19</v>
      </c>
      <c r="L2492" s="8">
        <v>1.772224240376E12</v>
      </c>
      <c r="M2492" s="9"/>
      <c r="N2492" s="10"/>
      <c r="O2492" s="10"/>
      <c r="P2492" s="10"/>
      <c r="Q2492" s="10"/>
      <c r="R2492" s="10"/>
      <c r="S2492" s="10"/>
      <c r="T2492" s="10"/>
      <c r="U2492" s="10"/>
      <c r="V2492" s="10"/>
    </row>
    <row r="2493" ht="22.5" customHeight="1">
      <c r="A2493" s="5">
        <v>2.05928922991E11</v>
      </c>
      <c r="B2493" s="5" t="s">
        <v>2320</v>
      </c>
      <c r="C2493" s="5">
        <v>51925295673</v>
      </c>
      <c r="D2493" s="5" t="s">
        <v>13</v>
      </c>
      <c r="E2493" s="5">
        <v>8.0566583E7</v>
      </c>
      <c r="F2493" s="5" t="s">
        <v>28</v>
      </c>
      <c r="G2493" s="5" t="s">
        <v>15</v>
      </c>
      <c r="H2493" s="5" t="s">
        <v>51</v>
      </c>
      <c r="I2493" s="6" t="s">
        <v>17</v>
      </c>
      <c r="J2493" s="7" t="s">
        <v>18</v>
      </c>
      <c r="K2493" s="7" t="s">
        <v>116</v>
      </c>
      <c r="L2493" s="8">
        <v>1.772224595888E12</v>
      </c>
      <c r="M2493" s="9"/>
      <c r="N2493" s="10"/>
      <c r="O2493" s="10"/>
      <c r="P2493" s="10"/>
      <c r="Q2493" s="10"/>
      <c r="R2493" s="10"/>
      <c r="S2493" s="10"/>
      <c r="T2493" s="10"/>
      <c r="U2493" s="10"/>
      <c r="V2493" s="10"/>
    </row>
    <row r="2494" ht="22.5" customHeight="1">
      <c r="A2494" s="5">
        <v>2.05917732886E11</v>
      </c>
      <c r="B2494" s="5" t="s">
        <v>2321</v>
      </c>
      <c r="C2494" s="5">
        <v>51926230990</v>
      </c>
      <c r="D2494" s="5" t="s">
        <v>13</v>
      </c>
      <c r="E2494" s="5">
        <v>8.0566583E7</v>
      </c>
      <c r="F2494" s="5" t="s">
        <v>42</v>
      </c>
      <c r="G2494" s="5"/>
      <c r="H2494" s="5"/>
      <c r="I2494" s="6"/>
      <c r="J2494" s="7" t="s">
        <v>25</v>
      </c>
      <c r="K2494" s="7" t="s">
        <v>501</v>
      </c>
      <c r="L2494" s="8">
        <v>1.772225849586E12</v>
      </c>
      <c r="M2494" s="9"/>
      <c r="N2494" s="10"/>
      <c r="O2494" s="10"/>
      <c r="P2494" s="10"/>
      <c r="Q2494" s="10"/>
      <c r="R2494" s="10"/>
      <c r="S2494" s="10"/>
      <c r="T2494" s="10"/>
      <c r="U2494" s="10"/>
      <c r="V2494" s="10"/>
    </row>
    <row r="2495" ht="22.5" customHeight="1">
      <c r="A2495" s="5">
        <v>2.05934801016E11</v>
      </c>
      <c r="B2495" s="5" t="s">
        <v>2322</v>
      </c>
      <c r="C2495" s="5">
        <v>51957818039</v>
      </c>
      <c r="D2495" s="5" t="s">
        <v>22</v>
      </c>
      <c r="E2495" s="5">
        <v>8.0566583E7</v>
      </c>
      <c r="F2495" s="5" t="s">
        <v>14</v>
      </c>
      <c r="G2495" s="5" t="s">
        <v>44</v>
      </c>
      <c r="H2495" s="5"/>
      <c r="I2495" s="6"/>
      <c r="J2495" s="7" t="s">
        <v>34</v>
      </c>
      <c r="K2495" s="7"/>
      <c r="L2495" s="8">
        <v>1.772227738764E12</v>
      </c>
      <c r="M2495" s="9"/>
      <c r="N2495" s="10"/>
      <c r="O2495" s="10"/>
      <c r="P2495" s="10"/>
      <c r="Q2495" s="10"/>
      <c r="R2495" s="10"/>
      <c r="S2495" s="10"/>
      <c r="T2495" s="10"/>
      <c r="U2495" s="10"/>
      <c r="V2495" s="10"/>
    </row>
    <row r="2496" ht="22.5" customHeight="1">
      <c r="A2496" s="5">
        <v>2.05925524908E11</v>
      </c>
      <c r="B2496" s="5" t="s">
        <v>2323</v>
      </c>
      <c r="C2496" s="5">
        <v>5516981673768</v>
      </c>
      <c r="D2496" s="5" t="s">
        <v>13</v>
      </c>
      <c r="E2496" s="5">
        <v>7.9360573E7</v>
      </c>
      <c r="F2496" s="5" t="s">
        <v>39</v>
      </c>
      <c r="G2496" s="5" t="s">
        <v>15</v>
      </c>
      <c r="H2496" s="5" t="s">
        <v>24</v>
      </c>
      <c r="I2496" s="6" t="s">
        <v>36</v>
      </c>
      <c r="J2496" s="7" t="s">
        <v>124</v>
      </c>
      <c r="K2496" s="7" t="s">
        <v>1256</v>
      </c>
      <c r="L2496" s="8">
        <v>1.772230204908E12</v>
      </c>
      <c r="M2496" s="9"/>
      <c r="N2496" s="10"/>
      <c r="O2496" s="10"/>
      <c r="P2496" s="10"/>
      <c r="Q2496" s="10"/>
      <c r="R2496" s="10"/>
      <c r="S2496" s="10"/>
      <c r="T2496" s="10"/>
      <c r="U2496" s="10"/>
      <c r="V2496" s="10"/>
    </row>
    <row r="2497" ht="22.5" customHeight="1">
      <c r="A2497" s="5">
        <v>2.05941610292E11</v>
      </c>
      <c r="B2497" s="5" t="s">
        <v>2324</v>
      </c>
      <c r="C2497" s="5">
        <v>5562995172512</v>
      </c>
      <c r="D2497" s="5" t="s">
        <v>22</v>
      </c>
      <c r="E2497" s="5">
        <v>7.9360573E7</v>
      </c>
      <c r="F2497" s="5" t="s">
        <v>28</v>
      </c>
      <c r="G2497" s="5" t="s">
        <v>44</v>
      </c>
      <c r="H2497" s="5" t="s">
        <v>16</v>
      </c>
      <c r="I2497" s="6" t="s">
        <v>17</v>
      </c>
      <c r="J2497" s="7" t="s">
        <v>34</v>
      </c>
      <c r="K2497" s="7"/>
      <c r="L2497" s="8">
        <v>1.772231089532E12</v>
      </c>
      <c r="M2497" s="9"/>
      <c r="N2497" s="10"/>
      <c r="O2497" s="10"/>
      <c r="P2497" s="10"/>
      <c r="Q2497" s="10"/>
      <c r="R2497" s="10"/>
      <c r="S2497" s="10"/>
      <c r="T2497" s="10"/>
      <c r="U2497" s="10"/>
      <c r="V2497" s="10"/>
    </row>
    <row r="2498" ht="22.5" customHeight="1">
      <c r="A2498" s="5">
        <v>2.05934871096E11</v>
      </c>
      <c r="B2498" s="5" t="s">
        <v>2325</v>
      </c>
      <c r="C2498" s="5">
        <v>51990938273</v>
      </c>
      <c r="D2498" s="5" t="s">
        <v>13</v>
      </c>
      <c r="E2498" s="5">
        <v>8.7547393E7</v>
      </c>
      <c r="F2498" s="5" t="s">
        <v>510</v>
      </c>
      <c r="G2498" s="5" t="s">
        <v>15</v>
      </c>
      <c r="H2498" s="5" t="s">
        <v>16</v>
      </c>
      <c r="I2498" s="6" t="s">
        <v>49</v>
      </c>
      <c r="J2498" s="7" t="s">
        <v>34</v>
      </c>
      <c r="K2498" s="7"/>
      <c r="L2498" s="8">
        <v>1.77223121798E12</v>
      </c>
      <c r="M2498" s="9"/>
      <c r="N2498" s="10"/>
      <c r="O2498" s="10"/>
      <c r="P2498" s="10"/>
      <c r="Q2498" s="10"/>
      <c r="R2498" s="10"/>
      <c r="S2498" s="10"/>
      <c r="T2498" s="10"/>
      <c r="U2498" s="10"/>
      <c r="V2498" s="10"/>
    </row>
    <row r="2499" ht="22.5" customHeight="1">
      <c r="A2499" s="5">
        <v>2.05941994646E11</v>
      </c>
      <c r="B2499" s="5" t="s">
        <v>2326</v>
      </c>
      <c r="C2499" s="5">
        <v>51957964547</v>
      </c>
      <c r="D2499" s="5" t="s">
        <v>13</v>
      </c>
      <c r="E2499" s="5">
        <v>8.0566583E7</v>
      </c>
      <c r="F2499" s="5" t="s">
        <v>14</v>
      </c>
      <c r="G2499" s="5" t="s">
        <v>32</v>
      </c>
      <c r="H2499" s="5" t="s">
        <v>114</v>
      </c>
      <c r="I2499" s="6" t="s">
        <v>17</v>
      </c>
      <c r="J2499" s="7" t="s">
        <v>18</v>
      </c>
      <c r="K2499" s="7" t="s">
        <v>19</v>
      </c>
      <c r="L2499" s="8">
        <v>1.772231971793E12</v>
      </c>
      <c r="M2499" s="9"/>
      <c r="N2499" s="10"/>
      <c r="O2499" s="10"/>
      <c r="P2499" s="10"/>
      <c r="Q2499" s="10"/>
      <c r="R2499" s="10"/>
      <c r="S2499" s="10"/>
      <c r="T2499" s="10"/>
      <c r="U2499" s="10"/>
      <c r="V2499" s="10"/>
    </row>
    <row r="2500" ht="22.5" customHeight="1">
      <c r="A2500" s="5">
        <v>2.05955754796E11</v>
      </c>
      <c r="B2500" s="5" t="s">
        <v>2327</v>
      </c>
      <c r="C2500" s="5">
        <v>5527999929996</v>
      </c>
      <c r="D2500" s="5" t="s">
        <v>22</v>
      </c>
      <c r="E2500" s="5">
        <v>7.9360573E7</v>
      </c>
      <c r="F2500" s="5" t="s">
        <v>93</v>
      </c>
      <c r="G2500" s="5" t="s">
        <v>32</v>
      </c>
      <c r="H2500" s="5" t="s">
        <v>55</v>
      </c>
      <c r="I2500" s="6" t="s">
        <v>17</v>
      </c>
      <c r="J2500" s="7" t="s">
        <v>34</v>
      </c>
      <c r="K2500" s="7"/>
      <c r="L2500" s="8">
        <v>1.77223230117E12</v>
      </c>
      <c r="M2500" s="9"/>
      <c r="N2500" s="10"/>
      <c r="O2500" s="10"/>
      <c r="P2500" s="10"/>
      <c r="Q2500" s="10"/>
      <c r="R2500" s="10"/>
      <c r="S2500" s="10"/>
      <c r="T2500" s="10"/>
      <c r="U2500" s="10"/>
      <c r="V2500" s="10"/>
    </row>
    <row r="2501" ht="22.5" customHeight="1">
      <c r="A2501" s="5">
        <v>2.05942620786E11</v>
      </c>
      <c r="B2501" s="5" t="s">
        <v>2328</v>
      </c>
      <c r="C2501" s="5">
        <v>5598985166353</v>
      </c>
      <c r="D2501" s="5" t="s">
        <v>103</v>
      </c>
      <c r="E2501" s="5">
        <v>7.9360573E7</v>
      </c>
      <c r="F2501" s="5" t="s">
        <v>39</v>
      </c>
      <c r="G2501" s="5" t="s">
        <v>79</v>
      </c>
      <c r="H2501" s="5" t="s">
        <v>66</v>
      </c>
      <c r="I2501" s="6" t="s">
        <v>17</v>
      </c>
      <c r="J2501" s="7" t="s">
        <v>34</v>
      </c>
      <c r="K2501" s="7"/>
      <c r="L2501" s="8">
        <v>1.772232687718E12</v>
      </c>
      <c r="M2501" s="9"/>
      <c r="N2501" s="10"/>
      <c r="O2501" s="10"/>
      <c r="P2501" s="10"/>
      <c r="Q2501" s="10"/>
      <c r="R2501" s="10"/>
      <c r="S2501" s="10"/>
      <c r="T2501" s="10"/>
      <c r="U2501" s="10"/>
      <c r="V2501" s="10"/>
    </row>
    <row r="2502" ht="22.5" customHeight="1">
      <c r="A2502" s="5">
        <v>2.05943966563E11</v>
      </c>
      <c r="B2502" s="5" t="s">
        <v>2329</v>
      </c>
      <c r="C2502" s="5">
        <v>51921838445</v>
      </c>
      <c r="D2502" s="5" t="s">
        <v>38</v>
      </c>
      <c r="E2502" s="5">
        <v>8.7547393E7</v>
      </c>
      <c r="F2502" s="5"/>
      <c r="G2502" s="5"/>
      <c r="H2502" s="5"/>
      <c r="I2502" s="6"/>
      <c r="J2502" s="7" t="s">
        <v>18</v>
      </c>
      <c r="K2502" s="7" t="s">
        <v>19</v>
      </c>
      <c r="L2502" s="8">
        <v>1.772233813289E12</v>
      </c>
      <c r="M2502" s="9"/>
      <c r="N2502" s="10"/>
      <c r="O2502" s="10"/>
      <c r="P2502" s="10"/>
      <c r="Q2502" s="10"/>
      <c r="R2502" s="10"/>
      <c r="S2502" s="10"/>
      <c r="T2502" s="10"/>
      <c r="U2502" s="10"/>
      <c r="V2502" s="10"/>
    </row>
    <row r="2503" ht="22.5" customHeight="1">
      <c r="A2503" s="5">
        <v>2.05941952534E11</v>
      </c>
      <c r="B2503" s="5" t="s">
        <v>2330</v>
      </c>
      <c r="C2503" s="5">
        <v>51977548514</v>
      </c>
      <c r="D2503" s="5" t="s">
        <v>13</v>
      </c>
      <c r="E2503" s="5">
        <v>8.7547393E7</v>
      </c>
      <c r="F2503" s="5" t="s">
        <v>39</v>
      </c>
      <c r="G2503" s="5" t="s">
        <v>15</v>
      </c>
      <c r="H2503" s="5" t="s">
        <v>24</v>
      </c>
      <c r="I2503" s="6" t="s">
        <v>17</v>
      </c>
      <c r="J2503" s="7" t="s">
        <v>18</v>
      </c>
      <c r="K2503" s="7" t="s">
        <v>19</v>
      </c>
      <c r="L2503" s="8">
        <v>1.772233923834E12</v>
      </c>
      <c r="M2503" s="9"/>
      <c r="N2503" s="10"/>
      <c r="O2503" s="10"/>
      <c r="P2503" s="10"/>
      <c r="Q2503" s="10"/>
      <c r="R2503" s="10"/>
      <c r="S2503" s="10"/>
      <c r="T2503" s="10"/>
      <c r="U2503" s="10"/>
      <c r="V2503" s="10"/>
    </row>
    <row r="2504" ht="22.5" customHeight="1">
      <c r="A2504" s="5">
        <v>2.05948383393E11</v>
      </c>
      <c r="B2504" s="5" t="s">
        <v>2331</v>
      </c>
      <c r="C2504" s="5">
        <v>51904414589</v>
      </c>
      <c r="D2504" s="5" t="s">
        <v>22</v>
      </c>
      <c r="E2504" s="5">
        <v>8.7547393E7</v>
      </c>
      <c r="F2504" s="5" t="s">
        <v>28</v>
      </c>
      <c r="G2504" s="5" t="s">
        <v>44</v>
      </c>
      <c r="H2504" s="5" t="s">
        <v>29</v>
      </c>
      <c r="I2504" s="6"/>
      <c r="J2504" s="7" t="s">
        <v>18</v>
      </c>
      <c r="K2504" s="7" t="s">
        <v>19</v>
      </c>
      <c r="L2504" s="8">
        <v>1.772238423002E12</v>
      </c>
      <c r="M2504" s="9"/>
      <c r="N2504" s="10"/>
      <c r="O2504" s="10"/>
      <c r="P2504" s="10"/>
      <c r="Q2504" s="10"/>
      <c r="R2504" s="10"/>
      <c r="S2504" s="10"/>
      <c r="T2504" s="10"/>
      <c r="U2504" s="10"/>
      <c r="V2504" s="10"/>
    </row>
    <row r="2505" ht="22.5" customHeight="1">
      <c r="A2505" s="5">
        <v>2.05951020944E11</v>
      </c>
      <c r="B2505" s="5" t="s">
        <v>2332</v>
      </c>
      <c r="C2505" s="5">
        <v>51992623355</v>
      </c>
      <c r="D2505" s="5" t="s">
        <v>13</v>
      </c>
      <c r="E2505" s="5">
        <v>8.0566583E7</v>
      </c>
      <c r="F2505" s="5" t="s">
        <v>510</v>
      </c>
      <c r="G2505" s="5" t="s">
        <v>15</v>
      </c>
      <c r="H2505" s="5" t="s">
        <v>51</v>
      </c>
      <c r="I2505" s="6" t="s">
        <v>17</v>
      </c>
      <c r="J2505" s="7" t="s">
        <v>18</v>
      </c>
      <c r="K2505" s="7" t="s">
        <v>19</v>
      </c>
      <c r="L2505" s="8">
        <v>1.77223971099E12</v>
      </c>
      <c r="M2505" s="9"/>
      <c r="N2505" s="10"/>
      <c r="O2505" s="10"/>
      <c r="P2505" s="10"/>
      <c r="Q2505" s="10"/>
      <c r="R2505" s="10"/>
      <c r="S2505" s="10"/>
      <c r="T2505" s="10"/>
      <c r="U2505" s="10"/>
      <c r="V2505" s="10"/>
    </row>
    <row r="2506" ht="22.5" customHeight="1">
      <c r="A2506" s="5">
        <v>2.05957304846E11</v>
      </c>
      <c r="B2506" s="5" t="s">
        <v>2333</v>
      </c>
      <c r="C2506" s="5">
        <v>51980752951</v>
      </c>
      <c r="D2506" s="5" t="s">
        <v>13</v>
      </c>
      <c r="E2506" s="5">
        <v>8.0566583E7</v>
      </c>
      <c r="F2506" s="5" t="s">
        <v>39</v>
      </c>
      <c r="G2506" s="5" t="s">
        <v>15</v>
      </c>
      <c r="H2506" s="5" t="s">
        <v>24</v>
      </c>
      <c r="I2506" s="6" t="s">
        <v>17</v>
      </c>
      <c r="J2506" s="7" t="s">
        <v>25</v>
      </c>
      <c r="K2506" s="7" t="s">
        <v>501</v>
      </c>
      <c r="L2506" s="8">
        <v>1.77223971662E12</v>
      </c>
      <c r="M2506" s="9"/>
      <c r="N2506" s="10"/>
      <c r="O2506" s="10"/>
      <c r="P2506" s="10"/>
      <c r="Q2506" s="10"/>
      <c r="R2506" s="10"/>
      <c r="S2506" s="10"/>
      <c r="T2506" s="10"/>
      <c r="U2506" s="10"/>
      <c r="V2506" s="10"/>
    </row>
    <row r="2507" ht="22.5" customHeight="1">
      <c r="A2507" s="5">
        <v>2.05962120272E11</v>
      </c>
      <c r="B2507" s="5" t="s">
        <v>2334</v>
      </c>
      <c r="C2507" s="5">
        <v>51956466794</v>
      </c>
      <c r="D2507" s="5" t="s">
        <v>13</v>
      </c>
      <c r="E2507" s="5">
        <v>8.0566583E7</v>
      </c>
      <c r="F2507" s="5" t="s">
        <v>259</v>
      </c>
      <c r="G2507" s="5" t="s">
        <v>15</v>
      </c>
      <c r="H2507" s="5" t="s">
        <v>51</v>
      </c>
      <c r="I2507" s="6" t="s">
        <v>17</v>
      </c>
      <c r="J2507" s="7" t="s">
        <v>34</v>
      </c>
      <c r="K2507" s="7"/>
      <c r="L2507" s="8">
        <v>1.77223991763E12</v>
      </c>
      <c r="M2507" s="9"/>
      <c r="N2507" s="10"/>
      <c r="O2507" s="10"/>
      <c r="P2507" s="10"/>
      <c r="Q2507" s="10"/>
      <c r="R2507" s="10"/>
      <c r="S2507" s="10"/>
      <c r="T2507" s="10"/>
      <c r="U2507" s="10"/>
      <c r="V2507" s="10"/>
    </row>
    <row r="2508" ht="22.5" customHeight="1">
      <c r="A2508" s="5">
        <v>2.05962120272E11</v>
      </c>
      <c r="B2508" s="5" t="s">
        <v>2334</v>
      </c>
      <c r="C2508" s="5">
        <v>51956466794</v>
      </c>
      <c r="D2508" s="5" t="s">
        <v>13</v>
      </c>
      <c r="E2508" s="5">
        <v>8.0566583E7</v>
      </c>
      <c r="F2508" s="5" t="s">
        <v>259</v>
      </c>
      <c r="G2508" s="5" t="s">
        <v>15</v>
      </c>
      <c r="H2508" s="5" t="s">
        <v>51</v>
      </c>
      <c r="I2508" s="6" t="s">
        <v>17</v>
      </c>
      <c r="J2508" s="7" t="s">
        <v>34</v>
      </c>
      <c r="K2508" s="7"/>
      <c r="L2508" s="8">
        <v>1.7722399457E12</v>
      </c>
      <c r="M2508" s="9"/>
      <c r="N2508" s="10"/>
      <c r="O2508" s="10"/>
      <c r="P2508" s="10"/>
      <c r="Q2508" s="10"/>
      <c r="R2508" s="10"/>
      <c r="S2508" s="10"/>
      <c r="T2508" s="10"/>
      <c r="U2508" s="10"/>
      <c r="V2508" s="10"/>
    </row>
    <row r="2509" ht="22.5" customHeight="1">
      <c r="A2509" s="5">
        <v>2.05950746631E11</v>
      </c>
      <c r="B2509" s="5" t="s">
        <v>2335</v>
      </c>
      <c r="C2509" s="5">
        <v>5521968028775</v>
      </c>
      <c r="D2509" s="5" t="s">
        <v>103</v>
      </c>
      <c r="E2509" s="5">
        <v>7.9360573E7</v>
      </c>
      <c r="F2509" s="5" t="s">
        <v>259</v>
      </c>
      <c r="G2509" s="5" t="s">
        <v>104</v>
      </c>
      <c r="H2509" s="5" t="s">
        <v>33</v>
      </c>
      <c r="I2509" s="6" t="s">
        <v>17</v>
      </c>
      <c r="J2509" s="7" t="s">
        <v>34</v>
      </c>
      <c r="K2509" s="7"/>
      <c r="L2509" s="8">
        <v>1.772241718183E12</v>
      </c>
      <c r="M2509" s="9"/>
      <c r="N2509" s="10"/>
      <c r="O2509" s="10"/>
      <c r="P2509" s="10"/>
      <c r="Q2509" s="10"/>
      <c r="R2509" s="10"/>
      <c r="S2509" s="10"/>
      <c r="T2509" s="10"/>
      <c r="U2509" s="10"/>
      <c r="V2509" s="10"/>
    </row>
    <row r="2510" ht="22.5" customHeight="1">
      <c r="A2510" s="5">
        <v>2.05487075691E11</v>
      </c>
      <c r="B2510" s="5" t="s">
        <v>2189</v>
      </c>
      <c r="C2510" s="5">
        <v>51991322421</v>
      </c>
      <c r="D2510" s="5" t="s">
        <v>13</v>
      </c>
      <c r="E2510" s="5">
        <v>8.0566583E7</v>
      </c>
      <c r="F2510" s="5" t="s">
        <v>93</v>
      </c>
      <c r="G2510" s="5" t="s">
        <v>15</v>
      </c>
      <c r="H2510" s="5" t="s">
        <v>66</v>
      </c>
      <c r="I2510" s="6" t="s">
        <v>17</v>
      </c>
      <c r="J2510" s="7" t="s">
        <v>34</v>
      </c>
      <c r="K2510" s="7"/>
      <c r="L2510" s="8">
        <v>1.772241718986E12</v>
      </c>
      <c r="M2510" s="9"/>
      <c r="N2510" s="10"/>
      <c r="O2510" s="10"/>
      <c r="P2510" s="10"/>
      <c r="Q2510" s="10"/>
      <c r="R2510" s="10"/>
      <c r="S2510" s="10"/>
      <c r="T2510" s="10"/>
      <c r="U2510" s="10"/>
      <c r="V2510" s="10"/>
    </row>
    <row r="2511" ht="22.5" customHeight="1">
      <c r="A2511" s="5">
        <v>2.04917950516E11</v>
      </c>
      <c r="B2511" s="5" t="s">
        <v>2008</v>
      </c>
      <c r="C2511" s="5">
        <v>573183904119</v>
      </c>
      <c r="D2511" s="5" t="s">
        <v>13</v>
      </c>
      <c r="E2511" s="5">
        <v>8.7547393E7</v>
      </c>
      <c r="F2511" s="5" t="s">
        <v>259</v>
      </c>
      <c r="G2511" s="5" t="s">
        <v>15</v>
      </c>
      <c r="H2511" s="5" t="s">
        <v>114</v>
      </c>
      <c r="I2511" s="6" t="s">
        <v>89</v>
      </c>
      <c r="J2511" s="7" t="s">
        <v>34</v>
      </c>
      <c r="K2511" s="7"/>
      <c r="L2511" s="8">
        <v>1.772241949138E12</v>
      </c>
      <c r="M2511" s="9"/>
      <c r="N2511" s="10"/>
      <c r="O2511" s="10"/>
      <c r="P2511" s="10"/>
      <c r="Q2511" s="10"/>
      <c r="R2511" s="10"/>
      <c r="S2511" s="10"/>
      <c r="T2511" s="10"/>
      <c r="U2511" s="10"/>
      <c r="V2511" s="10"/>
    </row>
    <row r="2512" ht="22.5" customHeight="1">
      <c r="A2512" s="5">
        <v>2.05966016287E11</v>
      </c>
      <c r="B2512" s="5" t="s">
        <v>2336</v>
      </c>
      <c r="C2512" s="5">
        <v>5598991446049</v>
      </c>
      <c r="D2512" s="5" t="s">
        <v>22</v>
      </c>
      <c r="E2512" s="5">
        <v>7.9360573E7</v>
      </c>
      <c r="F2512" s="5" t="s">
        <v>39</v>
      </c>
      <c r="G2512" s="5" t="s">
        <v>44</v>
      </c>
      <c r="H2512" s="5" t="s">
        <v>1579</v>
      </c>
      <c r="I2512" s="6" t="s">
        <v>63</v>
      </c>
      <c r="J2512" s="7" t="s">
        <v>34</v>
      </c>
      <c r="K2512" s="7"/>
      <c r="L2512" s="8">
        <v>1.772242564252E12</v>
      </c>
      <c r="M2512" s="9"/>
      <c r="N2512" s="10"/>
      <c r="O2512" s="10"/>
      <c r="P2512" s="10"/>
      <c r="Q2512" s="10"/>
      <c r="R2512" s="10"/>
      <c r="S2512" s="10"/>
      <c r="T2512" s="10"/>
      <c r="U2512" s="10"/>
      <c r="V2512" s="10"/>
    </row>
    <row r="2513" ht="22.5" customHeight="1">
      <c r="A2513" s="5">
        <v>2.04620745055E11</v>
      </c>
      <c r="B2513" s="5" t="s">
        <v>1910</v>
      </c>
      <c r="C2513" s="5">
        <v>51946967112</v>
      </c>
      <c r="D2513" s="5" t="s">
        <v>13</v>
      </c>
      <c r="E2513" s="5">
        <v>8.7547393E7</v>
      </c>
      <c r="F2513" s="5" t="s">
        <v>39</v>
      </c>
      <c r="G2513" s="5" t="s">
        <v>15</v>
      </c>
      <c r="H2513" s="5" t="s">
        <v>24</v>
      </c>
      <c r="I2513" s="6" t="s">
        <v>36</v>
      </c>
      <c r="J2513" s="7" t="s">
        <v>34</v>
      </c>
      <c r="K2513" s="7"/>
      <c r="L2513" s="8">
        <v>1.772242590905E12</v>
      </c>
      <c r="M2513" s="9"/>
      <c r="N2513" s="10"/>
      <c r="O2513" s="10"/>
      <c r="P2513" s="10"/>
      <c r="Q2513" s="10"/>
      <c r="R2513" s="10"/>
      <c r="S2513" s="10"/>
      <c r="T2513" s="10"/>
      <c r="U2513" s="10"/>
      <c r="V2513" s="10"/>
    </row>
    <row r="2514" ht="22.5" customHeight="1">
      <c r="A2514" s="5">
        <v>2.05962130538E11</v>
      </c>
      <c r="B2514" s="5" t="s">
        <v>2337</v>
      </c>
      <c r="C2514" s="5">
        <v>5583987023330</v>
      </c>
      <c r="D2514" s="5" t="s">
        <v>103</v>
      </c>
      <c r="E2514" s="5">
        <v>7.9360573E7</v>
      </c>
      <c r="F2514" s="5" t="s">
        <v>39</v>
      </c>
      <c r="G2514" s="5" t="s">
        <v>79</v>
      </c>
      <c r="H2514" s="5" t="s">
        <v>16</v>
      </c>
      <c r="I2514" s="6" t="s">
        <v>17</v>
      </c>
      <c r="J2514" s="7" t="s">
        <v>34</v>
      </c>
      <c r="K2514" s="7"/>
      <c r="L2514" s="8">
        <v>1.772243154184E12</v>
      </c>
      <c r="M2514" s="9"/>
      <c r="N2514" s="10"/>
      <c r="O2514" s="10"/>
      <c r="P2514" s="10"/>
      <c r="Q2514" s="10"/>
      <c r="R2514" s="10"/>
      <c r="S2514" s="10"/>
      <c r="T2514" s="10"/>
      <c r="U2514" s="10"/>
      <c r="V2514" s="10"/>
    </row>
    <row r="2515" ht="22.5" customHeight="1">
      <c r="A2515" s="5">
        <v>2.05954498385E11</v>
      </c>
      <c r="B2515" s="5" t="s">
        <v>2338</v>
      </c>
      <c r="C2515" s="5">
        <v>51923284714</v>
      </c>
      <c r="D2515" s="5" t="s">
        <v>38</v>
      </c>
      <c r="E2515" s="5">
        <v>8.0566583E7</v>
      </c>
      <c r="F2515" s="5" t="s">
        <v>714</v>
      </c>
      <c r="G2515" s="5" t="s">
        <v>32</v>
      </c>
      <c r="H2515" s="5" t="s">
        <v>16</v>
      </c>
      <c r="I2515" s="6" t="s">
        <v>17</v>
      </c>
      <c r="J2515" s="7" t="s">
        <v>18</v>
      </c>
      <c r="K2515" s="7" t="s">
        <v>19</v>
      </c>
      <c r="L2515" s="8">
        <v>1.772243483576E12</v>
      </c>
      <c r="M2515" s="9"/>
      <c r="N2515" s="10"/>
      <c r="O2515" s="10"/>
      <c r="P2515" s="10"/>
      <c r="Q2515" s="10"/>
      <c r="R2515" s="10"/>
      <c r="S2515" s="10"/>
      <c r="T2515" s="10"/>
      <c r="U2515" s="10"/>
      <c r="V2515" s="10"/>
    </row>
    <row r="2516" ht="22.5" customHeight="1">
      <c r="A2516" s="5">
        <v>2.05909208674E11</v>
      </c>
      <c r="B2516" s="5" t="s">
        <v>2339</v>
      </c>
      <c r="C2516" s="5">
        <v>51947247308</v>
      </c>
      <c r="D2516" s="5" t="s">
        <v>13</v>
      </c>
      <c r="E2516" s="5">
        <v>8.7547393E7</v>
      </c>
      <c r="F2516" s="5" t="s">
        <v>28</v>
      </c>
      <c r="G2516" s="5" t="s">
        <v>15</v>
      </c>
      <c r="H2516" s="5" t="s">
        <v>114</v>
      </c>
      <c r="I2516" s="6" t="s">
        <v>17</v>
      </c>
      <c r="J2516" s="7" t="s">
        <v>18</v>
      </c>
      <c r="K2516" s="7" t="s">
        <v>19</v>
      </c>
      <c r="L2516" s="8">
        <v>1.772243962151E12</v>
      </c>
      <c r="M2516" s="9"/>
      <c r="N2516" s="10"/>
      <c r="O2516" s="10"/>
      <c r="P2516" s="10"/>
      <c r="Q2516" s="10"/>
      <c r="R2516" s="10"/>
      <c r="S2516" s="10"/>
      <c r="T2516" s="10"/>
      <c r="U2516" s="10"/>
      <c r="V2516" s="10"/>
    </row>
    <row r="2517" ht="22.5" customHeight="1">
      <c r="A2517" s="5">
        <v>2.04633867902E11</v>
      </c>
      <c r="B2517" s="5" t="s">
        <v>1928</v>
      </c>
      <c r="C2517" s="5">
        <v>51968630238</v>
      </c>
      <c r="D2517" s="5" t="s">
        <v>13</v>
      </c>
      <c r="E2517" s="5">
        <v>8.7547393E7</v>
      </c>
      <c r="F2517" s="5"/>
      <c r="G2517" s="5" t="s">
        <v>15</v>
      </c>
      <c r="H2517" s="5" t="s">
        <v>66</v>
      </c>
      <c r="I2517" s="6" t="s">
        <v>17</v>
      </c>
      <c r="J2517" s="7" t="s">
        <v>18</v>
      </c>
      <c r="K2517" s="7" t="s">
        <v>19</v>
      </c>
      <c r="L2517" s="8">
        <v>1.772245671963E12</v>
      </c>
      <c r="M2517" s="9"/>
      <c r="N2517" s="10"/>
      <c r="O2517" s="10"/>
      <c r="P2517" s="10"/>
      <c r="Q2517" s="10"/>
      <c r="R2517" s="10"/>
      <c r="S2517" s="10"/>
      <c r="T2517" s="10"/>
      <c r="U2517" s="10"/>
      <c r="V2517" s="10"/>
    </row>
    <row r="2518" ht="22.5" customHeight="1">
      <c r="A2518" s="5">
        <v>2.05954444331E11</v>
      </c>
      <c r="B2518" s="5" t="s">
        <v>2340</v>
      </c>
      <c r="C2518" s="5">
        <v>51920757909</v>
      </c>
      <c r="D2518" s="5" t="s">
        <v>13</v>
      </c>
      <c r="E2518" s="5">
        <v>8.7547393E7</v>
      </c>
      <c r="F2518" s="5" t="s">
        <v>65</v>
      </c>
      <c r="G2518" s="5" t="s">
        <v>15</v>
      </c>
      <c r="H2518" s="5" t="s">
        <v>24</v>
      </c>
      <c r="I2518" s="6" t="s">
        <v>17</v>
      </c>
      <c r="J2518" s="7" t="s">
        <v>34</v>
      </c>
      <c r="K2518" s="7"/>
      <c r="L2518" s="8">
        <v>1.772246386051E12</v>
      </c>
      <c r="M2518" s="9"/>
      <c r="N2518" s="10"/>
      <c r="O2518" s="10"/>
      <c r="P2518" s="10"/>
      <c r="Q2518" s="10"/>
      <c r="R2518" s="10"/>
      <c r="S2518" s="10"/>
      <c r="T2518" s="10"/>
      <c r="U2518" s="10"/>
      <c r="V2518" s="10"/>
    </row>
    <row r="2519" ht="22.5" customHeight="1">
      <c r="A2519" s="5">
        <v>2.05972211603E11</v>
      </c>
      <c r="B2519" s="5" t="s">
        <v>2341</v>
      </c>
      <c r="C2519" s="5">
        <v>51960233788</v>
      </c>
      <c r="D2519" s="5" t="s">
        <v>13</v>
      </c>
      <c r="E2519" s="5">
        <v>8.0566583E7</v>
      </c>
      <c r="F2519" s="5" t="s">
        <v>510</v>
      </c>
      <c r="G2519" s="5" t="s">
        <v>15</v>
      </c>
      <c r="H2519" s="5" t="s">
        <v>51</v>
      </c>
      <c r="I2519" s="6" t="s">
        <v>17</v>
      </c>
      <c r="J2519" s="7" t="s">
        <v>18</v>
      </c>
      <c r="K2519" s="7" t="s">
        <v>19</v>
      </c>
      <c r="L2519" s="8">
        <v>1.772246717496E12</v>
      </c>
      <c r="M2519" s="9"/>
      <c r="N2519" s="10"/>
      <c r="O2519" s="10"/>
      <c r="P2519" s="10"/>
      <c r="Q2519" s="10"/>
      <c r="R2519" s="10"/>
      <c r="S2519" s="10"/>
      <c r="T2519" s="10"/>
      <c r="U2519" s="10"/>
      <c r="V2519" s="10"/>
    </row>
    <row r="2520" ht="22.5" customHeight="1">
      <c r="A2520" s="5">
        <v>2.05954995249E11</v>
      </c>
      <c r="B2520" s="5" t="s">
        <v>2342</v>
      </c>
      <c r="C2520" s="5">
        <v>51904581568</v>
      </c>
      <c r="D2520" s="5" t="s">
        <v>13</v>
      </c>
      <c r="E2520" s="5">
        <v>8.7547393E7</v>
      </c>
      <c r="F2520" s="5" t="s">
        <v>42</v>
      </c>
      <c r="G2520" s="5" t="s">
        <v>15</v>
      </c>
      <c r="H2520" s="5" t="s">
        <v>66</v>
      </c>
      <c r="I2520" s="6" t="s">
        <v>17</v>
      </c>
      <c r="J2520" s="7" t="s">
        <v>18</v>
      </c>
      <c r="K2520" s="7" t="s">
        <v>19</v>
      </c>
      <c r="L2520" s="8">
        <v>1.772247494222E12</v>
      </c>
      <c r="M2520" s="9"/>
      <c r="N2520" s="10"/>
      <c r="O2520" s="10"/>
      <c r="P2520" s="10"/>
      <c r="Q2520" s="10"/>
      <c r="R2520" s="10"/>
      <c r="S2520" s="10"/>
      <c r="T2520" s="10"/>
      <c r="U2520" s="10"/>
      <c r="V2520" s="10"/>
    </row>
    <row r="2521" ht="22.5" customHeight="1">
      <c r="A2521" s="5">
        <v>2.05973168397E11</v>
      </c>
      <c r="B2521" s="5" t="s">
        <v>2343</v>
      </c>
      <c r="C2521" s="5">
        <v>51904734027</v>
      </c>
      <c r="D2521" s="5" t="s">
        <v>13</v>
      </c>
      <c r="E2521" s="5">
        <v>8.7547393E7</v>
      </c>
      <c r="F2521" s="5" t="s">
        <v>93</v>
      </c>
      <c r="G2521" s="5" t="s">
        <v>15</v>
      </c>
      <c r="H2521" s="5" t="s">
        <v>16</v>
      </c>
      <c r="I2521" s="6" t="s">
        <v>63</v>
      </c>
      <c r="J2521" s="7" t="s">
        <v>18</v>
      </c>
      <c r="K2521" s="7" t="s">
        <v>19</v>
      </c>
      <c r="L2521" s="8">
        <v>1.772249742395E12</v>
      </c>
      <c r="M2521" s="9"/>
      <c r="N2521" s="10"/>
      <c r="O2521" s="10"/>
      <c r="P2521" s="10"/>
      <c r="Q2521" s="10"/>
      <c r="R2521" s="10"/>
      <c r="S2521" s="10"/>
      <c r="T2521" s="10"/>
      <c r="U2521" s="10"/>
      <c r="V2521" s="10"/>
    </row>
    <row r="2522" ht="22.5" customHeight="1">
      <c r="A2522" s="5">
        <v>2.05975460156E11</v>
      </c>
      <c r="B2522" s="5" t="s">
        <v>2344</v>
      </c>
      <c r="C2522" s="5">
        <v>51992091194</v>
      </c>
      <c r="D2522" s="5" t="s">
        <v>22</v>
      </c>
      <c r="E2522" s="5">
        <v>8.0566583E7</v>
      </c>
      <c r="F2522" s="5" t="s">
        <v>14</v>
      </c>
      <c r="G2522" s="5" t="s">
        <v>44</v>
      </c>
      <c r="H2522" s="5" t="s">
        <v>24</v>
      </c>
      <c r="I2522" s="6" t="s">
        <v>17</v>
      </c>
      <c r="J2522" s="7" t="s">
        <v>18</v>
      </c>
      <c r="K2522" s="7" t="s">
        <v>19</v>
      </c>
      <c r="L2522" s="8">
        <v>1.772251688521E12</v>
      </c>
      <c r="M2522" s="9"/>
      <c r="N2522" s="10"/>
      <c r="O2522" s="10"/>
      <c r="P2522" s="10"/>
      <c r="Q2522" s="10"/>
      <c r="R2522" s="10"/>
      <c r="S2522" s="10"/>
      <c r="T2522" s="10"/>
      <c r="U2522" s="10"/>
      <c r="V2522" s="10"/>
    </row>
    <row r="2523" ht="22.5" customHeight="1">
      <c r="A2523" s="5">
        <v>2.05976489369E11</v>
      </c>
      <c r="B2523" s="5" t="s">
        <v>2345</v>
      </c>
      <c r="C2523" s="5">
        <v>51981629178</v>
      </c>
      <c r="D2523" s="5" t="s">
        <v>13</v>
      </c>
      <c r="E2523" s="5">
        <v>8.7547393E7</v>
      </c>
      <c r="F2523" s="5" t="s">
        <v>39</v>
      </c>
      <c r="G2523" s="5" t="s">
        <v>15</v>
      </c>
      <c r="H2523" s="5" t="s">
        <v>51</v>
      </c>
      <c r="I2523" s="6" t="s">
        <v>63</v>
      </c>
      <c r="J2523" s="7" t="s">
        <v>18</v>
      </c>
      <c r="K2523" s="7" t="s">
        <v>19</v>
      </c>
      <c r="L2523" s="8">
        <v>1.772251890252E12</v>
      </c>
      <c r="M2523" s="9"/>
      <c r="N2523" s="10"/>
      <c r="O2523" s="10"/>
      <c r="P2523" s="10"/>
      <c r="Q2523" s="10"/>
      <c r="R2523" s="10"/>
      <c r="S2523" s="10"/>
      <c r="T2523" s="10"/>
      <c r="U2523" s="10"/>
      <c r="V2523" s="10"/>
    </row>
    <row r="2524" ht="22.5" customHeight="1">
      <c r="A2524" s="5">
        <v>2.00945194365E11</v>
      </c>
      <c r="B2524" s="5" t="s">
        <v>2346</v>
      </c>
      <c r="C2524" s="5">
        <v>51957701065</v>
      </c>
      <c r="D2524" s="5" t="s">
        <v>13</v>
      </c>
      <c r="E2524" s="5">
        <v>8.7547393E7</v>
      </c>
      <c r="F2524" s="5" t="s">
        <v>510</v>
      </c>
      <c r="G2524" s="5" t="s">
        <v>15</v>
      </c>
      <c r="H2524" s="5" t="s">
        <v>66</v>
      </c>
      <c r="I2524" s="6" t="s">
        <v>17</v>
      </c>
      <c r="J2524" s="7" t="s">
        <v>18</v>
      </c>
      <c r="K2524" s="7" t="s">
        <v>19</v>
      </c>
      <c r="L2524" s="8">
        <v>1.77225308049E12</v>
      </c>
      <c r="M2524" s="9"/>
      <c r="N2524" s="10"/>
      <c r="O2524" s="10"/>
      <c r="P2524" s="10"/>
      <c r="Q2524" s="10"/>
      <c r="R2524" s="10"/>
      <c r="S2524" s="10"/>
      <c r="T2524" s="10"/>
      <c r="U2524" s="10"/>
      <c r="V2524" s="10"/>
    </row>
    <row r="2525" ht="22.5" customHeight="1">
      <c r="A2525" s="5">
        <v>2.05978365832E11</v>
      </c>
      <c r="B2525" s="5" t="s">
        <v>2347</v>
      </c>
      <c r="C2525" s="5">
        <v>5511963518627</v>
      </c>
      <c r="D2525" s="5" t="s">
        <v>38</v>
      </c>
      <c r="E2525" s="5">
        <v>7.9360573E7</v>
      </c>
      <c r="F2525" s="5"/>
      <c r="G2525" s="5"/>
      <c r="H2525" s="5"/>
      <c r="I2525" s="6"/>
      <c r="J2525" s="7" t="s">
        <v>34</v>
      </c>
      <c r="K2525" s="7"/>
      <c r="L2525" s="8">
        <v>1.77225464111E12</v>
      </c>
      <c r="M2525" s="9"/>
      <c r="N2525" s="10"/>
      <c r="O2525" s="10"/>
      <c r="P2525" s="10"/>
      <c r="Q2525" s="10"/>
      <c r="R2525" s="10"/>
      <c r="S2525" s="10"/>
      <c r="T2525" s="10"/>
      <c r="U2525" s="10"/>
      <c r="V2525" s="10"/>
    </row>
    <row r="2526" ht="22.5" customHeight="1">
      <c r="A2526" s="5">
        <v>2.05978374784E11</v>
      </c>
      <c r="B2526" s="5" t="s">
        <v>2348</v>
      </c>
      <c r="C2526" s="5">
        <v>51961835099</v>
      </c>
      <c r="D2526" s="5" t="s">
        <v>13</v>
      </c>
      <c r="E2526" s="5">
        <v>8.0566583E7</v>
      </c>
      <c r="F2526" s="5" t="s">
        <v>259</v>
      </c>
      <c r="G2526" s="5" t="s">
        <v>15</v>
      </c>
      <c r="H2526" s="5" t="s">
        <v>24</v>
      </c>
      <c r="I2526" s="6" t="s">
        <v>63</v>
      </c>
      <c r="J2526" s="7" t="s">
        <v>34</v>
      </c>
      <c r="K2526" s="7"/>
      <c r="L2526" s="8">
        <v>1.772255303821E12</v>
      </c>
      <c r="M2526" s="9"/>
      <c r="N2526" s="10"/>
      <c r="O2526" s="10"/>
      <c r="P2526" s="10"/>
      <c r="Q2526" s="10"/>
      <c r="R2526" s="10"/>
      <c r="S2526" s="10"/>
      <c r="T2526" s="10"/>
      <c r="U2526" s="10"/>
      <c r="V2526" s="10"/>
    </row>
    <row r="2527" ht="22.5" customHeight="1">
      <c r="A2527" s="5">
        <v>2.05994063024E11</v>
      </c>
      <c r="B2527" s="5" t="s">
        <v>2349</v>
      </c>
      <c r="C2527" s="5">
        <v>51904862802</v>
      </c>
      <c r="D2527" s="5" t="s">
        <v>13</v>
      </c>
      <c r="E2527" s="5">
        <v>8.0566583E7</v>
      </c>
      <c r="F2527" s="5" t="s">
        <v>14</v>
      </c>
      <c r="G2527" s="5" t="s">
        <v>32</v>
      </c>
      <c r="H2527" s="5" t="s">
        <v>24</v>
      </c>
      <c r="I2527" s="6" t="s">
        <v>17</v>
      </c>
      <c r="J2527" s="7" t="s">
        <v>18</v>
      </c>
      <c r="K2527" s="7" t="s">
        <v>19</v>
      </c>
      <c r="L2527" s="8">
        <v>1.772260418989E12</v>
      </c>
      <c r="M2527" s="9"/>
      <c r="N2527" s="10"/>
      <c r="O2527" s="10"/>
      <c r="P2527" s="10"/>
      <c r="Q2527" s="10"/>
      <c r="R2527" s="10"/>
      <c r="S2527" s="10"/>
      <c r="T2527" s="10"/>
      <c r="U2527" s="10"/>
      <c r="V2527" s="10"/>
    </row>
    <row r="2528" ht="22.5" customHeight="1">
      <c r="A2528" s="5">
        <v>2.04513608119E11</v>
      </c>
      <c r="B2528" s="5" t="s">
        <v>2350</v>
      </c>
      <c r="C2528" s="5">
        <v>51906055123</v>
      </c>
      <c r="D2528" s="5" t="s">
        <v>13</v>
      </c>
      <c r="E2528" s="5">
        <v>8.0566583E7</v>
      </c>
      <c r="F2528" s="5" t="s">
        <v>65</v>
      </c>
      <c r="G2528" s="5"/>
      <c r="H2528" s="5" t="s">
        <v>66</v>
      </c>
      <c r="I2528" s="6" t="s">
        <v>17</v>
      </c>
      <c r="J2528" s="7" t="s">
        <v>18</v>
      </c>
      <c r="K2528" s="7" t="s">
        <v>19</v>
      </c>
      <c r="L2528" s="8">
        <v>1.772272215247E12</v>
      </c>
      <c r="M2528" s="9"/>
      <c r="N2528" s="10"/>
      <c r="O2528" s="10"/>
      <c r="P2528" s="10"/>
      <c r="Q2528" s="10"/>
      <c r="R2528" s="10"/>
      <c r="S2528" s="10"/>
      <c r="T2528" s="10"/>
      <c r="U2528" s="10"/>
      <c r="V2528" s="10"/>
    </row>
    <row r="2529" ht="22.5" customHeight="1">
      <c r="A2529" s="5">
        <v>1.75026395265E11</v>
      </c>
      <c r="B2529" s="5" t="s">
        <v>2351</v>
      </c>
      <c r="C2529" s="5">
        <v>51980539853</v>
      </c>
      <c r="D2529" s="5" t="s">
        <v>13</v>
      </c>
      <c r="E2529" s="5">
        <v>8.0566583E7</v>
      </c>
      <c r="F2529" s="5" t="s">
        <v>39</v>
      </c>
      <c r="G2529" s="5" t="s">
        <v>32</v>
      </c>
      <c r="H2529" s="5" t="s">
        <v>33</v>
      </c>
      <c r="I2529" s="6" t="s">
        <v>17</v>
      </c>
      <c r="J2529" s="7" t="s">
        <v>18</v>
      </c>
      <c r="K2529" s="7" t="s">
        <v>19</v>
      </c>
      <c r="L2529" s="8">
        <v>1.772272297303E12</v>
      </c>
      <c r="M2529" s="9"/>
      <c r="N2529" s="10"/>
      <c r="O2529" s="10"/>
      <c r="P2529" s="10"/>
      <c r="Q2529" s="10"/>
      <c r="R2529" s="10"/>
      <c r="S2529" s="10"/>
      <c r="T2529" s="10"/>
      <c r="U2529" s="10"/>
      <c r="V2529" s="10"/>
    </row>
    <row r="2530" ht="22.5" customHeight="1">
      <c r="A2530" s="5">
        <v>2.06009942806E11</v>
      </c>
      <c r="B2530" s="5" t="s">
        <v>2352</v>
      </c>
      <c r="C2530" s="5">
        <v>51964076301</v>
      </c>
      <c r="D2530" s="5" t="s">
        <v>13</v>
      </c>
      <c r="E2530" s="5">
        <v>8.0566583E7</v>
      </c>
      <c r="F2530" s="5" t="s">
        <v>259</v>
      </c>
      <c r="G2530" s="5" t="s">
        <v>15</v>
      </c>
      <c r="H2530" s="5" t="s">
        <v>24</v>
      </c>
      <c r="I2530" s="6" t="s">
        <v>17</v>
      </c>
      <c r="J2530" s="7" t="s">
        <v>18</v>
      </c>
      <c r="K2530" s="7" t="s">
        <v>19</v>
      </c>
      <c r="L2530" s="8">
        <v>1.772275064208E12</v>
      </c>
      <c r="M2530" s="9"/>
      <c r="N2530" s="10"/>
      <c r="O2530" s="10"/>
      <c r="P2530" s="10"/>
      <c r="Q2530" s="10"/>
      <c r="R2530" s="10"/>
      <c r="S2530" s="10"/>
      <c r="T2530" s="10"/>
      <c r="U2530" s="10"/>
      <c r="V2530" s="10"/>
    </row>
    <row r="2531" ht="22.5" customHeight="1">
      <c r="A2531" s="5">
        <v>2.06021706572E11</v>
      </c>
      <c r="B2531" s="5" t="s">
        <v>2353</v>
      </c>
      <c r="C2531" s="5">
        <v>51933593298</v>
      </c>
      <c r="D2531" s="5" t="s">
        <v>13</v>
      </c>
      <c r="E2531" s="5">
        <v>8.0566583E7</v>
      </c>
      <c r="F2531" s="5" t="s">
        <v>39</v>
      </c>
      <c r="G2531" s="5" t="s">
        <v>15</v>
      </c>
      <c r="H2531" s="5" t="s">
        <v>16</v>
      </c>
      <c r="I2531" s="6" t="s">
        <v>17</v>
      </c>
      <c r="J2531" s="7" t="s">
        <v>34</v>
      </c>
      <c r="K2531" s="7"/>
      <c r="L2531" s="8">
        <v>1.77227511098E12</v>
      </c>
      <c r="M2531" s="9"/>
      <c r="N2531" s="10"/>
      <c r="O2531" s="10"/>
      <c r="P2531" s="10"/>
      <c r="Q2531" s="10"/>
      <c r="R2531" s="10"/>
      <c r="S2531" s="10"/>
      <c r="T2531" s="10"/>
      <c r="U2531" s="10"/>
      <c r="V2531" s="10"/>
    </row>
    <row r="2532" ht="22.5" customHeight="1">
      <c r="A2532" s="5">
        <v>2.06010084436E11</v>
      </c>
      <c r="B2532" s="5" t="s">
        <v>2354</v>
      </c>
      <c r="C2532" s="5">
        <v>51989230601</v>
      </c>
      <c r="D2532" s="5" t="s">
        <v>13</v>
      </c>
      <c r="E2532" s="5">
        <v>8.7547393E7</v>
      </c>
      <c r="F2532" s="5" t="s">
        <v>39</v>
      </c>
      <c r="G2532" s="5" t="s">
        <v>15</v>
      </c>
      <c r="H2532" s="5" t="s">
        <v>51</v>
      </c>
      <c r="I2532" s="6" t="s">
        <v>17</v>
      </c>
      <c r="J2532" s="7" t="s">
        <v>34</v>
      </c>
      <c r="K2532" s="7"/>
      <c r="L2532" s="8">
        <v>1.772275362567E12</v>
      </c>
      <c r="M2532" s="9"/>
      <c r="N2532" s="10"/>
      <c r="O2532" s="10"/>
      <c r="P2532" s="10"/>
      <c r="Q2532" s="10"/>
      <c r="R2532" s="10"/>
      <c r="S2532" s="10"/>
      <c r="T2532" s="10"/>
      <c r="U2532" s="10"/>
      <c r="V2532" s="10"/>
    </row>
    <row r="2533" ht="22.5" customHeight="1">
      <c r="A2533" s="5">
        <v>2.06010906212E11</v>
      </c>
      <c r="B2533" s="5" t="s">
        <v>2355</v>
      </c>
      <c r="C2533" s="5">
        <v>51944289373</v>
      </c>
      <c r="D2533" s="5" t="s">
        <v>13</v>
      </c>
      <c r="E2533" s="5">
        <v>8.0566583E7</v>
      </c>
      <c r="F2533" s="5" t="s">
        <v>39</v>
      </c>
      <c r="G2533" s="5" t="s">
        <v>15</v>
      </c>
      <c r="H2533" s="5" t="s">
        <v>69</v>
      </c>
      <c r="I2533" s="6" t="s">
        <v>17</v>
      </c>
      <c r="J2533" s="7" t="s">
        <v>18</v>
      </c>
      <c r="K2533" s="7" t="s">
        <v>19</v>
      </c>
      <c r="L2533" s="8">
        <v>1.772276284566E12</v>
      </c>
      <c r="M2533" s="9"/>
      <c r="N2533" s="10"/>
      <c r="O2533" s="10"/>
      <c r="P2533" s="10"/>
      <c r="Q2533" s="10"/>
      <c r="R2533" s="10"/>
      <c r="S2533" s="10"/>
      <c r="T2533" s="10"/>
      <c r="U2533" s="10"/>
      <c r="V2533" s="10"/>
    </row>
    <row r="2534" ht="22.5" customHeight="1">
      <c r="A2534" s="5">
        <v>2.06021746795E11</v>
      </c>
      <c r="B2534" s="5" t="s">
        <v>2356</v>
      </c>
      <c r="C2534" s="5">
        <v>51937431540</v>
      </c>
      <c r="D2534" s="5" t="s">
        <v>13</v>
      </c>
      <c r="E2534" s="5">
        <v>8.0566583E7</v>
      </c>
      <c r="F2534" s="5" t="s">
        <v>82</v>
      </c>
      <c r="G2534" s="5" t="s">
        <v>15</v>
      </c>
      <c r="H2534" s="5" t="s">
        <v>51</v>
      </c>
      <c r="I2534" s="6" t="s">
        <v>17</v>
      </c>
      <c r="J2534" s="7" t="s">
        <v>18</v>
      </c>
      <c r="K2534" s="7" t="s">
        <v>19</v>
      </c>
      <c r="L2534" s="8">
        <v>1.772276611983E12</v>
      </c>
      <c r="M2534" s="9"/>
      <c r="N2534" s="10"/>
      <c r="O2534" s="10"/>
      <c r="P2534" s="10"/>
      <c r="Q2534" s="10"/>
      <c r="R2534" s="10"/>
      <c r="S2534" s="10"/>
      <c r="T2534" s="10"/>
      <c r="U2534" s="10"/>
      <c r="V2534" s="10"/>
    </row>
    <row r="2535" ht="22.5" customHeight="1">
      <c r="A2535" s="5">
        <v>2.05943966563E11</v>
      </c>
      <c r="B2535" s="5" t="s">
        <v>2329</v>
      </c>
      <c r="C2535" s="5">
        <v>51921838445</v>
      </c>
      <c r="D2535" s="5" t="s">
        <v>38</v>
      </c>
      <c r="E2535" s="5">
        <v>8.7547393E7</v>
      </c>
      <c r="F2535" s="5"/>
      <c r="G2535" s="5"/>
      <c r="H2535" s="5"/>
      <c r="I2535" s="6"/>
      <c r="J2535" s="7" t="s">
        <v>34</v>
      </c>
      <c r="K2535" s="7"/>
      <c r="L2535" s="8">
        <v>1.77227728043E12</v>
      </c>
      <c r="M2535" s="9"/>
      <c r="N2535" s="10"/>
      <c r="O2535" s="10"/>
      <c r="P2535" s="10"/>
      <c r="Q2535" s="10"/>
      <c r="R2535" s="10"/>
      <c r="S2535" s="10"/>
      <c r="T2535" s="10"/>
      <c r="U2535" s="10"/>
      <c r="V2535" s="10"/>
    </row>
    <row r="2536" ht="22.5" customHeight="1">
      <c r="A2536" s="5">
        <v>2.06023486291E11</v>
      </c>
      <c r="B2536" s="5" t="s">
        <v>2357</v>
      </c>
      <c r="C2536" s="5">
        <v>51940407664</v>
      </c>
      <c r="D2536" s="5" t="s">
        <v>13</v>
      </c>
      <c r="E2536" s="5">
        <v>8.0566583E7</v>
      </c>
      <c r="F2536" s="5" t="s">
        <v>28</v>
      </c>
      <c r="G2536" s="5"/>
      <c r="H2536" s="5" t="s">
        <v>66</v>
      </c>
      <c r="I2536" s="6" t="s">
        <v>63</v>
      </c>
      <c r="J2536" s="7" t="s">
        <v>18</v>
      </c>
      <c r="K2536" s="7" t="s">
        <v>19</v>
      </c>
      <c r="L2536" s="8">
        <v>1.772277880031E12</v>
      </c>
      <c r="M2536" s="9"/>
      <c r="N2536" s="10"/>
      <c r="O2536" s="10"/>
      <c r="P2536" s="10"/>
      <c r="Q2536" s="10"/>
      <c r="R2536" s="10"/>
      <c r="S2536" s="10"/>
      <c r="T2536" s="10"/>
      <c r="U2536" s="10"/>
      <c r="V2536" s="10"/>
    </row>
    <row r="2537" ht="22.5" customHeight="1">
      <c r="A2537" s="5">
        <v>2.0601244677E11</v>
      </c>
      <c r="B2537" s="5" t="s">
        <v>2358</v>
      </c>
      <c r="C2537" s="5">
        <v>51957666359</v>
      </c>
      <c r="D2537" s="5" t="s">
        <v>13</v>
      </c>
      <c r="E2537" s="5">
        <v>8.0566583E7</v>
      </c>
      <c r="F2537" s="5" t="s">
        <v>259</v>
      </c>
      <c r="G2537" s="5" t="s">
        <v>15</v>
      </c>
      <c r="H2537" s="5" t="s">
        <v>51</v>
      </c>
      <c r="I2537" s="6" t="s">
        <v>17</v>
      </c>
      <c r="J2537" s="7" t="s">
        <v>18</v>
      </c>
      <c r="K2537" s="7" t="s">
        <v>19</v>
      </c>
      <c r="L2537" s="8">
        <v>1.772277987787E12</v>
      </c>
      <c r="M2537" s="9"/>
      <c r="N2537" s="10"/>
      <c r="O2537" s="10"/>
      <c r="P2537" s="10"/>
      <c r="Q2537" s="10"/>
      <c r="R2537" s="10"/>
      <c r="S2537" s="10"/>
      <c r="T2537" s="10"/>
      <c r="U2537" s="10"/>
      <c r="V2537" s="10"/>
    </row>
    <row r="2538" ht="22.5" customHeight="1">
      <c r="A2538" s="5">
        <v>2.06022494644E11</v>
      </c>
      <c r="B2538" s="5" t="s">
        <v>2359</v>
      </c>
      <c r="C2538" s="5">
        <v>51950314051</v>
      </c>
      <c r="D2538" s="5" t="s">
        <v>13</v>
      </c>
      <c r="E2538" s="5">
        <v>8.7547393E7</v>
      </c>
      <c r="F2538" s="5" t="s">
        <v>93</v>
      </c>
      <c r="G2538" s="5" t="s">
        <v>15</v>
      </c>
      <c r="H2538" s="5" t="s">
        <v>69</v>
      </c>
      <c r="I2538" s="6" t="s">
        <v>17</v>
      </c>
      <c r="J2538" s="7" t="s">
        <v>34</v>
      </c>
      <c r="K2538" s="7"/>
      <c r="L2538" s="8">
        <v>1.772278372311E12</v>
      </c>
      <c r="M2538" s="9"/>
      <c r="N2538" s="10"/>
      <c r="O2538" s="10"/>
      <c r="P2538" s="10"/>
      <c r="Q2538" s="10"/>
      <c r="R2538" s="10"/>
      <c r="S2538" s="10"/>
      <c r="T2538" s="10"/>
      <c r="U2538" s="10"/>
      <c r="V2538" s="10"/>
    </row>
    <row r="2539" ht="22.5" customHeight="1">
      <c r="A2539" s="5">
        <v>2.06012653693E11</v>
      </c>
      <c r="B2539" s="5" t="s">
        <v>2360</v>
      </c>
      <c r="C2539" s="5">
        <v>51920394009</v>
      </c>
      <c r="D2539" s="5" t="s">
        <v>22</v>
      </c>
      <c r="E2539" s="5">
        <v>8.0566583E7</v>
      </c>
      <c r="F2539" s="5" t="s">
        <v>14</v>
      </c>
      <c r="G2539" s="5" t="s">
        <v>44</v>
      </c>
      <c r="H2539" s="5" t="s">
        <v>16</v>
      </c>
      <c r="I2539" s="6" t="s">
        <v>17</v>
      </c>
      <c r="J2539" s="7" t="s">
        <v>18</v>
      </c>
      <c r="K2539" s="7" t="s">
        <v>19</v>
      </c>
      <c r="L2539" s="8">
        <v>1.772278996619E12</v>
      </c>
      <c r="M2539" s="9"/>
      <c r="N2539" s="10"/>
      <c r="O2539" s="10"/>
      <c r="P2539" s="10"/>
      <c r="Q2539" s="10"/>
      <c r="R2539" s="10"/>
      <c r="S2539" s="10"/>
      <c r="T2539" s="10"/>
      <c r="U2539" s="10"/>
      <c r="V2539" s="10"/>
    </row>
    <row r="2540" ht="22.5" customHeight="1">
      <c r="A2540" s="5">
        <v>2.06025228671E11</v>
      </c>
      <c r="B2540" s="5" t="s">
        <v>2361</v>
      </c>
      <c r="C2540" s="5">
        <v>51984766771</v>
      </c>
      <c r="D2540" s="5" t="s">
        <v>13</v>
      </c>
      <c r="E2540" s="5">
        <v>8.0566583E7</v>
      </c>
      <c r="F2540" s="5" t="s">
        <v>259</v>
      </c>
      <c r="G2540" s="5" t="s">
        <v>15</v>
      </c>
      <c r="H2540" s="5" t="s">
        <v>51</v>
      </c>
      <c r="I2540" s="6" t="s">
        <v>17</v>
      </c>
      <c r="J2540" s="7" t="s">
        <v>18</v>
      </c>
      <c r="K2540" s="7" t="s">
        <v>19</v>
      </c>
      <c r="L2540" s="8">
        <v>1.772279131777E12</v>
      </c>
      <c r="M2540" s="9"/>
      <c r="N2540" s="10"/>
      <c r="O2540" s="10"/>
      <c r="P2540" s="10"/>
      <c r="Q2540" s="10"/>
      <c r="R2540" s="10"/>
      <c r="S2540" s="10"/>
      <c r="T2540" s="10"/>
      <c r="U2540" s="10"/>
      <c r="V2540" s="10"/>
    </row>
    <row r="2541" ht="22.5" customHeight="1">
      <c r="A2541" s="5">
        <v>2.0602127239E11</v>
      </c>
      <c r="B2541" s="5" t="s">
        <v>2362</v>
      </c>
      <c r="C2541" s="5">
        <v>5547991441884</v>
      </c>
      <c r="D2541" s="5" t="s">
        <v>103</v>
      </c>
      <c r="E2541" s="5">
        <v>7.9360573E7</v>
      </c>
      <c r="F2541" s="5" t="s">
        <v>259</v>
      </c>
      <c r="G2541" s="5" t="s">
        <v>104</v>
      </c>
      <c r="H2541" s="5" t="s">
        <v>100</v>
      </c>
      <c r="I2541" s="6" t="s">
        <v>148</v>
      </c>
      <c r="J2541" s="7" t="s">
        <v>34</v>
      </c>
      <c r="K2541" s="7"/>
      <c r="L2541" s="8">
        <v>1.772280188887E12</v>
      </c>
      <c r="M2541" s="9"/>
      <c r="N2541" s="10"/>
      <c r="O2541" s="10"/>
      <c r="P2541" s="10"/>
      <c r="Q2541" s="10"/>
      <c r="R2541" s="10"/>
      <c r="S2541" s="10"/>
      <c r="T2541" s="10"/>
      <c r="U2541" s="10"/>
      <c r="V2541" s="10"/>
    </row>
    <row r="2542" ht="22.5" customHeight="1">
      <c r="A2542" s="5">
        <v>2.06035709557E11</v>
      </c>
      <c r="B2542" s="5" t="s">
        <v>2363</v>
      </c>
      <c r="C2542" s="5">
        <v>51924013509</v>
      </c>
      <c r="D2542" s="5" t="s">
        <v>13</v>
      </c>
      <c r="E2542" s="5">
        <v>8.0566583E7</v>
      </c>
      <c r="F2542" s="5" t="s">
        <v>28</v>
      </c>
      <c r="G2542" s="5" t="s">
        <v>15</v>
      </c>
      <c r="H2542" s="5" t="s">
        <v>51</v>
      </c>
      <c r="I2542" s="6" t="s">
        <v>17</v>
      </c>
      <c r="J2542" s="7" t="s">
        <v>18</v>
      </c>
      <c r="K2542" s="7" t="s">
        <v>19</v>
      </c>
      <c r="L2542" s="8">
        <v>1.772281384737E12</v>
      </c>
      <c r="M2542" s="9"/>
      <c r="N2542" s="10"/>
      <c r="O2542" s="10"/>
      <c r="P2542" s="10"/>
      <c r="Q2542" s="10"/>
      <c r="R2542" s="10"/>
      <c r="S2542" s="10"/>
      <c r="T2542" s="10"/>
      <c r="U2542" s="10"/>
      <c r="V2542" s="10"/>
    </row>
    <row r="2543" ht="22.5" customHeight="1">
      <c r="A2543" s="5">
        <v>2.06025780874E11</v>
      </c>
      <c r="B2543" s="5" t="s">
        <v>2364</v>
      </c>
      <c r="C2543" s="5">
        <v>51964628282</v>
      </c>
      <c r="D2543" s="5" t="s">
        <v>13</v>
      </c>
      <c r="E2543" s="5">
        <v>8.0566583E7</v>
      </c>
      <c r="F2543" s="5" t="s">
        <v>510</v>
      </c>
      <c r="G2543" s="5" t="s">
        <v>15</v>
      </c>
      <c r="H2543" s="5" t="s">
        <v>16</v>
      </c>
      <c r="I2543" s="6" t="s">
        <v>17</v>
      </c>
      <c r="J2543" s="7" t="s">
        <v>18</v>
      </c>
      <c r="K2543" s="7" t="s">
        <v>19</v>
      </c>
      <c r="L2543" s="8">
        <v>1.772281489208E12</v>
      </c>
      <c r="M2543" s="9"/>
      <c r="N2543" s="10"/>
      <c r="O2543" s="10"/>
      <c r="P2543" s="10"/>
      <c r="Q2543" s="10"/>
      <c r="R2543" s="10"/>
      <c r="S2543" s="10"/>
      <c r="T2543" s="10"/>
      <c r="U2543" s="10"/>
      <c r="V2543" s="10"/>
    </row>
    <row r="2544" ht="22.5" customHeight="1">
      <c r="A2544" s="5">
        <v>2.0528276532E11</v>
      </c>
      <c r="B2544" s="5" t="s">
        <v>2117</v>
      </c>
      <c r="C2544" s="5">
        <v>51945436715</v>
      </c>
      <c r="D2544" s="5" t="s">
        <v>38</v>
      </c>
      <c r="E2544" s="5">
        <v>8.7547393E7</v>
      </c>
      <c r="F2544" s="5" t="s">
        <v>39</v>
      </c>
      <c r="G2544" s="5" t="s">
        <v>15</v>
      </c>
      <c r="H2544" s="5" t="s">
        <v>51</v>
      </c>
      <c r="I2544" s="6" t="s">
        <v>63</v>
      </c>
      <c r="J2544" s="7" t="s">
        <v>34</v>
      </c>
      <c r="K2544" s="7"/>
      <c r="L2544" s="8">
        <v>1.772281993339E12</v>
      </c>
      <c r="M2544" s="9"/>
      <c r="N2544" s="10"/>
      <c r="O2544" s="10"/>
      <c r="P2544" s="10"/>
      <c r="Q2544" s="10"/>
      <c r="R2544" s="10"/>
      <c r="S2544" s="10"/>
      <c r="T2544" s="10"/>
      <c r="U2544" s="10"/>
      <c r="V2544" s="10"/>
    </row>
    <row r="2545" ht="22.5" customHeight="1">
      <c r="A2545" s="5">
        <v>1.45390225828E11</v>
      </c>
      <c r="B2545" s="5" t="s">
        <v>2365</v>
      </c>
      <c r="C2545" s="5">
        <v>51972624582</v>
      </c>
      <c r="D2545" s="5" t="s">
        <v>13</v>
      </c>
      <c r="E2545" s="5">
        <v>8.7547393E7</v>
      </c>
      <c r="F2545" s="5" t="s">
        <v>259</v>
      </c>
      <c r="G2545" s="5" t="s">
        <v>15</v>
      </c>
      <c r="H2545" s="5" t="s">
        <v>51</v>
      </c>
      <c r="I2545" s="6" t="s">
        <v>63</v>
      </c>
      <c r="J2545" s="7" t="s">
        <v>25</v>
      </c>
      <c r="K2545" s="7"/>
      <c r="L2545" s="8">
        <v>1.772282812108E12</v>
      </c>
      <c r="M2545" s="9"/>
      <c r="N2545" s="10"/>
      <c r="O2545" s="10"/>
      <c r="P2545" s="10"/>
      <c r="Q2545" s="10"/>
      <c r="R2545" s="10"/>
      <c r="S2545" s="10"/>
      <c r="T2545" s="10"/>
      <c r="U2545" s="10"/>
      <c r="V2545" s="10"/>
    </row>
    <row r="2546" ht="22.5" customHeight="1">
      <c r="A2546" s="5">
        <v>2.06030409833E11</v>
      </c>
      <c r="B2546" s="5" t="s">
        <v>2366</v>
      </c>
      <c r="C2546" s="5">
        <v>51979003291</v>
      </c>
      <c r="D2546" s="5" t="s">
        <v>13</v>
      </c>
      <c r="E2546" s="5">
        <v>8.0566583E7</v>
      </c>
      <c r="F2546" s="5" t="s">
        <v>714</v>
      </c>
      <c r="G2546" s="5" t="s">
        <v>15</v>
      </c>
      <c r="H2546" s="5" t="s">
        <v>51</v>
      </c>
      <c r="I2546" s="6" t="s">
        <v>17</v>
      </c>
      <c r="J2546" s="7" t="s">
        <v>18</v>
      </c>
      <c r="K2546" s="7" t="s">
        <v>19</v>
      </c>
      <c r="L2546" s="8">
        <v>1.772282812323E12</v>
      </c>
      <c r="M2546" s="9"/>
      <c r="N2546" s="10"/>
      <c r="O2546" s="10"/>
      <c r="P2546" s="10"/>
      <c r="Q2546" s="10"/>
      <c r="R2546" s="10"/>
      <c r="S2546" s="10"/>
      <c r="T2546" s="10"/>
      <c r="U2546" s="10"/>
      <c r="V2546" s="10"/>
    </row>
    <row r="2547" ht="22.5" customHeight="1">
      <c r="A2547" s="5">
        <v>2.06025289736E11</v>
      </c>
      <c r="B2547" s="5" t="s">
        <v>2367</v>
      </c>
      <c r="C2547" s="5">
        <v>51969839967</v>
      </c>
      <c r="D2547" s="5" t="s">
        <v>13</v>
      </c>
      <c r="E2547" s="5">
        <v>8.7547393E7</v>
      </c>
      <c r="F2547" s="5" t="s">
        <v>714</v>
      </c>
      <c r="G2547" s="5" t="s">
        <v>15</v>
      </c>
      <c r="H2547" s="5" t="s">
        <v>69</v>
      </c>
      <c r="I2547" s="6" t="s">
        <v>17</v>
      </c>
      <c r="J2547" s="7" t="s">
        <v>18</v>
      </c>
      <c r="K2547" s="7" t="s">
        <v>19</v>
      </c>
      <c r="L2547" s="8">
        <v>1.772282855662E12</v>
      </c>
      <c r="M2547" s="9"/>
      <c r="N2547" s="10"/>
      <c r="O2547" s="10"/>
      <c r="P2547" s="10"/>
      <c r="Q2547" s="10"/>
      <c r="R2547" s="10"/>
      <c r="S2547" s="10"/>
      <c r="T2547" s="10"/>
      <c r="U2547" s="10"/>
      <c r="V2547" s="10"/>
    </row>
    <row r="2548" ht="22.5" customHeight="1">
      <c r="A2548" s="5">
        <v>1.74902918411E11</v>
      </c>
      <c r="B2548" s="5" t="s">
        <v>2368</v>
      </c>
      <c r="C2548" s="5">
        <v>51921237860</v>
      </c>
      <c r="D2548" s="5" t="s">
        <v>13</v>
      </c>
      <c r="E2548" s="5">
        <v>8.7547393E7</v>
      </c>
      <c r="F2548" s="5" t="s">
        <v>28</v>
      </c>
      <c r="G2548" s="5" t="s">
        <v>15</v>
      </c>
      <c r="H2548" s="5" t="s">
        <v>239</v>
      </c>
      <c r="I2548" s="6" t="s">
        <v>63</v>
      </c>
      <c r="J2548" s="7" t="s">
        <v>18</v>
      </c>
      <c r="K2548" s="7" t="s">
        <v>19</v>
      </c>
      <c r="L2548" s="8">
        <v>1.772282888618E12</v>
      </c>
      <c r="M2548" s="9"/>
      <c r="N2548" s="10"/>
      <c r="O2548" s="10"/>
      <c r="P2548" s="10"/>
      <c r="Q2548" s="10"/>
      <c r="R2548" s="10"/>
      <c r="S2548" s="10"/>
      <c r="T2548" s="10"/>
      <c r="U2548" s="10"/>
      <c r="V2548" s="10"/>
    </row>
    <row r="2549" ht="22.5" customHeight="1">
      <c r="A2549" s="5">
        <v>2.06030497802E11</v>
      </c>
      <c r="B2549" s="5" t="s">
        <v>2369</v>
      </c>
      <c r="C2549" s="5">
        <v>51978721432</v>
      </c>
      <c r="D2549" s="5" t="s">
        <v>13</v>
      </c>
      <c r="E2549" s="5">
        <v>8.7547393E7</v>
      </c>
      <c r="F2549" s="5" t="s">
        <v>39</v>
      </c>
      <c r="G2549" s="5" t="s">
        <v>15</v>
      </c>
      <c r="H2549" s="5" t="s">
        <v>51</v>
      </c>
      <c r="I2549" s="6" t="s">
        <v>17</v>
      </c>
      <c r="J2549" s="7" t="s">
        <v>18</v>
      </c>
      <c r="K2549" s="7" t="s">
        <v>19</v>
      </c>
      <c r="L2549" s="8">
        <v>1.772283001583E12</v>
      </c>
      <c r="M2549" s="9"/>
      <c r="N2549" s="10"/>
      <c r="O2549" s="10"/>
      <c r="P2549" s="10"/>
      <c r="Q2549" s="10"/>
      <c r="R2549" s="10"/>
      <c r="S2549" s="10"/>
      <c r="T2549" s="10"/>
      <c r="U2549" s="10"/>
      <c r="V2549" s="10"/>
    </row>
    <row r="2550" ht="22.5" customHeight="1">
      <c r="A2550" s="5">
        <v>2.06031912613E11</v>
      </c>
      <c r="B2550" s="5" t="s">
        <v>2370</v>
      </c>
      <c r="C2550" s="5">
        <v>5531972573954</v>
      </c>
      <c r="D2550" s="5" t="s">
        <v>13</v>
      </c>
      <c r="E2550" s="5">
        <v>7.9360573E7</v>
      </c>
      <c r="F2550" s="5" t="s">
        <v>28</v>
      </c>
      <c r="G2550" s="5" t="s">
        <v>15</v>
      </c>
      <c r="H2550" s="5" t="s">
        <v>51</v>
      </c>
      <c r="I2550" s="6" t="s">
        <v>49</v>
      </c>
      <c r="J2550" s="7" t="s">
        <v>34</v>
      </c>
      <c r="K2550" s="7"/>
      <c r="L2550" s="8">
        <v>1.772283005123E12</v>
      </c>
      <c r="M2550" s="9"/>
      <c r="N2550" s="10"/>
      <c r="O2550" s="10"/>
      <c r="P2550" s="10"/>
      <c r="Q2550" s="10"/>
      <c r="R2550" s="10"/>
      <c r="S2550" s="10"/>
      <c r="T2550" s="10"/>
      <c r="U2550" s="10"/>
      <c r="V2550" s="10"/>
    </row>
    <row r="2551" ht="22.5" customHeight="1">
      <c r="A2551" s="5">
        <v>2.06038607141E11</v>
      </c>
      <c r="B2551" s="5" t="s">
        <v>2371</v>
      </c>
      <c r="C2551" s="5">
        <v>51969540781</v>
      </c>
      <c r="D2551" s="5" t="s">
        <v>13</v>
      </c>
      <c r="E2551" s="5">
        <v>8.7547393E7</v>
      </c>
      <c r="F2551" s="5" t="s">
        <v>28</v>
      </c>
      <c r="G2551" s="5" t="s">
        <v>15</v>
      </c>
      <c r="H2551" s="5" t="s">
        <v>66</v>
      </c>
      <c r="I2551" s="6" t="s">
        <v>17</v>
      </c>
      <c r="J2551" s="7" t="s">
        <v>18</v>
      </c>
      <c r="K2551" s="7" t="s">
        <v>19</v>
      </c>
      <c r="L2551" s="8">
        <v>1.772283515444E12</v>
      </c>
      <c r="M2551" s="9"/>
      <c r="N2551" s="10"/>
      <c r="O2551" s="10"/>
      <c r="P2551" s="10"/>
      <c r="Q2551" s="10"/>
      <c r="R2551" s="10"/>
      <c r="S2551" s="10"/>
      <c r="T2551" s="10"/>
      <c r="U2551" s="10"/>
      <c r="V2551" s="10"/>
    </row>
    <row r="2552" ht="22.5" customHeight="1">
      <c r="A2552" s="5">
        <v>2.06030887221E11</v>
      </c>
      <c r="B2552" s="5" t="s">
        <v>2372</v>
      </c>
      <c r="C2552" s="5">
        <v>51965000119</v>
      </c>
      <c r="D2552" s="5" t="s">
        <v>38</v>
      </c>
      <c r="E2552" s="5">
        <v>8.0566583E7</v>
      </c>
      <c r="F2552" s="5"/>
      <c r="G2552" s="5"/>
      <c r="H2552" s="5"/>
      <c r="I2552" s="6"/>
      <c r="J2552" s="7" t="s">
        <v>18</v>
      </c>
      <c r="K2552" s="7" t="s">
        <v>19</v>
      </c>
      <c r="L2552" s="8">
        <v>1.772283507722E12</v>
      </c>
      <c r="M2552" s="9"/>
      <c r="N2552" s="10"/>
      <c r="O2552" s="10"/>
      <c r="P2552" s="10"/>
      <c r="Q2552" s="10"/>
      <c r="R2552" s="10"/>
      <c r="S2552" s="10"/>
      <c r="T2552" s="10"/>
      <c r="U2552" s="10"/>
      <c r="V2552" s="10"/>
    </row>
    <row r="2553" ht="22.5" customHeight="1">
      <c r="A2553" s="5">
        <v>1.71246041385E11</v>
      </c>
      <c r="B2553" s="5" t="s">
        <v>2373</v>
      </c>
      <c r="C2553" s="5">
        <v>51947215082</v>
      </c>
      <c r="D2553" s="5" t="s">
        <v>38</v>
      </c>
      <c r="E2553" s="5"/>
      <c r="F2553" s="5"/>
      <c r="G2553" s="5"/>
      <c r="H2553" s="5"/>
      <c r="I2553" s="6"/>
      <c r="J2553" s="7" t="s">
        <v>34</v>
      </c>
      <c r="K2553" s="7"/>
      <c r="L2553" s="8">
        <v>1.77228378014E12</v>
      </c>
      <c r="M2553" s="9"/>
      <c r="N2553" s="10"/>
      <c r="O2553" s="10"/>
      <c r="P2553" s="10"/>
      <c r="Q2553" s="10"/>
      <c r="R2553" s="10"/>
      <c r="S2553" s="10"/>
      <c r="T2553" s="10"/>
      <c r="U2553" s="10"/>
      <c r="V2553" s="10"/>
    </row>
    <row r="2554" ht="22.5" customHeight="1">
      <c r="A2554" s="5">
        <v>2.06038468364E11</v>
      </c>
      <c r="B2554" s="5" t="s">
        <v>2374</v>
      </c>
      <c r="C2554" s="5">
        <v>51952500440</v>
      </c>
      <c r="D2554" s="5" t="s">
        <v>13</v>
      </c>
      <c r="E2554" s="5">
        <v>8.7547393E7</v>
      </c>
      <c r="F2554" s="5" t="s">
        <v>65</v>
      </c>
      <c r="G2554" s="5" t="s">
        <v>32</v>
      </c>
      <c r="H2554" s="5" t="s">
        <v>33</v>
      </c>
      <c r="I2554" s="6" t="s">
        <v>36</v>
      </c>
      <c r="J2554" s="7" t="s">
        <v>18</v>
      </c>
      <c r="K2554" s="7" t="s">
        <v>19</v>
      </c>
      <c r="L2554" s="8">
        <v>1.772284186786E12</v>
      </c>
      <c r="M2554" s="9"/>
      <c r="N2554" s="10"/>
      <c r="O2554" s="10"/>
      <c r="P2554" s="10"/>
      <c r="Q2554" s="10"/>
      <c r="R2554" s="10"/>
      <c r="S2554" s="10"/>
      <c r="T2554" s="10"/>
      <c r="U2554" s="10"/>
      <c r="V2554" s="10"/>
    </row>
    <row r="2555" ht="22.5" customHeight="1">
      <c r="A2555" s="5">
        <v>2.06039058095E11</v>
      </c>
      <c r="B2555" s="5" t="s">
        <v>2375</v>
      </c>
      <c r="C2555" s="5">
        <v>51953540705</v>
      </c>
      <c r="D2555" s="5" t="s">
        <v>13</v>
      </c>
      <c r="E2555" s="5">
        <v>8.7547393E7</v>
      </c>
      <c r="F2555" s="5" t="s">
        <v>65</v>
      </c>
      <c r="G2555" s="5" t="s">
        <v>15</v>
      </c>
      <c r="H2555" s="5" t="s">
        <v>114</v>
      </c>
      <c r="I2555" s="6" t="s">
        <v>17</v>
      </c>
      <c r="J2555" s="7" t="s">
        <v>18</v>
      </c>
      <c r="K2555" s="7" t="s">
        <v>19</v>
      </c>
      <c r="L2555" s="8">
        <v>1.772284420103E12</v>
      </c>
      <c r="M2555" s="9"/>
      <c r="N2555" s="10"/>
      <c r="O2555" s="10"/>
      <c r="P2555" s="10"/>
      <c r="Q2555" s="10"/>
      <c r="R2555" s="10"/>
      <c r="S2555" s="10"/>
      <c r="T2555" s="10"/>
      <c r="U2555" s="10"/>
      <c r="V2555" s="10"/>
    </row>
    <row r="2556" ht="22.5" customHeight="1">
      <c r="A2556" s="5">
        <v>2.06039148434E11</v>
      </c>
      <c r="B2556" s="5" t="s">
        <v>2376</v>
      </c>
      <c r="C2556" s="5">
        <v>5562992583292</v>
      </c>
      <c r="D2556" s="5" t="s">
        <v>13</v>
      </c>
      <c r="E2556" s="5">
        <v>7.9360573E7</v>
      </c>
      <c r="F2556" s="5"/>
      <c r="G2556" s="5" t="s">
        <v>15</v>
      </c>
      <c r="H2556" s="5" t="s">
        <v>66</v>
      </c>
      <c r="I2556" s="6" t="s">
        <v>17</v>
      </c>
      <c r="J2556" s="7" t="s">
        <v>34</v>
      </c>
      <c r="K2556" s="7"/>
      <c r="L2556" s="8">
        <v>1.772284817835E12</v>
      </c>
      <c r="M2556" s="9"/>
      <c r="N2556" s="10"/>
      <c r="O2556" s="10"/>
      <c r="P2556" s="10"/>
      <c r="Q2556" s="10"/>
      <c r="R2556" s="10"/>
      <c r="S2556" s="10"/>
      <c r="T2556" s="10"/>
      <c r="U2556" s="10"/>
      <c r="V2556" s="10"/>
    </row>
    <row r="2557" ht="22.5" customHeight="1">
      <c r="A2557" s="5">
        <v>2.06039543608E11</v>
      </c>
      <c r="B2557" s="5" t="s">
        <v>2377</v>
      </c>
      <c r="C2557" s="5">
        <v>51992717966</v>
      </c>
      <c r="D2557" s="5" t="s">
        <v>13</v>
      </c>
      <c r="E2557" s="5">
        <v>8.0566583E7</v>
      </c>
      <c r="F2557" s="5" t="s">
        <v>259</v>
      </c>
      <c r="G2557" s="5" t="s">
        <v>15</v>
      </c>
      <c r="H2557" s="5" t="s">
        <v>51</v>
      </c>
      <c r="I2557" s="6" t="s">
        <v>63</v>
      </c>
      <c r="J2557" s="7" t="s">
        <v>18</v>
      </c>
      <c r="K2557" s="7" t="s">
        <v>19</v>
      </c>
      <c r="L2557" s="8">
        <v>1.772284871632E12</v>
      </c>
      <c r="M2557" s="9"/>
      <c r="N2557" s="10"/>
      <c r="O2557" s="10"/>
      <c r="P2557" s="10"/>
      <c r="Q2557" s="10"/>
      <c r="R2557" s="10"/>
      <c r="S2557" s="10"/>
      <c r="T2557" s="10"/>
      <c r="U2557" s="10"/>
      <c r="V2557" s="10"/>
    </row>
    <row r="2558" ht="22.5" customHeight="1">
      <c r="A2558" s="5">
        <v>1.74308835105E11</v>
      </c>
      <c r="B2558" s="5" t="s">
        <v>2378</v>
      </c>
      <c r="C2558" s="5">
        <v>51917723468</v>
      </c>
      <c r="D2558" s="5" t="s">
        <v>13</v>
      </c>
      <c r="E2558" s="5">
        <v>8.0566583E7</v>
      </c>
      <c r="F2558" s="5" t="s">
        <v>14</v>
      </c>
      <c r="G2558" s="5" t="s">
        <v>32</v>
      </c>
      <c r="H2558" s="5" t="s">
        <v>16</v>
      </c>
      <c r="I2558" s="6" t="s">
        <v>17</v>
      </c>
      <c r="J2558" s="7" t="s">
        <v>18</v>
      </c>
      <c r="K2558" s="7" t="s">
        <v>19</v>
      </c>
      <c r="L2558" s="8">
        <v>1.772288096704E12</v>
      </c>
      <c r="M2558" s="9"/>
      <c r="N2558" s="10"/>
      <c r="O2558" s="10"/>
      <c r="P2558" s="10"/>
      <c r="Q2558" s="10"/>
      <c r="R2558" s="10"/>
      <c r="S2558" s="10"/>
      <c r="T2558" s="10"/>
      <c r="U2558" s="10"/>
      <c r="V2558" s="10"/>
    </row>
    <row r="2559" ht="22.5" customHeight="1">
      <c r="A2559" s="5">
        <v>2.06046103885E11</v>
      </c>
      <c r="B2559" s="5" t="s">
        <v>2379</v>
      </c>
      <c r="C2559" s="5">
        <v>51965663302</v>
      </c>
      <c r="D2559" s="5" t="s">
        <v>13</v>
      </c>
      <c r="E2559" s="5">
        <v>8.7547393E7</v>
      </c>
      <c r="F2559" s="5" t="s">
        <v>93</v>
      </c>
      <c r="G2559" s="5" t="s">
        <v>15</v>
      </c>
      <c r="H2559" s="5" t="s">
        <v>51</v>
      </c>
      <c r="I2559" s="6" t="s">
        <v>36</v>
      </c>
      <c r="J2559" s="7" t="s">
        <v>34</v>
      </c>
      <c r="K2559" s="7"/>
      <c r="L2559" s="8">
        <v>1.772289347539E12</v>
      </c>
      <c r="M2559" s="9"/>
      <c r="N2559" s="10"/>
      <c r="O2559" s="10"/>
      <c r="P2559" s="10"/>
      <c r="Q2559" s="10"/>
      <c r="R2559" s="10"/>
      <c r="S2559" s="10"/>
      <c r="T2559" s="10"/>
      <c r="U2559" s="10"/>
      <c r="V2559" s="10"/>
    </row>
    <row r="2560" ht="22.5" customHeight="1">
      <c r="A2560" s="5">
        <v>2.0604457746E11</v>
      </c>
      <c r="B2560" s="5" t="s">
        <v>2380</v>
      </c>
      <c r="C2560" s="5">
        <v>51970083419</v>
      </c>
      <c r="D2560" s="5" t="s">
        <v>38</v>
      </c>
      <c r="E2560" s="5">
        <v>8.7547393E7</v>
      </c>
      <c r="F2560" s="5" t="s">
        <v>93</v>
      </c>
      <c r="G2560" s="5" t="s">
        <v>15</v>
      </c>
      <c r="H2560" s="5" t="s">
        <v>74</v>
      </c>
      <c r="I2560" s="6" t="s">
        <v>17</v>
      </c>
      <c r="J2560" s="7" t="s">
        <v>58</v>
      </c>
      <c r="K2560" s="11" t="s">
        <v>59</v>
      </c>
      <c r="L2560" s="8">
        <v>1.772289721539E12</v>
      </c>
      <c r="M2560" s="9"/>
      <c r="N2560" s="10"/>
      <c r="O2560" s="10"/>
      <c r="P2560" s="10"/>
      <c r="Q2560" s="10"/>
      <c r="R2560" s="10"/>
      <c r="S2560" s="10"/>
      <c r="T2560" s="10"/>
      <c r="U2560" s="10"/>
      <c r="V2560" s="10"/>
    </row>
    <row r="2561" ht="22.5" customHeight="1">
      <c r="A2561" s="5">
        <v>2.06055223887E11</v>
      </c>
      <c r="B2561" s="5" t="s">
        <v>2381</v>
      </c>
      <c r="C2561" s="5">
        <v>51923631460</v>
      </c>
      <c r="D2561" s="5" t="s">
        <v>13</v>
      </c>
      <c r="E2561" s="5">
        <v>8.7547393E7</v>
      </c>
      <c r="F2561" s="5" t="s">
        <v>28</v>
      </c>
      <c r="G2561" s="5" t="s">
        <v>32</v>
      </c>
      <c r="H2561" s="5" t="s">
        <v>114</v>
      </c>
      <c r="I2561" s="6" t="s">
        <v>17</v>
      </c>
      <c r="J2561" s="7" t="s">
        <v>25</v>
      </c>
      <c r="K2561" s="7" t="s">
        <v>501</v>
      </c>
      <c r="L2561" s="8">
        <v>1.772289878166E12</v>
      </c>
      <c r="M2561" s="9"/>
      <c r="N2561" s="10"/>
      <c r="O2561" s="10"/>
      <c r="P2561" s="10"/>
      <c r="Q2561" s="10"/>
      <c r="R2561" s="10"/>
      <c r="S2561" s="10"/>
      <c r="T2561" s="10"/>
      <c r="U2561" s="10"/>
      <c r="V2561" s="10"/>
    </row>
    <row r="2562" ht="22.5" customHeight="1">
      <c r="A2562" s="5">
        <v>2.06055149999E11</v>
      </c>
      <c r="B2562" s="5" t="s">
        <v>2382</v>
      </c>
      <c r="C2562" s="5">
        <v>51992797191</v>
      </c>
      <c r="D2562" s="5" t="s">
        <v>13</v>
      </c>
      <c r="E2562" s="5">
        <v>8.7547393E7</v>
      </c>
      <c r="F2562" s="5" t="s">
        <v>14</v>
      </c>
      <c r="G2562" s="5" t="s">
        <v>15</v>
      </c>
      <c r="H2562" s="5" t="s">
        <v>51</v>
      </c>
      <c r="I2562" s="6" t="s">
        <v>17</v>
      </c>
      <c r="J2562" s="7" t="s">
        <v>18</v>
      </c>
      <c r="K2562" s="7" t="s">
        <v>19</v>
      </c>
      <c r="L2562" s="8">
        <v>1.77229018203E12</v>
      </c>
      <c r="M2562" s="9"/>
      <c r="N2562" s="10"/>
      <c r="O2562" s="10"/>
      <c r="P2562" s="10"/>
      <c r="Q2562" s="10"/>
      <c r="R2562" s="10"/>
      <c r="S2562" s="10"/>
      <c r="T2562" s="10"/>
      <c r="U2562" s="10"/>
      <c r="V2562" s="10"/>
    </row>
    <row r="2563" ht="22.5" customHeight="1">
      <c r="A2563" s="5">
        <v>2.06047957623E11</v>
      </c>
      <c r="B2563" s="5" t="s">
        <v>2383</v>
      </c>
      <c r="C2563" s="5">
        <v>51920530897</v>
      </c>
      <c r="D2563" s="5"/>
      <c r="E2563" s="5"/>
      <c r="F2563" s="5" t="s">
        <v>28</v>
      </c>
      <c r="G2563" s="5" t="s">
        <v>15</v>
      </c>
      <c r="H2563" s="5" t="s">
        <v>16</v>
      </c>
      <c r="I2563" s="6" t="s">
        <v>17</v>
      </c>
      <c r="J2563" s="7" t="s">
        <v>18</v>
      </c>
      <c r="K2563" s="7" t="s">
        <v>19</v>
      </c>
      <c r="L2563" s="8">
        <v>1.772291288407E12</v>
      </c>
      <c r="M2563" s="9"/>
      <c r="N2563" s="10"/>
      <c r="O2563" s="10"/>
      <c r="P2563" s="10"/>
      <c r="Q2563" s="10"/>
      <c r="R2563" s="10"/>
      <c r="S2563" s="10"/>
      <c r="T2563" s="10"/>
      <c r="U2563" s="10"/>
      <c r="V2563" s="10"/>
    </row>
    <row r="2564" ht="22.5" customHeight="1">
      <c r="A2564" s="5">
        <v>2.06056469906E11</v>
      </c>
      <c r="B2564" s="5" t="s">
        <v>2384</v>
      </c>
      <c r="C2564" s="5">
        <v>51950988576</v>
      </c>
      <c r="D2564" s="5" t="s">
        <v>22</v>
      </c>
      <c r="E2564" s="5">
        <v>8.0566583E7</v>
      </c>
      <c r="F2564" s="5" t="s">
        <v>28</v>
      </c>
      <c r="G2564" s="5" t="s">
        <v>44</v>
      </c>
      <c r="H2564" s="5" t="s">
        <v>16</v>
      </c>
      <c r="I2564" s="6" t="s">
        <v>17</v>
      </c>
      <c r="J2564" s="7" t="s">
        <v>18</v>
      </c>
      <c r="K2564" s="7" t="s">
        <v>19</v>
      </c>
      <c r="L2564" s="8">
        <v>1.772291452816E12</v>
      </c>
      <c r="M2564" s="9"/>
      <c r="N2564" s="10"/>
      <c r="O2564" s="10"/>
      <c r="P2564" s="10"/>
      <c r="Q2564" s="10"/>
      <c r="R2564" s="10"/>
      <c r="S2564" s="10"/>
      <c r="T2564" s="10"/>
      <c r="U2564" s="10"/>
      <c r="V2564" s="10"/>
    </row>
    <row r="2565" ht="22.5" customHeight="1">
      <c r="A2565" s="5">
        <v>2.06055919901E11</v>
      </c>
      <c r="B2565" s="5" t="s">
        <v>2385</v>
      </c>
      <c r="C2565" s="5">
        <v>51975590299</v>
      </c>
      <c r="D2565" s="5" t="s">
        <v>13</v>
      </c>
      <c r="E2565" s="5">
        <v>8.0566583E7</v>
      </c>
      <c r="F2565" s="5" t="s">
        <v>42</v>
      </c>
      <c r="G2565" s="5" t="s">
        <v>15</v>
      </c>
      <c r="H2565" s="5" t="s">
        <v>51</v>
      </c>
      <c r="I2565" s="6" t="s">
        <v>17</v>
      </c>
      <c r="J2565" s="7" t="s">
        <v>18</v>
      </c>
      <c r="K2565" s="7" t="s">
        <v>19</v>
      </c>
      <c r="L2565" s="8">
        <v>1.772292373056E12</v>
      </c>
      <c r="M2565" s="9"/>
      <c r="N2565" s="10"/>
      <c r="O2565" s="10"/>
      <c r="P2565" s="10"/>
      <c r="Q2565" s="10"/>
      <c r="R2565" s="10"/>
      <c r="S2565" s="10"/>
      <c r="T2565" s="10"/>
      <c r="U2565" s="10"/>
      <c r="V2565" s="10"/>
    </row>
    <row r="2566" ht="22.5" customHeight="1">
      <c r="A2566" s="5">
        <v>1.70823963216E11</v>
      </c>
      <c r="B2566" s="5" t="s">
        <v>2386</v>
      </c>
      <c r="C2566" s="5">
        <v>51992322223</v>
      </c>
      <c r="D2566" s="5" t="s">
        <v>103</v>
      </c>
      <c r="E2566" s="5">
        <v>8.0566583E7</v>
      </c>
      <c r="F2566" s="5" t="s">
        <v>259</v>
      </c>
      <c r="G2566" s="5" t="s">
        <v>79</v>
      </c>
      <c r="H2566" s="5" t="s">
        <v>24</v>
      </c>
      <c r="I2566" s="6" t="s">
        <v>17</v>
      </c>
      <c r="J2566" s="7" t="s">
        <v>34</v>
      </c>
      <c r="K2566" s="7"/>
      <c r="L2566" s="8">
        <v>1.772295476564E12</v>
      </c>
      <c r="M2566" s="9"/>
      <c r="N2566" s="10"/>
      <c r="O2566" s="10"/>
      <c r="P2566" s="10"/>
      <c r="Q2566" s="10"/>
      <c r="R2566" s="10"/>
      <c r="S2566" s="10"/>
      <c r="T2566" s="10"/>
      <c r="U2566" s="10"/>
      <c r="V2566" s="10"/>
    </row>
    <row r="2567" ht="22.5" customHeight="1">
      <c r="A2567" s="5">
        <v>2.06059987232E11</v>
      </c>
      <c r="B2567" s="5" t="s">
        <v>2387</v>
      </c>
      <c r="C2567" s="5">
        <v>5521965637122</v>
      </c>
      <c r="D2567" s="5" t="s">
        <v>22</v>
      </c>
      <c r="E2567" s="5">
        <v>7.9360573E7</v>
      </c>
      <c r="F2567" s="5" t="s">
        <v>259</v>
      </c>
      <c r="G2567" s="5" t="s">
        <v>44</v>
      </c>
      <c r="H2567" s="5" t="s">
        <v>66</v>
      </c>
      <c r="I2567" s="6" t="s">
        <v>17</v>
      </c>
      <c r="J2567" s="7" t="s">
        <v>124</v>
      </c>
      <c r="K2567" s="7" t="s">
        <v>1256</v>
      </c>
      <c r="L2567" s="8">
        <v>1.772295915119E12</v>
      </c>
      <c r="M2567" s="9"/>
      <c r="N2567" s="10"/>
      <c r="O2567" s="10"/>
      <c r="P2567" s="10"/>
      <c r="Q2567" s="10"/>
      <c r="R2567" s="10"/>
      <c r="S2567" s="10"/>
      <c r="T2567" s="10"/>
      <c r="U2567" s="10"/>
      <c r="V2567" s="10"/>
    </row>
    <row r="2568" ht="22.5" customHeight="1">
      <c r="A2568" s="5">
        <v>2.06063801522E11</v>
      </c>
      <c r="B2568" s="5" t="s">
        <v>2388</v>
      </c>
      <c r="C2568" s="5">
        <v>51974032389</v>
      </c>
      <c r="D2568" s="5" t="s">
        <v>13</v>
      </c>
      <c r="E2568" s="5">
        <v>8.0566583E7</v>
      </c>
      <c r="F2568" s="5" t="s">
        <v>510</v>
      </c>
      <c r="G2568" s="5" t="s">
        <v>44</v>
      </c>
      <c r="H2568" s="5" t="s">
        <v>16</v>
      </c>
      <c r="I2568" s="6" t="s">
        <v>17</v>
      </c>
      <c r="J2568" s="7" t="s">
        <v>25</v>
      </c>
      <c r="K2568" s="7"/>
      <c r="L2568" s="8">
        <v>1.7722966478E12</v>
      </c>
      <c r="M2568" s="9"/>
      <c r="N2568" s="10"/>
      <c r="O2568" s="10"/>
      <c r="P2568" s="10"/>
      <c r="Q2568" s="10"/>
      <c r="R2568" s="10"/>
      <c r="S2568" s="10"/>
      <c r="T2568" s="10"/>
      <c r="U2568" s="10"/>
      <c r="V2568" s="10"/>
    </row>
    <row r="2569" ht="22.5" customHeight="1">
      <c r="A2569" s="5">
        <v>2.05511633921E11</v>
      </c>
      <c r="B2569" s="5" t="s">
        <v>2194</v>
      </c>
      <c r="C2569" s="5">
        <v>51979821064</v>
      </c>
      <c r="D2569" s="5" t="s">
        <v>13</v>
      </c>
      <c r="E2569" s="5">
        <v>8.7547393E7</v>
      </c>
      <c r="F2569" s="5" t="s">
        <v>14</v>
      </c>
      <c r="G2569" s="5" t="s">
        <v>15</v>
      </c>
      <c r="H2569" s="5" t="s">
        <v>16</v>
      </c>
      <c r="I2569" s="6" t="s">
        <v>17</v>
      </c>
      <c r="J2569" s="7" t="s">
        <v>34</v>
      </c>
      <c r="K2569" s="7"/>
      <c r="L2569" s="8">
        <v>1.772296983506E12</v>
      </c>
      <c r="M2569" s="9"/>
      <c r="N2569" s="10"/>
      <c r="O2569" s="10"/>
      <c r="P2569" s="10"/>
      <c r="Q2569" s="10"/>
      <c r="R2569" s="10"/>
      <c r="S2569" s="10"/>
      <c r="T2569" s="10"/>
      <c r="U2569" s="10"/>
      <c r="V2569" s="10"/>
    </row>
    <row r="2570" ht="22.5" customHeight="1">
      <c r="A2570" s="5">
        <v>2.06062183702E11</v>
      </c>
      <c r="B2570" s="5" t="s">
        <v>2389</v>
      </c>
      <c r="C2570" s="5">
        <v>51967742527</v>
      </c>
      <c r="D2570" s="5" t="s">
        <v>13</v>
      </c>
      <c r="E2570" s="5">
        <v>8.0566583E7</v>
      </c>
      <c r="F2570" s="5" t="s">
        <v>259</v>
      </c>
      <c r="G2570" s="5" t="s">
        <v>15</v>
      </c>
      <c r="H2570" s="5" t="s">
        <v>66</v>
      </c>
      <c r="I2570" s="6" t="s">
        <v>17</v>
      </c>
      <c r="J2570" s="7" t="s">
        <v>25</v>
      </c>
      <c r="K2570" s="7" t="s">
        <v>501</v>
      </c>
      <c r="L2570" s="8">
        <v>1.772297372687E12</v>
      </c>
      <c r="M2570" s="9"/>
      <c r="N2570" s="10"/>
      <c r="O2570" s="10"/>
      <c r="P2570" s="10"/>
      <c r="Q2570" s="10"/>
      <c r="R2570" s="10"/>
      <c r="S2570" s="10"/>
      <c r="T2570" s="10"/>
      <c r="U2570" s="10"/>
      <c r="V2570" s="10"/>
    </row>
    <row r="2571" ht="22.5" customHeight="1">
      <c r="A2571" s="5">
        <v>2.06064682571E11</v>
      </c>
      <c r="B2571" s="5" t="s">
        <v>2390</v>
      </c>
      <c r="C2571" s="5">
        <v>51987645720</v>
      </c>
      <c r="D2571" s="5" t="s">
        <v>13</v>
      </c>
      <c r="E2571" s="5">
        <v>8.0566583E7</v>
      </c>
      <c r="F2571" s="5" t="s">
        <v>714</v>
      </c>
      <c r="G2571" s="5" t="s">
        <v>15</v>
      </c>
      <c r="H2571" s="5" t="s">
        <v>51</v>
      </c>
      <c r="I2571" s="6" t="s">
        <v>17</v>
      </c>
      <c r="J2571" s="7" t="s">
        <v>18</v>
      </c>
      <c r="K2571" s="7" t="s">
        <v>19</v>
      </c>
      <c r="L2571" s="8">
        <v>1.772298025141E12</v>
      </c>
      <c r="M2571" s="9"/>
      <c r="N2571" s="10"/>
      <c r="O2571" s="10"/>
      <c r="P2571" s="10"/>
      <c r="Q2571" s="10"/>
      <c r="R2571" s="10"/>
      <c r="S2571" s="10"/>
      <c r="T2571" s="10"/>
      <c r="U2571" s="10"/>
      <c r="V2571" s="10"/>
    </row>
    <row r="2572" ht="22.5" customHeight="1">
      <c r="A2572" s="5">
        <v>2.04622430794E11</v>
      </c>
      <c r="B2572" s="5" t="s">
        <v>2391</v>
      </c>
      <c r="C2572" s="5">
        <v>51964777477</v>
      </c>
      <c r="D2572" s="5" t="s">
        <v>22</v>
      </c>
      <c r="E2572" s="5">
        <v>8.0566583E7</v>
      </c>
      <c r="F2572" s="5" t="s">
        <v>14</v>
      </c>
      <c r="G2572" s="5" t="s">
        <v>44</v>
      </c>
      <c r="H2572" s="5" t="s">
        <v>33</v>
      </c>
      <c r="I2572" s="6" t="s">
        <v>17</v>
      </c>
      <c r="J2572" s="7" t="s">
        <v>34</v>
      </c>
      <c r="K2572" s="7"/>
      <c r="L2572" s="8">
        <v>1.772298814218E12</v>
      </c>
      <c r="M2572" s="9"/>
      <c r="N2572" s="10"/>
      <c r="O2572" s="10"/>
      <c r="P2572" s="10"/>
      <c r="Q2572" s="10"/>
      <c r="R2572" s="10"/>
      <c r="S2572" s="10"/>
      <c r="T2572" s="10"/>
      <c r="U2572" s="10"/>
      <c r="V2572" s="10"/>
    </row>
    <row r="2573" ht="22.5" customHeight="1">
      <c r="A2573" s="5">
        <v>2.06067710537E11</v>
      </c>
      <c r="B2573" s="5" t="s">
        <v>2392</v>
      </c>
      <c r="C2573" s="5">
        <v>51906013262</v>
      </c>
      <c r="D2573" s="5" t="s">
        <v>13</v>
      </c>
      <c r="E2573" s="5">
        <v>8.0566583E7</v>
      </c>
      <c r="F2573" s="5" t="s">
        <v>28</v>
      </c>
      <c r="G2573" s="5" t="s">
        <v>15</v>
      </c>
      <c r="H2573" s="5" t="s">
        <v>24</v>
      </c>
      <c r="I2573" s="6" t="s">
        <v>17</v>
      </c>
      <c r="J2573" s="7" t="s">
        <v>18</v>
      </c>
      <c r="K2573" s="7" t="s">
        <v>19</v>
      </c>
      <c r="L2573" s="8">
        <v>1.772299141694E12</v>
      </c>
      <c r="M2573" s="9"/>
      <c r="N2573" s="10"/>
      <c r="O2573" s="10"/>
      <c r="P2573" s="10"/>
      <c r="Q2573" s="10"/>
      <c r="R2573" s="10"/>
      <c r="S2573" s="10"/>
      <c r="T2573" s="10"/>
      <c r="U2573" s="10"/>
      <c r="V2573" s="10"/>
    </row>
    <row r="2574" ht="22.5" customHeight="1">
      <c r="A2574" s="5">
        <v>2.06065996115E11</v>
      </c>
      <c r="B2574" s="5" t="s">
        <v>2393</v>
      </c>
      <c r="C2574" s="5">
        <v>51936826925</v>
      </c>
      <c r="D2574" s="5" t="s">
        <v>13</v>
      </c>
      <c r="E2574" s="5">
        <v>8.0566583E7</v>
      </c>
      <c r="F2574" s="5" t="s">
        <v>42</v>
      </c>
      <c r="G2574" s="5" t="s">
        <v>15</v>
      </c>
      <c r="H2574" s="5" t="s">
        <v>51</v>
      </c>
      <c r="I2574" s="6" t="s">
        <v>36</v>
      </c>
      <c r="J2574" s="7" t="s">
        <v>18</v>
      </c>
      <c r="K2574" s="7" t="s">
        <v>19</v>
      </c>
      <c r="L2574" s="8">
        <v>1.772299296875E12</v>
      </c>
      <c r="M2574" s="9"/>
      <c r="N2574" s="10"/>
      <c r="O2574" s="10"/>
      <c r="P2574" s="10"/>
      <c r="Q2574" s="10"/>
      <c r="R2574" s="10"/>
      <c r="S2574" s="10"/>
      <c r="T2574" s="10"/>
      <c r="U2574" s="10"/>
      <c r="V2574" s="10"/>
    </row>
    <row r="2575" ht="22.5" customHeight="1">
      <c r="A2575" s="5">
        <v>2.06068201002E11</v>
      </c>
      <c r="B2575" s="5" t="s">
        <v>2394</v>
      </c>
      <c r="C2575" s="5">
        <v>51934602389</v>
      </c>
      <c r="D2575" s="5" t="s">
        <v>13</v>
      </c>
      <c r="E2575" s="5">
        <v>8.0566583E7</v>
      </c>
      <c r="F2575" s="5"/>
      <c r="G2575" s="5" t="s">
        <v>15</v>
      </c>
      <c r="H2575" s="5"/>
      <c r="I2575" s="6" t="s">
        <v>17</v>
      </c>
      <c r="J2575" s="7" t="s">
        <v>18</v>
      </c>
      <c r="K2575" s="7" t="s">
        <v>19</v>
      </c>
      <c r="L2575" s="8">
        <v>1.77230023562E12</v>
      </c>
      <c r="M2575" s="9"/>
      <c r="N2575" s="10"/>
      <c r="O2575" s="10"/>
      <c r="P2575" s="10"/>
      <c r="Q2575" s="10"/>
      <c r="R2575" s="10"/>
      <c r="S2575" s="10"/>
      <c r="T2575" s="10"/>
      <c r="U2575" s="10"/>
      <c r="V2575" s="10"/>
    </row>
    <row r="2576" ht="22.5" customHeight="1">
      <c r="A2576" s="5">
        <v>2.06069197442E11</v>
      </c>
      <c r="B2576" s="5" t="s">
        <v>2395</v>
      </c>
      <c r="C2576" s="5">
        <v>51983270730</v>
      </c>
      <c r="D2576" s="5" t="s">
        <v>13</v>
      </c>
      <c r="E2576" s="5">
        <v>8.0566583E7</v>
      </c>
      <c r="F2576" s="5" t="s">
        <v>39</v>
      </c>
      <c r="G2576" s="5" t="s">
        <v>15</v>
      </c>
      <c r="H2576" s="5" t="s">
        <v>51</v>
      </c>
      <c r="I2576" s="6" t="s">
        <v>17</v>
      </c>
      <c r="J2576" s="7" t="s">
        <v>18</v>
      </c>
      <c r="K2576" s="7" t="s">
        <v>19</v>
      </c>
      <c r="L2576" s="8">
        <v>1.772301205731E12</v>
      </c>
      <c r="M2576" s="9"/>
      <c r="N2576" s="10"/>
      <c r="O2576" s="10"/>
      <c r="P2576" s="10"/>
      <c r="Q2576" s="10"/>
      <c r="R2576" s="10"/>
      <c r="S2576" s="10"/>
      <c r="T2576" s="10"/>
      <c r="U2576" s="10"/>
      <c r="V2576" s="10"/>
    </row>
    <row r="2577" ht="22.5" customHeight="1">
      <c r="A2577" s="5">
        <v>2.06068934458E11</v>
      </c>
      <c r="B2577" s="5" t="s">
        <v>2396</v>
      </c>
      <c r="C2577" s="5">
        <v>5584996460619</v>
      </c>
      <c r="D2577" s="5" t="s">
        <v>13</v>
      </c>
      <c r="E2577" s="5">
        <v>7.9360573E7</v>
      </c>
      <c r="F2577" s="5" t="s">
        <v>82</v>
      </c>
      <c r="G2577" s="5" t="s">
        <v>15</v>
      </c>
      <c r="H2577" s="5" t="s">
        <v>33</v>
      </c>
      <c r="I2577" s="6" t="s">
        <v>17</v>
      </c>
      <c r="J2577" s="7" t="s">
        <v>124</v>
      </c>
      <c r="K2577" s="7" t="s">
        <v>125</v>
      </c>
      <c r="L2577" s="8">
        <v>1.772302428139E12</v>
      </c>
      <c r="M2577" s="9"/>
      <c r="N2577" s="10"/>
      <c r="O2577" s="10"/>
      <c r="P2577" s="10"/>
      <c r="Q2577" s="10"/>
      <c r="R2577" s="10"/>
      <c r="S2577" s="10"/>
      <c r="T2577" s="10"/>
      <c r="U2577" s="10"/>
      <c r="V2577" s="10"/>
    </row>
    <row r="2578" ht="22.5" customHeight="1">
      <c r="A2578" s="5">
        <v>2.06068934458E11</v>
      </c>
      <c r="B2578" s="5" t="s">
        <v>2396</v>
      </c>
      <c r="C2578" s="5">
        <v>5584996460619</v>
      </c>
      <c r="D2578" s="5" t="s">
        <v>13</v>
      </c>
      <c r="E2578" s="5">
        <v>7.9360573E7</v>
      </c>
      <c r="F2578" s="5" t="s">
        <v>82</v>
      </c>
      <c r="G2578" s="5" t="s">
        <v>15</v>
      </c>
      <c r="H2578" s="5" t="s">
        <v>33</v>
      </c>
      <c r="I2578" s="6" t="s">
        <v>17</v>
      </c>
      <c r="J2578" s="7" t="s">
        <v>124</v>
      </c>
      <c r="K2578" s="7" t="s">
        <v>125</v>
      </c>
      <c r="L2578" s="8">
        <v>1.772302442762E12</v>
      </c>
      <c r="M2578" s="9"/>
      <c r="N2578" s="10"/>
      <c r="O2578" s="10"/>
      <c r="P2578" s="10"/>
      <c r="Q2578" s="10"/>
      <c r="R2578" s="10"/>
      <c r="S2578" s="10"/>
      <c r="T2578" s="10"/>
      <c r="U2578" s="10"/>
      <c r="V2578" s="10"/>
    </row>
    <row r="2579" ht="22.5" customHeight="1">
      <c r="A2579" s="5">
        <v>2.0607161633E11</v>
      </c>
      <c r="B2579" s="5" t="s">
        <v>2397</v>
      </c>
      <c r="C2579" s="5">
        <v>51931285318</v>
      </c>
      <c r="D2579" s="5" t="s">
        <v>13</v>
      </c>
      <c r="E2579" s="5">
        <v>8.0566583E7</v>
      </c>
      <c r="F2579" s="5" t="s">
        <v>82</v>
      </c>
      <c r="G2579" s="5" t="s">
        <v>15</v>
      </c>
      <c r="H2579" s="5" t="s">
        <v>16</v>
      </c>
      <c r="I2579" s="6" t="s">
        <v>36</v>
      </c>
      <c r="J2579" s="7" t="s">
        <v>18</v>
      </c>
      <c r="K2579" s="7" t="s">
        <v>19</v>
      </c>
      <c r="L2579" s="8">
        <v>1.772304477234E12</v>
      </c>
      <c r="M2579" s="9"/>
      <c r="N2579" s="10"/>
      <c r="O2579" s="10"/>
      <c r="P2579" s="10"/>
      <c r="Q2579" s="10"/>
      <c r="R2579" s="10"/>
      <c r="S2579" s="10"/>
      <c r="T2579" s="10"/>
      <c r="U2579" s="10"/>
      <c r="V2579" s="10"/>
    </row>
    <row r="2580" ht="22.5" customHeight="1">
      <c r="A2580" s="5">
        <v>2.06094805887E11</v>
      </c>
      <c r="B2580" s="5" t="s">
        <v>2398</v>
      </c>
      <c r="C2580" s="5">
        <v>5547992260275</v>
      </c>
      <c r="D2580" s="5" t="s">
        <v>13</v>
      </c>
      <c r="E2580" s="5">
        <v>7.9360573E7</v>
      </c>
      <c r="F2580" s="5" t="s">
        <v>714</v>
      </c>
      <c r="G2580" s="5" t="s">
        <v>15</v>
      </c>
      <c r="H2580" s="5" t="s">
        <v>16</v>
      </c>
      <c r="I2580" s="6" t="s">
        <v>17</v>
      </c>
      <c r="J2580" s="7" t="s">
        <v>34</v>
      </c>
      <c r="K2580" s="7"/>
      <c r="L2580" s="8">
        <v>1.772308487826E12</v>
      </c>
      <c r="M2580" s="9"/>
      <c r="N2580" s="10"/>
      <c r="O2580" s="10"/>
      <c r="P2580" s="10"/>
      <c r="Q2580" s="10"/>
      <c r="R2580" s="10"/>
      <c r="S2580" s="10"/>
      <c r="T2580" s="10"/>
      <c r="U2580" s="10"/>
      <c r="V2580" s="10"/>
    </row>
    <row r="2581" ht="22.5" customHeight="1">
      <c r="A2581" s="5">
        <v>2.06084540562E11</v>
      </c>
      <c r="B2581" s="5" t="s">
        <v>2399</v>
      </c>
      <c r="C2581" s="5">
        <v>51907505066</v>
      </c>
      <c r="D2581" s="5" t="s">
        <v>22</v>
      </c>
      <c r="E2581" s="5">
        <v>8.7547393E7</v>
      </c>
      <c r="F2581" s="5" t="s">
        <v>259</v>
      </c>
      <c r="G2581" s="5" t="s">
        <v>44</v>
      </c>
      <c r="H2581" s="5" t="s">
        <v>1160</v>
      </c>
      <c r="I2581" s="6" t="s">
        <v>36</v>
      </c>
      <c r="J2581" s="7" t="s">
        <v>34</v>
      </c>
      <c r="K2581" s="7"/>
      <c r="L2581" s="8">
        <v>1.772309761089E12</v>
      </c>
      <c r="M2581" s="9"/>
      <c r="N2581" s="10"/>
      <c r="O2581" s="10"/>
      <c r="P2581" s="10"/>
      <c r="Q2581" s="10"/>
      <c r="R2581" s="10"/>
      <c r="S2581" s="10"/>
      <c r="T2581" s="10"/>
      <c r="U2581" s="10"/>
      <c r="V2581" s="10"/>
    </row>
    <row r="2582" ht="22.5" customHeight="1">
      <c r="A2582" s="5">
        <v>2.06092916304E11</v>
      </c>
      <c r="B2582" s="5" t="s">
        <v>2400</v>
      </c>
      <c r="C2582" s="5">
        <v>5598992499277</v>
      </c>
      <c r="D2582" s="5" t="s">
        <v>38</v>
      </c>
      <c r="E2582" s="5">
        <v>7.9360573E7</v>
      </c>
      <c r="F2582" s="5" t="s">
        <v>65</v>
      </c>
      <c r="G2582" s="5" t="s">
        <v>15</v>
      </c>
      <c r="H2582" s="5" t="s">
        <v>2401</v>
      </c>
      <c r="I2582" s="6" t="s">
        <v>63</v>
      </c>
      <c r="J2582" s="7" t="s">
        <v>34</v>
      </c>
      <c r="K2582" s="7"/>
      <c r="L2582" s="8">
        <v>1.772310768653E12</v>
      </c>
      <c r="M2582" s="9"/>
      <c r="N2582" s="10"/>
      <c r="O2582" s="10"/>
      <c r="P2582" s="10"/>
      <c r="Q2582" s="10"/>
      <c r="R2582" s="10"/>
      <c r="S2582" s="10"/>
      <c r="T2582" s="10"/>
      <c r="U2582" s="10"/>
      <c r="V2582" s="10"/>
    </row>
    <row r="2583" ht="22.5" customHeight="1">
      <c r="A2583" s="5">
        <v>2.06097148214E11</v>
      </c>
      <c r="B2583" s="5" t="s">
        <v>2402</v>
      </c>
      <c r="C2583" s="5">
        <v>51970858903</v>
      </c>
      <c r="D2583" s="5" t="s">
        <v>13</v>
      </c>
      <c r="E2583" s="5">
        <v>8.7547393E7</v>
      </c>
      <c r="F2583" s="5"/>
      <c r="G2583" s="5" t="s">
        <v>15</v>
      </c>
      <c r="H2583" s="5" t="s">
        <v>51</v>
      </c>
      <c r="I2583" s="6" t="s">
        <v>63</v>
      </c>
      <c r="J2583" s="7" t="s">
        <v>34</v>
      </c>
      <c r="K2583" s="7"/>
      <c r="L2583" s="8">
        <v>1.772311396469E12</v>
      </c>
      <c r="M2583" s="9"/>
      <c r="N2583" s="10"/>
      <c r="O2583" s="10"/>
      <c r="P2583" s="10"/>
      <c r="Q2583" s="10"/>
      <c r="R2583" s="10"/>
      <c r="S2583" s="10"/>
      <c r="T2583" s="10"/>
      <c r="U2583" s="10"/>
      <c r="V2583" s="10"/>
    </row>
    <row r="2584" ht="22.5" customHeight="1">
      <c r="A2584" s="5">
        <v>2.06088668803E11</v>
      </c>
      <c r="B2584" s="5" t="s">
        <v>2403</v>
      </c>
      <c r="C2584" s="5">
        <v>51904005099</v>
      </c>
      <c r="D2584" s="5" t="s">
        <v>13</v>
      </c>
      <c r="E2584" s="5">
        <v>8.0566583E7</v>
      </c>
      <c r="F2584" s="5" t="s">
        <v>28</v>
      </c>
      <c r="G2584" s="5" t="s">
        <v>32</v>
      </c>
      <c r="H2584" s="5" t="s">
        <v>24</v>
      </c>
      <c r="I2584" s="6" t="s">
        <v>36</v>
      </c>
      <c r="J2584" s="7" t="s">
        <v>18</v>
      </c>
      <c r="K2584" s="7" t="s">
        <v>19</v>
      </c>
      <c r="L2584" s="8">
        <v>1.772313207265E12</v>
      </c>
      <c r="M2584" s="9"/>
      <c r="N2584" s="10"/>
      <c r="O2584" s="10"/>
      <c r="P2584" s="10"/>
      <c r="Q2584" s="10"/>
      <c r="R2584" s="10"/>
      <c r="S2584" s="10"/>
      <c r="T2584" s="10"/>
      <c r="U2584" s="10"/>
      <c r="V2584" s="10"/>
    </row>
    <row r="2585" ht="22.5" customHeight="1">
      <c r="A2585" s="5">
        <v>2.06099854484E11</v>
      </c>
      <c r="B2585" s="5" t="s">
        <v>2404</v>
      </c>
      <c r="C2585" s="5">
        <v>51994324273</v>
      </c>
      <c r="D2585" s="5" t="s">
        <v>13</v>
      </c>
      <c r="E2585" s="5">
        <v>8.7547393E7</v>
      </c>
      <c r="F2585" s="5" t="s">
        <v>39</v>
      </c>
      <c r="G2585" s="5" t="s">
        <v>15</v>
      </c>
      <c r="H2585" s="5" t="s">
        <v>66</v>
      </c>
      <c r="I2585" s="6" t="s">
        <v>17</v>
      </c>
      <c r="J2585" s="7" t="s">
        <v>18</v>
      </c>
      <c r="K2585" s="7" t="s">
        <v>19</v>
      </c>
      <c r="L2585" s="8">
        <v>1.772315039246E12</v>
      </c>
      <c r="M2585" s="9"/>
      <c r="N2585" s="10"/>
      <c r="O2585" s="10"/>
      <c r="P2585" s="10"/>
      <c r="Q2585" s="10"/>
      <c r="R2585" s="10"/>
      <c r="S2585" s="10"/>
      <c r="T2585" s="10"/>
      <c r="U2585" s="10"/>
      <c r="V2585" s="10"/>
    </row>
    <row r="2586" ht="22.5" customHeight="1">
      <c r="A2586" s="5">
        <v>2.06113166151E11</v>
      </c>
      <c r="B2586" s="5" t="s">
        <v>2405</v>
      </c>
      <c r="C2586" s="5">
        <v>51916166760</v>
      </c>
      <c r="D2586" s="5" t="s">
        <v>13</v>
      </c>
      <c r="E2586" s="5">
        <v>8.7547393E7</v>
      </c>
      <c r="F2586" s="5"/>
      <c r="G2586" s="5" t="s">
        <v>15</v>
      </c>
      <c r="H2586" s="5"/>
      <c r="I2586" s="6"/>
      <c r="J2586" s="7" t="s">
        <v>18</v>
      </c>
      <c r="K2586" s="7" t="s">
        <v>19</v>
      </c>
      <c r="L2586" s="8">
        <v>1.772318153524E12</v>
      </c>
      <c r="M2586" s="9"/>
      <c r="N2586" s="10"/>
      <c r="O2586" s="10"/>
      <c r="P2586" s="10"/>
      <c r="Q2586" s="10"/>
      <c r="R2586" s="10"/>
      <c r="S2586" s="10"/>
      <c r="T2586" s="10"/>
      <c r="U2586" s="10"/>
      <c r="V2586" s="10"/>
    </row>
    <row r="2587" ht="22.5" customHeight="1">
      <c r="A2587" s="5">
        <v>1.00751295368E11</v>
      </c>
      <c r="B2587" s="5" t="s">
        <v>2406</v>
      </c>
      <c r="C2587" s="5">
        <v>51960728836</v>
      </c>
      <c r="D2587" s="5" t="s">
        <v>22</v>
      </c>
      <c r="E2587" s="5">
        <v>8.7547393E7</v>
      </c>
      <c r="F2587" s="5" t="s">
        <v>39</v>
      </c>
      <c r="G2587" s="5" t="s">
        <v>44</v>
      </c>
      <c r="H2587" s="5" t="s">
        <v>33</v>
      </c>
      <c r="I2587" s="6" t="s">
        <v>17</v>
      </c>
      <c r="J2587" s="7" t="s">
        <v>34</v>
      </c>
      <c r="K2587" s="7"/>
      <c r="L2587" s="8">
        <v>1.77231869408E12</v>
      </c>
      <c r="M2587" s="9"/>
      <c r="N2587" s="10"/>
      <c r="O2587" s="10"/>
      <c r="P2587" s="10"/>
      <c r="Q2587" s="10"/>
      <c r="R2587" s="10"/>
      <c r="S2587" s="10"/>
      <c r="T2587" s="10"/>
      <c r="U2587" s="10"/>
      <c r="V2587" s="10"/>
    </row>
    <row r="2588" ht="22.5" customHeight="1">
      <c r="A2588" s="5">
        <v>2.06106925847E11</v>
      </c>
      <c r="B2588" s="5" t="s">
        <v>2407</v>
      </c>
      <c r="C2588" s="5">
        <v>51941179606</v>
      </c>
      <c r="D2588" s="5" t="s">
        <v>38</v>
      </c>
      <c r="E2588" s="5">
        <v>8.7547393E7</v>
      </c>
      <c r="F2588" s="5" t="s">
        <v>259</v>
      </c>
      <c r="G2588" s="5" t="s">
        <v>15</v>
      </c>
      <c r="H2588" s="5" t="s">
        <v>16</v>
      </c>
      <c r="I2588" s="6" t="s">
        <v>17</v>
      </c>
      <c r="J2588" s="7" t="s">
        <v>18</v>
      </c>
      <c r="K2588" s="7" t="s">
        <v>19</v>
      </c>
      <c r="L2588" s="8">
        <v>1.772319571572E12</v>
      </c>
      <c r="M2588" s="9"/>
      <c r="N2588" s="10"/>
      <c r="O2588" s="10"/>
      <c r="P2588" s="10"/>
      <c r="Q2588" s="10"/>
      <c r="R2588" s="10"/>
      <c r="S2588" s="10"/>
      <c r="T2588" s="10"/>
      <c r="U2588" s="10"/>
      <c r="V2588" s="10"/>
    </row>
    <row r="2589" ht="22.5" customHeight="1">
      <c r="A2589" s="5">
        <v>2.06107078961E11</v>
      </c>
      <c r="B2589" s="5" t="s">
        <v>2408</v>
      </c>
      <c r="C2589" s="5">
        <v>51975727125</v>
      </c>
      <c r="D2589" s="5" t="s">
        <v>13</v>
      </c>
      <c r="E2589" s="5">
        <v>8.7547393E7</v>
      </c>
      <c r="F2589" s="5" t="s">
        <v>259</v>
      </c>
      <c r="G2589" s="5" t="s">
        <v>15</v>
      </c>
      <c r="H2589" s="5" t="s">
        <v>66</v>
      </c>
      <c r="I2589" s="6" t="s">
        <v>17</v>
      </c>
      <c r="J2589" s="7" t="s">
        <v>18</v>
      </c>
      <c r="K2589" s="7" t="s">
        <v>19</v>
      </c>
      <c r="L2589" s="8">
        <v>1.77231968939E12</v>
      </c>
      <c r="M2589" s="9"/>
      <c r="N2589" s="10"/>
      <c r="O2589" s="10"/>
      <c r="P2589" s="10"/>
      <c r="Q2589" s="10"/>
      <c r="R2589" s="10"/>
      <c r="S2589" s="10"/>
      <c r="T2589" s="10"/>
      <c r="U2589" s="10"/>
      <c r="V2589" s="10"/>
    </row>
    <row r="2590" ht="22.5" customHeight="1">
      <c r="A2590" s="5">
        <v>2.06107662884E11</v>
      </c>
      <c r="B2590" s="5" t="s">
        <v>2409</v>
      </c>
      <c r="C2590" s="5">
        <v>51901423451</v>
      </c>
      <c r="D2590" s="5" t="s">
        <v>13</v>
      </c>
      <c r="E2590" s="5">
        <v>8.7547393E7</v>
      </c>
      <c r="F2590" s="5" t="s">
        <v>39</v>
      </c>
      <c r="G2590" s="5" t="s">
        <v>15</v>
      </c>
      <c r="H2590" s="5" t="s">
        <v>51</v>
      </c>
      <c r="I2590" s="6" t="s">
        <v>17</v>
      </c>
      <c r="J2590" s="7" t="s">
        <v>18</v>
      </c>
      <c r="K2590" s="7" t="s">
        <v>19</v>
      </c>
      <c r="L2590" s="8">
        <v>1.772320966407E12</v>
      </c>
      <c r="M2590" s="9"/>
      <c r="N2590" s="10"/>
      <c r="O2590" s="10"/>
      <c r="P2590" s="10"/>
      <c r="Q2590" s="10"/>
      <c r="R2590" s="10"/>
      <c r="S2590" s="10"/>
      <c r="T2590" s="10"/>
      <c r="U2590" s="10"/>
      <c r="V2590" s="10"/>
    </row>
    <row r="2591" ht="22.5" customHeight="1">
      <c r="A2591" s="5">
        <v>2.06118335815E11</v>
      </c>
      <c r="B2591" s="5" t="s">
        <v>2410</v>
      </c>
      <c r="C2591" s="5">
        <v>51943302401</v>
      </c>
      <c r="D2591" s="5" t="s">
        <v>13</v>
      </c>
      <c r="E2591" s="5">
        <v>8.0566583E7</v>
      </c>
      <c r="F2591" s="5" t="s">
        <v>39</v>
      </c>
      <c r="G2591" s="5" t="s">
        <v>15</v>
      </c>
      <c r="H2591" s="5" t="s">
        <v>88</v>
      </c>
      <c r="I2591" s="6" t="s">
        <v>17</v>
      </c>
      <c r="J2591" s="7" t="s">
        <v>18</v>
      </c>
      <c r="K2591" s="7" t="s">
        <v>19</v>
      </c>
      <c r="L2591" s="8">
        <v>1.772322416362E12</v>
      </c>
      <c r="M2591" s="9"/>
      <c r="N2591" s="10"/>
      <c r="O2591" s="10"/>
      <c r="P2591" s="10"/>
      <c r="Q2591" s="10"/>
      <c r="R2591" s="10"/>
      <c r="S2591" s="10"/>
      <c r="T2591" s="10"/>
      <c r="U2591" s="10"/>
      <c r="V2591" s="10"/>
    </row>
    <row r="2592" ht="22.5" customHeight="1">
      <c r="A2592" s="5">
        <v>1.54725744053E11</v>
      </c>
      <c r="B2592" s="5" t="s">
        <v>2411</v>
      </c>
      <c r="C2592" s="5">
        <v>51981519684</v>
      </c>
      <c r="D2592" s="5" t="s">
        <v>13</v>
      </c>
      <c r="E2592" s="5">
        <v>8.7547393E7</v>
      </c>
      <c r="F2592" s="5" t="s">
        <v>65</v>
      </c>
      <c r="G2592" s="5" t="s">
        <v>15</v>
      </c>
      <c r="H2592" s="5" t="s">
        <v>69</v>
      </c>
      <c r="I2592" s="6" t="s">
        <v>17</v>
      </c>
      <c r="J2592" s="7" t="s">
        <v>18</v>
      </c>
      <c r="K2592" s="7" t="s">
        <v>116</v>
      </c>
      <c r="L2592" s="8">
        <v>1.772323700169E12</v>
      </c>
      <c r="M2592" s="9"/>
      <c r="N2592" s="10"/>
      <c r="O2592" s="10"/>
      <c r="P2592" s="10"/>
      <c r="Q2592" s="10"/>
      <c r="R2592" s="10"/>
      <c r="S2592" s="10"/>
      <c r="T2592" s="10"/>
      <c r="U2592" s="10"/>
      <c r="V2592" s="10"/>
    </row>
    <row r="2593" ht="22.5" customHeight="1">
      <c r="A2593" s="5">
        <v>2.06119171089E11</v>
      </c>
      <c r="B2593" s="5" t="s">
        <v>2412</v>
      </c>
      <c r="C2593" s="5">
        <v>51900968326</v>
      </c>
      <c r="D2593" s="5" t="s">
        <v>38</v>
      </c>
      <c r="E2593" s="5">
        <v>8.7547393E7</v>
      </c>
      <c r="F2593" s="5"/>
      <c r="G2593" s="5"/>
      <c r="H2593" s="5"/>
      <c r="I2593" s="6"/>
      <c r="J2593" s="7" t="s">
        <v>18</v>
      </c>
      <c r="K2593" s="7" t="s">
        <v>19</v>
      </c>
      <c r="L2593" s="8">
        <v>1.772324726909E12</v>
      </c>
      <c r="M2593" s="9"/>
      <c r="N2593" s="10"/>
      <c r="O2593" s="10"/>
      <c r="P2593" s="10"/>
      <c r="Q2593" s="10"/>
      <c r="R2593" s="10"/>
      <c r="S2593" s="10"/>
      <c r="T2593" s="10"/>
      <c r="U2593" s="10"/>
      <c r="V2593" s="10"/>
    </row>
    <row r="2594" ht="22.5" customHeight="1">
      <c r="A2594" s="5">
        <v>2.06122168458E11</v>
      </c>
      <c r="B2594" s="5" t="s">
        <v>2413</v>
      </c>
      <c r="C2594" s="5">
        <v>51962721302</v>
      </c>
      <c r="D2594" s="5" t="s">
        <v>13</v>
      </c>
      <c r="E2594" s="5">
        <v>8.7547393E7</v>
      </c>
      <c r="F2594" s="5" t="s">
        <v>28</v>
      </c>
      <c r="G2594" s="5" t="s">
        <v>15</v>
      </c>
      <c r="H2594" s="5" t="s">
        <v>24</v>
      </c>
      <c r="I2594" s="6" t="s">
        <v>17</v>
      </c>
      <c r="J2594" s="7" t="s">
        <v>18</v>
      </c>
      <c r="K2594" s="7" t="s">
        <v>19</v>
      </c>
      <c r="L2594" s="8">
        <v>1.772324836562E12</v>
      </c>
      <c r="M2594" s="9"/>
      <c r="N2594" s="10"/>
      <c r="O2594" s="10"/>
      <c r="P2594" s="10"/>
      <c r="Q2594" s="10"/>
      <c r="R2594" s="10"/>
      <c r="S2594" s="10"/>
      <c r="T2594" s="10"/>
      <c r="U2594" s="10"/>
      <c r="V2594" s="10"/>
    </row>
    <row r="2595" ht="22.5" customHeight="1">
      <c r="A2595" s="5">
        <v>2.06116937762E11</v>
      </c>
      <c r="B2595" s="5" t="s">
        <v>2414</v>
      </c>
      <c r="C2595" s="5">
        <v>5531986275355</v>
      </c>
      <c r="D2595" s="5" t="s">
        <v>13</v>
      </c>
      <c r="E2595" s="5">
        <v>7.9360573E7</v>
      </c>
      <c r="F2595" s="5" t="s">
        <v>39</v>
      </c>
      <c r="G2595" s="5" t="s">
        <v>15</v>
      </c>
      <c r="H2595" s="5" t="s">
        <v>33</v>
      </c>
      <c r="I2595" s="6" t="s">
        <v>17</v>
      </c>
      <c r="J2595" s="7" t="s">
        <v>58</v>
      </c>
      <c r="K2595" s="11" t="s">
        <v>59</v>
      </c>
      <c r="L2595" s="8">
        <v>1.77232608946E12</v>
      </c>
      <c r="M2595" s="9"/>
      <c r="N2595" s="10"/>
      <c r="O2595" s="10"/>
      <c r="P2595" s="10"/>
      <c r="Q2595" s="10"/>
      <c r="R2595" s="10"/>
      <c r="S2595" s="10"/>
      <c r="T2595" s="10"/>
      <c r="U2595" s="10"/>
      <c r="V2595" s="10"/>
    </row>
    <row r="2596" ht="22.5" customHeight="1">
      <c r="A2596" s="5">
        <v>1.5580722437E11</v>
      </c>
      <c r="B2596" s="5" t="s">
        <v>2415</v>
      </c>
      <c r="C2596" s="5">
        <v>51966400398</v>
      </c>
      <c r="D2596" s="5" t="s">
        <v>13</v>
      </c>
      <c r="E2596" s="5">
        <v>8.0566583E7</v>
      </c>
      <c r="F2596" s="5" t="s">
        <v>65</v>
      </c>
      <c r="G2596" s="5" t="s">
        <v>15</v>
      </c>
      <c r="H2596" s="5" t="s">
        <v>80</v>
      </c>
      <c r="I2596" s="6" t="s">
        <v>17</v>
      </c>
      <c r="J2596" s="7" t="s">
        <v>34</v>
      </c>
      <c r="K2596" s="7"/>
      <c r="L2596" s="8">
        <v>1.772326306274E12</v>
      </c>
      <c r="M2596" s="9"/>
      <c r="N2596" s="10"/>
      <c r="O2596" s="10"/>
      <c r="P2596" s="10"/>
      <c r="Q2596" s="10"/>
      <c r="R2596" s="10"/>
      <c r="S2596" s="10"/>
      <c r="T2596" s="10"/>
      <c r="U2596" s="10"/>
      <c r="V2596" s="10"/>
    </row>
    <row r="2597" ht="22.5" customHeight="1">
      <c r="A2597" s="5">
        <v>2.06135311783E11</v>
      </c>
      <c r="B2597" s="5" t="s">
        <v>2416</v>
      </c>
      <c r="C2597" s="5">
        <v>51916143446</v>
      </c>
      <c r="D2597" s="5" t="s">
        <v>13</v>
      </c>
      <c r="E2597" s="5">
        <v>8.7547393E7</v>
      </c>
      <c r="F2597" s="5" t="s">
        <v>39</v>
      </c>
      <c r="G2597" s="5" t="s">
        <v>15</v>
      </c>
      <c r="H2597" s="5" t="s">
        <v>51</v>
      </c>
      <c r="I2597" s="6" t="s">
        <v>148</v>
      </c>
      <c r="J2597" s="7" t="s">
        <v>18</v>
      </c>
      <c r="K2597" s="7" t="s">
        <v>19</v>
      </c>
      <c r="L2597" s="8">
        <v>1.772330112279E12</v>
      </c>
      <c r="M2597" s="9"/>
      <c r="N2597" s="10"/>
      <c r="O2597" s="10"/>
      <c r="P2597" s="10"/>
      <c r="Q2597" s="10"/>
      <c r="R2597" s="10"/>
      <c r="S2597" s="10"/>
      <c r="T2597" s="10"/>
      <c r="U2597" s="10"/>
      <c r="V2597" s="10"/>
    </row>
    <row r="2598" ht="22.5" customHeight="1">
      <c r="A2598" s="5">
        <v>2.06127626059E11</v>
      </c>
      <c r="B2598" s="5" t="s">
        <v>2417</v>
      </c>
      <c r="C2598" s="5">
        <v>5561995537516</v>
      </c>
      <c r="D2598" s="5" t="s">
        <v>22</v>
      </c>
      <c r="E2598" s="5">
        <v>7.9360573E7</v>
      </c>
      <c r="F2598" s="5" t="s">
        <v>28</v>
      </c>
      <c r="G2598" s="5" t="s">
        <v>44</v>
      </c>
      <c r="H2598" s="5" t="s">
        <v>16</v>
      </c>
      <c r="I2598" s="6" t="s">
        <v>17</v>
      </c>
      <c r="J2598" s="7" t="s">
        <v>34</v>
      </c>
      <c r="K2598" s="7"/>
      <c r="L2598" s="8">
        <v>1.772332296947E12</v>
      </c>
      <c r="M2598" s="9"/>
      <c r="N2598" s="10"/>
      <c r="O2598" s="10"/>
      <c r="P2598" s="10"/>
      <c r="Q2598" s="10"/>
      <c r="R2598" s="10"/>
      <c r="S2598" s="10"/>
      <c r="T2598" s="10"/>
      <c r="U2598" s="10"/>
      <c r="V2598" s="10"/>
    </row>
    <row r="2599" ht="22.5" customHeight="1">
      <c r="A2599" s="5">
        <v>2.06129074732E11</v>
      </c>
      <c r="B2599" s="5" t="s">
        <v>2418</v>
      </c>
      <c r="C2599" s="5">
        <v>51945202873</v>
      </c>
      <c r="D2599" s="5" t="s">
        <v>13</v>
      </c>
      <c r="E2599" s="5">
        <v>8.7547393E7</v>
      </c>
      <c r="F2599" s="5" t="s">
        <v>714</v>
      </c>
      <c r="G2599" s="5" t="s">
        <v>15</v>
      </c>
      <c r="H2599" s="5" t="s">
        <v>69</v>
      </c>
      <c r="I2599" s="6" t="s">
        <v>36</v>
      </c>
      <c r="J2599" s="7" t="s">
        <v>18</v>
      </c>
      <c r="K2599" s="7" t="s">
        <v>19</v>
      </c>
      <c r="L2599" s="8">
        <v>1.772332536195E12</v>
      </c>
      <c r="M2599" s="9"/>
      <c r="N2599" s="10"/>
      <c r="O2599" s="10"/>
      <c r="P2599" s="10"/>
      <c r="Q2599" s="10"/>
      <c r="R2599" s="10"/>
      <c r="S2599" s="10"/>
      <c r="T2599" s="10"/>
      <c r="U2599" s="10"/>
      <c r="V2599" s="10"/>
    </row>
    <row r="2600" ht="22.5" customHeight="1">
      <c r="A2600" s="5">
        <v>2.06130337917E11</v>
      </c>
      <c r="B2600" s="5" t="s">
        <v>2419</v>
      </c>
      <c r="C2600" s="5">
        <v>5541992539713</v>
      </c>
      <c r="D2600" s="5" t="s">
        <v>13</v>
      </c>
      <c r="E2600" s="5">
        <v>7.9360573E7</v>
      </c>
      <c r="F2600" s="5" t="s">
        <v>259</v>
      </c>
      <c r="G2600" s="5" t="s">
        <v>32</v>
      </c>
      <c r="H2600" s="5" t="s">
        <v>16</v>
      </c>
      <c r="I2600" s="6" t="s">
        <v>17</v>
      </c>
      <c r="J2600" s="7" t="s">
        <v>18</v>
      </c>
      <c r="K2600" s="7" t="s">
        <v>45</v>
      </c>
      <c r="L2600" s="8">
        <v>1.772335500004E12</v>
      </c>
      <c r="M2600" s="9"/>
      <c r="N2600" s="10"/>
      <c r="O2600" s="10"/>
      <c r="P2600" s="10"/>
      <c r="Q2600" s="10"/>
      <c r="R2600" s="10"/>
      <c r="S2600" s="10"/>
      <c r="T2600" s="10"/>
      <c r="U2600" s="10"/>
      <c r="V2600" s="10"/>
    </row>
    <row r="2601" ht="22.5" customHeight="1">
      <c r="A2601" s="5">
        <v>2.06131289202E11</v>
      </c>
      <c r="B2601" s="5" t="s">
        <v>2420</v>
      </c>
      <c r="C2601" s="5">
        <v>5567992958888</v>
      </c>
      <c r="D2601" s="5" t="s">
        <v>103</v>
      </c>
      <c r="E2601" s="5">
        <v>7.9360573E7</v>
      </c>
      <c r="F2601" s="5" t="s">
        <v>93</v>
      </c>
      <c r="G2601" s="5" t="s">
        <v>104</v>
      </c>
      <c r="H2601" s="5" t="s">
        <v>114</v>
      </c>
      <c r="I2601" s="6" t="s">
        <v>17</v>
      </c>
      <c r="J2601" s="7" t="s">
        <v>124</v>
      </c>
      <c r="K2601" s="7" t="s">
        <v>1256</v>
      </c>
      <c r="L2601" s="8">
        <v>1.772335780464E12</v>
      </c>
      <c r="M2601" s="9"/>
      <c r="N2601" s="10"/>
      <c r="O2601" s="10"/>
      <c r="P2601" s="10"/>
      <c r="Q2601" s="10"/>
      <c r="R2601" s="10"/>
      <c r="S2601" s="10"/>
      <c r="T2601" s="10"/>
      <c r="U2601" s="10"/>
      <c r="V2601" s="10"/>
    </row>
    <row r="2602" ht="22.5" customHeight="1">
      <c r="A2602" s="5">
        <v>1.36324252702E11</v>
      </c>
      <c r="B2602" s="5" t="s">
        <v>2421</v>
      </c>
      <c r="C2602" s="5">
        <v>51902533223</v>
      </c>
      <c r="D2602" s="5" t="s">
        <v>38</v>
      </c>
      <c r="E2602" s="5"/>
      <c r="F2602" s="5"/>
      <c r="G2602" s="5"/>
      <c r="H2602" s="5"/>
      <c r="I2602" s="6"/>
      <c r="J2602" s="7" t="s">
        <v>18</v>
      </c>
      <c r="K2602" s="7" t="s">
        <v>116</v>
      </c>
      <c r="L2602" s="8">
        <v>1.772336211721E12</v>
      </c>
      <c r="M2602" s="9"/>
      <c r="N2602" s="10"/>
      <c r="O2602" s="10"/>
      <c r="P2602" s="10"/>
      <c r="Q2602" s="10"/>
      <c r="R2602" s="10"/>
      <c r="S2602" s="10"/>
      <c r="T2602" s="10"/>
      <c r="U2602" s="10"/>
      <c r="V2602" s="10"/>
    </row>
    <row r="2603" ht="22.5" customHeight="1">
      <c r="A2603" s="5">
        <v>2.06139740037E11</v>
      </c>
      <c r="B2603" s="5" t="s">
        <v>2422</v>
      </c>
      <c r="C2603" s="5">
        <v>51930140046</v>
      </c>
      <c r="D2603" s="5" t="s">
        <v>13</v>
      </c>
      <c r="E2603" s="5">
        <v>8.0566583E7</v>
      </c>
      <c r="F2603" s="5" t="s">
        <v>259</v>
      </c>
      <c r="G2603" s="5" t="s">
        <v>15</v>
      </c>
      <c r="H2603" s="5" t="s">
        <v>16</v>
      </c>
      <c r="I2603" s="6" t="s">
        <v>17</v>
      </c>
      <c r="J2603" s="7" t="s">
        <v>18</v>
      </c>
      <c r="K2603" s="7" t="s">
        <v>19</v>
      </c>
      <c r="L2603" s="8">
        <v>1.772337016626E12</v>
      </c>
      <c r="M2603" s="9"/>
      <c r="N2603" s="10"/>
      <c r="O2603" s="10"/>
      <c r="P2603" s="10"/>
      <c r="Q2603" s="10"/>
      <c r="R2603" s="10"/>
      <c r="S2603" s="10"/>
      <c r="T2603" s="10"/>
      <c r="U2603" s="10"/>
      <c r="V2603" s="10"/>
    </row>
    <row r="2604" ht="22.5" customHeight="1">
      <c r="A2604" s="5">
        <v>1.96487560991E11</v>
      </c>
      <c r="B2604" s="5" t="s">
        <v>2423</v>
      </c>
      <c r="C2604" s="5">
        <v>51970584783</v>
      </c>
      <c r="D2604" s="5" t="s">
        <v>22</v>
      </c>
      <c r="E2604" s="5">
        <v>8.7547393E7</v>
      </c>
      <c r="F2604" s="5" t="s">
        <v>39</v>
      </c>
      <c r="G2604" s="5" t="s">
        <v>79</v>
      </c>
      <c r="H2604" s="5" t="s">
        <v>51</v>
      </c>
      <c r="I2604" s="6" t="s">
        <v>17</v>
      </c>
      <c r="J2604" s="7" t="s">
        <v>18</v>
      </c>
      <c r="K2604" s="7" t="s">
        <v>19</v>
      </c>
      <c r="L2604" s="8">
        <v>1.772338474718E12</v>
      </c>
      <c r="M2604" s="9"/>
      <c r="N2604" s="10"/>
      <c r="O2604" s="10"/>
      <c r="P2604" s="10"/>
      <c r="Q2604" s="10"/>
      <c r="R2604" s="10"/>
      <c r="S2604" s="10"/>
      <c r="T2604" s="10"/>
      <c r="U2604" s="10"/>
      <c r="V2604" s="10"/>
    </row>
    <row r="2605" ht="22.5" customHeight="1">
      <c r="A2605" s="5">
        <v>2.06139043079E11</v>
      </c>
      <c r="B2605" s="5" t="s">
        <v>2424</v>
      </c>
      <c r="C2605" s="5">
        <v>5588996279985</v>
      </c>
      <c r="D2605" s="5" t="s">
        <v>38</v>
      </c>
      <c r="E2605" s="5">
        <v>7.9360573E7</v>
      </c>
      <c r="F2605" s="5" t="s">
        <v>42</v>
      </c>
      <c r="G2605" s="5" t="s">
        <v>15</v>
      </c>
      <c r="H2605" s="5" t="s">
        <v>997</v>
      </c>
      <c r="I2605" s="6" t="s">
        <v>17</v>
      </c>
      <c r="J2605" s="7" t="s">
        <v>34</v>
      </c>
      <c r="K2605" s="7"/>
      <c r="L2605" s="8">
        <v>1.772339374828E12</v>
      </c>
      <c r="M2605" s="9"/>
      <c r="N2605" s="10"/>
      <c r="O2605" s="10"/>
      <c r="P2605" s="10"/>
      <c r="Q2605" s="10"/>
      <c r="R2605" s="10"/>
      <c r="S2605" s="10"/>
      <c r="T2605" s="10"/>
      <c r="U2605" s="10"/>
      <c r="V2605" s="10"/>
    </row>
    <row r="2606" ht="22.5" customHeight="1">
      <c r="A2606" s="5">
        <v>2.06143019294E11</v>
      </c>
      <c r="B2606" s="5" t="s">
        <v>2425</v>
      </c>
      <c r="C2606" s="5">
        <v>51992384372</v>
      </c>
      <c r="D2606" s="5" t="s">
        <v>13</v>
      </c>
      <c r="E2606" s="5">
        <v>8.7547393E7</v>
      </c>
      <c r="F2606" s="5" t="s">
        <v>39</v>
      </c>
      <c r="G2606" s="5" t="s">
        <v>15</v>
      </c>
      <c r="H2606" s="5" t="s">
        <v>24</v>
      </c>
      <c r="I2606" s="6" t="s">
        <v>17</v>
      </c>
      <c r="J2606" s="7" t="s">
        <v>25</v>
      </c>
      <c r="K2606" s="7" t="s">
        <v>501</v>
      </c>
      <c r="L2606" s="8">
        <v>1.772339388578E12</v>
      </c>
      <c r="M2606" s="9"/>
      <c r="N2606" s="10"/>
      <c r="O2606" s="10"/>
      <c r="P2606" s="10"/>
      <c r="Q2606" s="10"/>
      <c r="R2606" s="10"/>
      <c r="S2606" s="10"/>
      <c r="T2606" s="10"/>
      <c r="U2606" s="10"/>
      <c r="V2606" s="10"/>
    </row>
    <row r="2607" ht="22.5" customHeight="1">
      <c r="A2607" s="5">
        <v>2.06144183336E11</v>
      </c>
      <c r="B2607" s="5" t="s">
        <v>2426</v>
      </c>
      <c r="C2607" s="5">
        <v>51976201880</v>
      </c>
      <c r="D2607" s="5" t="s">
        <v>22</v>
      </c>
      <c r="E2607" s="5">
        <v>8.0566583E7</v>
      </c>
      <c r="F2607" s="5" t="s">
        <v>93</v>
      </c>
      <c r="G2607" s="5" t="s">
        <v>32</v>
      </c>
      <c r="H2607" s="5" t="s">
        <v>2427</v>
      </c>
      <c r="I2607" s="6" t="s">
        <v>17</v>
      </c>
      <c r="J2607" s="7" t="s">
        <v>58</v>
      </c>
      <c r="K2607" s="11" t="s">
        <v>59</v>
      </c>
      <c r="L2607" s="8">
        <v>1.772339408156E12</v>
      </c>
      <c r="M2607" s="9"/>
      <c r="N2607" s="10"/>
      <c r="O2607" s="10"/>
      <c r="P2607" s="10"/>
      <c r="Q2607" s="10"/>
      <c r="R2607" s="10"/>
      <c r="S2607" s="10"/>
      <c r="T2607" s="10"/>
      <c r="U2607" s="10"/>
      <c r="V2607" s="10"/>
    </row>
    <row r="2608" ht="22.5" customHeight="1">
      <c r="A2608" s="5">
        <v>2.06142705041E11</v>
      </c>
      <c r="B2608" s="5" t="s">
        <v>2428</v>
      </c>
      <c r="C2608" s="5">
        <v>51910505282</v>
      </c>
      <c r="D2608" s="5" t="s">
        <v>38</v>
      </c>
      <c r="E2608" s="5">
        <v>8.0566583E7</v>
      </c>
      <c r="F2608" s="5"/>
      <c r="G2608" s="5"/>
      <c r="H2608" s="5"/>
      <c r="I2608" s="6"/>
      <c r="J2608" s="7" t="s">
        <v>34</v>
      </c>
      <c r="K2608" s="7"/>
      <c r="L2608" s="8">
        <v>1.772339756099E12</v>
      </c>
      <c r="M2608" s="9"/>
      <c r="N2608" s="10"/>
      <c r="O2608" s="10"/>
      <c r="P2608" s="10"/>
      <c r="Q2608" s="10"/>
      <c r="R2608" s="10"/>
      <c r="S2608" s="10"/>
      <c r="T2608" s="10"/>
      <c r="U2608" s="10"/>
      <c r="V2608" s="10"/>
    </row>
    <row r="2609" ht="22.5" customHeight="1">
      <c r="A2609" s="5">
        <v>2.06146101653E11</v>
      </c>
      <c r="B2609" s="5" t="s">
        <v>2429</v>
      </c>
      <c r="C2609" s="5">
        <v>51931147559</v>
      </c>
      <c r="D2609" s="5" t="s">
        <v>13</v>
      </c>
      <c r="E2609" s="5">
        <v>8.7547393E7</v>
      </c>
      <c r="F2609" s="5" t="s">
        <v>259</v>
      </c>
      <c r="G2609" s="5" t="s">
        <v>15</v>
      </c>
      <c r="H2609" s="5" t="s">
        <v>66</v>
      </c>
      <c r="I2609" s="6" t="s">
        <v>49</v>
      </c>
      <c r="J2609" s="7" t="s">
        <v>18</v>
      </c>
      <c r="K2609" s="7" t="s">
        <v>19</v>
      </c>
      <c r="L2609" s="8">
        <v>1.772340347445E12</v>
      </c>
      <c r="M2609" s="9"/>
      <c r="N2609" s="10"/>
      <c r="O2609" s="10"/>
      <c r="P2609" s="10"/>
      <c r="Q2609" s="10"/>
      <c r="R2609" s="10"/>
      <c r="S2609" s="10"/>
      <c r="T2609" s="10"/>
      <c r="U2609" s="10"/>
      <c r="V2609" s="10"/>
    </row>
    <row r="2610" ht="22.5" customHeight="1">
      <c r="A2610" s="5">
        <v>2.06155458698E11</v>
      </c>
      <c r="B2610" s="5" t="s">
        <v>2430</v>
      </c>
      <c r="C2610" s="5">
        <v>51970550476</v>
      </c>
      <c r="D2610" s="5" t="s">
        <v>13</v>
      </c>
      <c r="E2610" s="5">
        <v>8.0566583E7</v>
      </c>
      <c r="F2610" s="5" t="s">
        <v>28</v>
      </c>
      <c r="G2610" s="5" t="s">
        <v>15</v>
      </c>
      <c r="H2610" s="5" t="s">
        <v>51</v>
      </c>
      <c r="I2610" s="6" t="s">
        <v>17</v>
      </c>
      <c r="J2610" s="7" t="s">
        <v>18</v>
      </c>
      <c r="K2610" s="7" t="s">
        <v>19</v>
      </c>
      <c r="L2610" s="8">
        <v>1.772340760174E12</v>
      </c>
      <c r="M2610" s="9"/>
      <c r="N2610" s="10"/>
      <c r="O2610" s="10"/>
      <c r="P2610" s="10"/>
      <c r="Q2610" s="10"/>
      <c r="R2610" s="10"/>
      <c r="S2610" s="10"/>
      <c r="T2610" s="10"/>
      <c r="U2610" s="10"/>
      <c r="V2610" s="10"/>
    </row>
    <row r="2611" ht="22.5" customHeight="1">
      <c r="A2611" s="5">
        <v>2.06145239348E11</v>
      </c>
      <c r="B2611" s="5" t="s">
        <v>2431</v>
      </c>
      <c r="C2611" s="5">
        <v>51961570611</v>
      </c>
      <c r="D2611" s="5" t="s">
        <v>13</v>
      </c>
      <c r="E2611" s="5">
        <v>8.0566583E7</v>
      </c>
      <c r="F2611" s="5" t="s">
        <v>42</v>
      </c>
      <c r="G2611" s="5" t="s">
        <v>15</v>
      </c>
      <c r="H2611" s="5" t="s">
        <v>51</v>
      </c>
      <c r="I2611" s="6" t="s">
        <v>17</v>
      </c>
      <c r="J2611" s="7" t="s">
        <v>18</v>
      </c>
      <c r="K2611" s="7" t="s">
        <v>19</v>
      </c>
      <c r="L2611" s="8">
        <v>1.772340835021E12</v>
      </c>
      <c r="M2611" s="9"/>
      <c r="N2611" s="10"/>
      <c r="O2611" s="10"/>
      <c r="P2611" s="10"/>
      <c r="Q2611" s="10"/>
      <c r="R2611" s="10"/>
      <c r="S2611" s="10"/>
      <c r="T2611" s="10"/>
      <c r="U2611" s="10"/>
      <c r="V2611" s="10"/>
    </row>
    <row r="2612" ht="22.5" customHeight="1">
      <c r="A2612" s="5">
        <v>1.91506090025E11</v>
      </c>
      <c r="B2612" s="5" t="s">
        <v>2432</v>
      </c>
      <c r="C2612" s="5">
        <v>51947068949</v>
      </c>
      <c r="D2612" s="5" t="s">
        <v>13</v>
      </c>
      <c r="E2612" s="5"/>
      <c r="F2612" s="5" t="s">
        <v>39</v>
      </c>
      <c r="G2612" s="5" t="s">
        <v>15</v>
      </c>
      <c r="H2612" s="5" t="s">
        <v>80</v>
      </c>
      <c r="I2612" s="6" t="s">
        <v>36</v>
      </c>
      <c r="J2612" s="7" t="s">
        <v>34</v>
      </c>
      <c r="K2612" s="7"/>
      <c r="L2612" s="8">
        <v>1.772344044359E12</v>
      </c>
      <c r="M2612" s="9"/>
      <c r="N2612" s="10"/>
      <c r="O2612" s="10"/>
      <c r="P2612" s="10"/>
      <c r="Q2612" s="10"/>
      <c r="R2612" s="10"/>
      <c r="S2612" s="10"/>
      <c r="T2612" s="10"/>
      <c r="U2612" s="10"/>
      <c r="V2612" s="10"/>
    </row>
    <row r="2613" ht="22.5" customHeight="1">
      <c r="A2613" s="5">
        <v>2.06161061675E11</v>
      </c>
      <c r="B2613" s="5" t="s">
        <v>2433</v>
      </c>
      <c r="C2613" s="5">
        <v>51960239445</v>
      </c>
      <c r="D2613" s="5" t="s">
        <v>13</v>
      </c>
      <c r="E2613" s="5">
        <v>8.0566583E7</v>
      </c>
      <c r="F2613" s="5" t="s">
        <v>39</v>
      </c>
      <c r="G2613" s="5" t="s">
        <v>15</v>
      </c>
      <c r="H2613" s="5" t="s">
        <v>69</v>
      </c>
      <c r="I2613" s="6" t="s">
        <v>36</v>
      </c>
      <c r="J2613" s="7" t="s">
        <v>18</v>
      </c>
      <c r="K2613" s="7" t="s">
        <v>19</v>
      </c>
      <c r="L2613" s="8">
        <v>1.7723493574E12</v>
      </c>
      <c r="M2613" s="9"/>
      <c r="N2613" s="10"/>
      <c r="O2613" s="10"/>
      <c r="P2613" s="10"/>
      <c r="Q2613" s="10"/>
      <c r="R2613" s="10"/>
      <c r="S2613" s="10"/>
      <c r="T2613" s="10"/>
      <c r="U2613" s="10"/>
      <c r="V2613" s="10"/>
    </row>
    <row r="2614" ht="22.5" customHeight="1">
      <c r="A2614" s="5">
        <v>2.06165111658E11</v>
      </c>
      <c r="B2614" s="5" t="s">
        <v>2434</v>
      </c>
      <c r="C2614" s="5">
        <v>5511963860439</v>
      </c>
      <c r="D2614" s="5" t="s">
        <v>38</v>
      </c>
      <c r="E2614" s="5">
        <v>7.9360573E7</v>
      </c>
      <c r="F2614" s="5"/>
      <c r="G2614" s="5"/>
      <c r="H2614" s="5"/>
      <c r="I2614" s="6"/>
      <c r="J2614" s="7" t="s">
        <v>124</v>
      </c>
      <c r="K2614" s="7" t="s">
        <v>1256</v>
      </c>
      <c r="L2614" s="8">
        <v>1.77235117722E12</v>
      </c>
      <c r="M2614" s="9"/>
      <c r="N2614" s="10"/>
      <c r="O2614" s="10"/>
      <c r="P2614" s="10"/>
      <c r="Q2614" s="10"/>
      <c r="R2614" s="10"/>
      <c r="S2614" s="10"/>
      <c r="T2614" s="10"/>
      <c r="U2614" s="10"/>
      <c r="V2614" s="10"/>
    </row>
    <row r="2615" ht="22.5" customHeight="1">
      <c r="A2615" s="5">
        <v>1.86751915313E11</v>
      </c>
      <c r="B2615" s="5" t="s">
        <v>2435</v>
      </c>
      <c r="C2615" s="5">
        <v>5511985897774</v>
      </c>
      <c r="D2615" s="5" t="s">
        <v>13</v>
      </c>
      <c r="E2615" s="5">
        <v>7.9360573E7</v>
      </c>
      <c r="F2615" s="5" t="s">
        <v>28</v>
      </c>
      <c r="G2615" s="5" t="s">
        <v>15</v>
      </c>
      <c r="H2615" s="5" t="s">
        <v>16</v>
      </c>
      <c r="I2615" s="6" t="s">
        <v>17</v>
      </c>
      <c r="J2615" s="7" t="s">
        <v>34</v>
      </c>
      <c r="K2615" s="7"/>
      <c r="L2615" s="8">
        <v>1.772352593796E12</v>
      </c>
      <c r="M2615" s="9"/>
      <c r="N2615" s="10"/>
      <c r="O2615" s="10"/>
      <c r="P2615" s="10"/>
      <c r="Q2615" s="10"/>
      <c r="R2615" s="10"/>
      <c r="S2615" s="10"/>
      <c r="T2615" s="10"/>
      <c r="U2615" s="10"/>
      <c r="V2615" s="10"/>
    </row>
    <row r="2616" ht="22.5" customHeight="1">
      <c r="A2616" s="5">
        <v>2.06177942551E11</v>
      </c>
      <c r="B2616" s="5" t="s">
        <v>2436</v>
      </c>
      <c r="C2616" s="5">
        <v>51947898800</v>
      </c>
      <c r="D2616" s="5" t="s">
        <v>13</v>
      </c>
      <c r="E2616" s="5">
        <v>8.7547393E7</v>
      </c>
      <c r="F2616" s="5" t="s">
        <v>93</v>
      </c>
      <c r="G2616" s="5" t="s">
        <v>15</v>
      </c>
      <c r="H2616" s="5" t="s">
        <v>51</v>
      </c>
      <c r="I2616" s="6" t="s">
        <v>17</v>
      </c>
      <c r="J2616" s="7" t="s">
        <v>18</v>
      </c>
      <c r="K2616" s="7" t="s">
        <v>19</v>
      </c>
      <c r="L2616" s="8">
        <v>1.77235358811E12</v>
      </c>
      <c r="M2616" s="9"/>
      <c r="N2616" s="10"/>
      <c r="O2616" s="10"/>
      <c r="P2616" s="10"/>
      <c r="Q2616" s="10"/>
      <c r="R2616" s="10"/>
      <c r="S2616" s="10"/>
      <c r="T2616" s="10"/>
      <c r="U2616" s="10"/>
      <c r="V2616" s="10"/>
    </row>
    <row r="2617" ht="22.5" customHeight="1">
      <c r="A2617" s="5">
        <v>2.06166260842E11</v>
      </c>
      <c r="B2617" s="5" t="s">
        <v>2437</v>
      </c>
      <c r="C2617" s="5">
        <v>51976342155</v>
      </c>
      <c r="D2617" s="5" t="s">
        <v>13</v>
      </c>
      <c r="E2617" s="5">
        <v>8.0566583E7</v>
      </c>
      <c r="F2617" s="5" t="s">
        <v>28</v>
      </c>
      <c r="G2617" s="5" t="s">
        <v>15</v>
      </c>
      <c r="H2617" s="5" t="s">
        <v>33</v>
      </c>
      <c r="I2617" s="6" t="s">
        <v>17</v>
      </c>
      <c r="J2617" s="7" t="s">
        <v>18</v>
      </c>
      <c r="K2617" s="7" t="s">
        <v>19</v>
      </c>
      <c r="L2617" s="8">
        <v>1.772353914071E12</v>
      </c>
      <c r="M2617" s="9"/>
      <c r="N2617" s="10"/>
      <c r="O2617" s="10"/>
      <c r="P2617" s="10"/>
      <c r="Q2617" s="10"/>
      <c r="R2617" s="10"/>
      <c r="S2617" s="10"/>
      <c r="T2617" s="10"/>
      <c r="U2617" s="10"/>
      <c r="V2617" s="10"/>
    </row>
    <row r="2618" ht="22.5" customHeight="1">
      <c r="A2618" s="5">
        <v>2.06176933288E11</v>
      </c>
      <c r="B2618" s="5" t="s">
        <v>2438</v>
      </c>
      <c r="C2618" s="5">
        <v>51944886679</v>
      </c>
      <c r="D2618" s="5" t="s">
        <v>13</v>
      </c>
      <c r="E2618" s="5">
        <v>8.0566583E7</v>
      </c>
      <c r="F2618" s="5" t="s">
        <v>510</v>
      </c>
      <c r="G2618" s="5" t="s">
        <v>15</v>
      </c>
      <c r="H2618" s="5" t="s">
        <v>51</v>
      </c>
      <c r="I2618" s="6" t="s">
        <v>17</v>
      </c>
      <c r="J2618" s="7" t="s">
        <v>34</v>
      </c>
      <c r="K2618" s="7"/>
      <c r="L2618" s="8">
        <v>1.772358279156E12</v>
      </c>
      <c r="M2618" s="9"/>
      <c r="N2618" s="10"/>
      <c r="O2618" s="10"/>
      <c r="P2618" s="10"/>
      <c r="Q2618" s="10"/>
      <c r="R2618" s="10"/>
      <c r="S2618" s="10"/>
      <c r="T2618" s="10"/>
      <c r="U2618" s="10"/>
      <c r="V2618" s="10"/>
    </row>
    <row r="2619" ht="22.5" customHeight="1">
      <c r="A2619" s="5">
        <v>2.06182900757E11</v>
      </c>
      <c r="B2619" s="5" t="s">
        <v>2439</v>
      </c>
      <c r="C2619" s="5">
        <v>51915217700</v>
      </c>
      <c r="D2619" s="5" t="s">
        <v>13</v>
      </c>
      <c r="E2619" s="5">
        <v>8.0566583E7</v>
      </c>
      <c r="F2619" s="5" t="s">
        <v>714</v>
      </c>
      <c r="G2619" s="5" t="s">
        <v>15</v>
      </c>
      <c r="H2619" s="5" t="s">
        <v>16</v>
      </c>
      <c r="I2619" s="6" t="s">
        <v>17</v>
      </c>
      <c r="J2619" s="7" t="s">
        <v>25</v>
      </c>
      <c r="K2619" s="7" t="s">
        <v>501</v>
      </c>
      <c r="L2619" s="8">
        <v>1.772358858626E12</v>
      </c>
      <c r="M2619" s="9"/>
      <c r="N2619" s="10"/>
      <c r="O2619" s="10"/>
      <c r="P2619" s="10"/>
      <c r="Q2619" s="10"/>
      <c r="R2619" s="10"/>
      <c r="S2619" s="10"/>
      <c r="T2619" s="10"/>
      <c r="U2619" s="10"/>
      <c r="V2619" s="10"/>
    </row>
    <row r="2620" ht="22.5" customHeight="1">
      <c r="A2620" s="5">
        <v>2.06174910243E11</v>
      </c>
      <c r="B2620" s="5" t="s">
        <v>2440</v>
      </c>
      <c r="C2620" s="5">
        <v>51972181757</v>
      </c>
      <c r="D2620" s="5" t="s">
        <v>13</v>
      </c>
      <c r="E2620" s="5">
        <v>8.0566583E7</v>
      </c>
      <c r="F2620" s="5" t="s">
        <v>14</v>
      </c>
      <c r="G2620" s="5" t="s">
        <v>15</v>
      </c>
      <c r="H2620" s="5" t="s">
        <v>24</v>
      </c>
      <c r="I2620" s="6" t="s">
        <v>17</v>
      </c>
      <c r="J2620" s="7" t="s">
        <v>18</v>
      </c>
      <c r="K2620" s="7" t="s">
        <v>19</v>
      </c>
      <c r="L2620" s="8">
        <v>1.772361065133E12</v>
      </c>
      <c r="M2620" s="9"/>
      <c r="N2620" s="10"/>
      <c r="O2620" s="10"/>
      <c r="P2620" s="10"/>
      <c r="Q2620" s="10"/>
      <c r="R2620" s="10"/>
      <c r="S2620" s="10"/>
      <c r="T2620" s="10"/>
      <c r="U2620" s="10"/>
      <c r="V2620" s="10"/>
    </row>
    <row r="2621" ht="22.5" customHeight="1">
      <c r="A2621" s="5">
        <v>2.06183695656E11</v>
      </c>
      <c r="B2621" s="5" t="s">
        <v>2441</v>
      </c>
      <c r="C2621" s="5">
        <v>5531991385607</v>
      </c>
      <c r="D2621" s="5" t="s">
        <v>38</v>
      </c>
      <c r="E2621" s="5">
        <v>7.9360573E7</v>
      </c>
      <c r="F2621" s="5"/>
      <c r="G2621" s="5"/>
      <c r="H2621" s="5"/>
      <c r="I2621" s="6"/>
      <c r="J2621" s="7" t="s">
        <v>124</v>
      </c>
      <c r="K2621" s="7" t="s">
        <v>1256</v>
      </c>
      <c r="L2621" s="8">
        <v>1.772361701922E12</v>
      </c>
      <c r="M2621" s="9"/>
      <c r="N2621" s="10"/>
      <c r="O2621" s="10"/>
      <c r="P2621" s="10"/>
      <c r="Q2621" s="10"/>
      <c r="R2621" s="10"/>
      <c r="S2621" s="10"/>
      <c r="T2621" s="10"/>
      <c r="U2621" s="10"/>
      <c r="V2621" s="10"/>
    </row>
    <row r="2622" ht="22.5" customHeight="1">
      <c r="A2622" s="5">
        <v>2.06174324284E11</v>
      </c>
      <c r="B2622" s="5" t="s">
        <v>2442</v>
      </c>
      <c r="C2622" s="5">
        <v>51953427358</v>
      </c>
      <c r="D2622" s="5" t="s">
        <v>13</v>
      </c>
      <c r="E2622" s="5">
        <v>8.0566583E7</v>
      </c>
      <c r="F2622" s="5" t="s">
        <v>510</v>
      </c>
      <c r="G2622" s="5" t="s">
        <v>15</v>
      </c>
      <c r="H2622" s="5" t="s">
        <v>16</v>
      </c>
      <c r="I2622" s="6" t="s">
        <v>17</v>
      </c>
      <c r="J2622" s="7" t="s">
        <v>18</v>
      </c>
      <c r="K2622" s="7" t="s">
        <v>19</v>
      </c>
      <c r="L2622" s="8">
        <v>1.772361954955E12</v>
      </c>
      <c r="M2622" s="9"/>
      <c r="N2622" s="10"/>
      <c r="O2622" s="10"/>
      <c r="P2622" s="10"/>
      <c r="Q2622" s="10"/>
      <c r="R2622" s="10"/>
      <c r="S2622" s="10"/>
      <c r="T2622" s="10"/>
      <c r="U2622" s="10"/>
      <c r="V2622" s="10"/>
    </row>
    <row r="2623" ht="22.5" customHeight="1">
      <c r="A2623" s="5">
        <v>2.06185978282E11</v>
      </c>
      <c r="B2623" s="5" t="s">
        <v>2443</v>
      </c>
      <c r="C2623" s="5">
        <v>51991412919</v>
      </c>
      <c r="D2623" s="5" t="s">
        <v>13</v>
      </c>
      <c r="E2623" s="5">
        <v>8.7547393E7</v>
      </c>
      <c r="F2623" s="5" t="s">
        <v>82</v>
      </c>
      <c r="G2623" s="5" t="s">
        <v>15</v>
      </c>
      <c r="H2623" s="5" t="s">
        <v>69</v>
      </c>
      <c r="I2623" s="6" t="s">
        <v>17</v>
      </c>
      <c r="J2623" s="7" t="s">
        <v>18</v>
      </c>
      <c r="K2623" s="7" t="s">
        <v>19</v>
      </c>
      <c r="L2623" s="8">
        <v>1.772364427897E12</v>
      </c>
      <c r="M2623" s="9"/>
      <c r="N2623" s="10"/>
      <c r="O2623" s="10"/>
      <c r="P2623" s="10"/>
      <c r="Q2623" s="10"/>
      <c r="R2623" s="10"/>
      <c r="S2623" s="10"/>
      <c r="T2623" s="10"/>
      <c r="U2623" s="10"/>
      <c r="V2623" s="10"/>
    </row>
    <row r="2624" ht="22.5" customHeight="1">
      <c r="A2624" s="5">
        <v>2.06186840492E11</v>
      </c>
      <c r="B2624" s="5" t="s">
        <v>2444</v>
      </c>
      <c r="C2624" s="5">
        <v>51993294443</v>
      </c>
      <c r="D2624" s="5" t="s">
        <v>38</v>
      </c>
      <c r="E2624" s="5">
        <v>8.7547393E7</v>
      </c>
      <c r="F2624" s="5"/>
      <c r="G2624" s="5"/>
      <c r="H2624" s="5"/>
      <c r="I2624" s="6"/>
      <c r="J2624" s="7" t="s">
        <v>34</v>
      </c>
      <c r="K2624" s="7"/>
      <c r="L2624" s="8">
        <v>1.772364514599E12</v>
      </c>
      <c r="M2624" s="9"/>
      <c r="N2624" s="10"/>
      <c r="O2624" s="10"/>
      <c r="P2624" s="10"/>
      <c r="Q2624" s="10"/>
      <c r="R2624" s="10"/>
      <c r="S2624" s="10"/>
      <c r="T2624" s="10"/>
      <c r="U2624" s="10"/>
      <c r="V2624" s="10"/>
    </row>
    <row r="2625" ht="22.5" customHeight="1">
      <c r="A2625" s="5">
        <v>2.06186840492E11</v>
      </c>
      <c r="B2625" s="5" t="s">
        <v>2444</v>
      </c>
      <c r="C2625" s="5">
        <v>51993294443</v>
      </c>
      <c r="D2625" s="5" t="s">
        <v>38</v>
      </c>
      <c r="E2625" s="5">
        <v>8.7547393E7</v>
      </c>
      <c r="F2625" s="5"/>
      <c r="G2625" s="5"/>
      <c r="H2625" s="5"/>
      <c r="I2625" s="6"/>
      <c r="J2625" s="7" t="s">
        <v>34</v>
      </c>
      <c r="K2625" s="7"/>
      <c r="L2625" s="8">
        <v>1.772364627431E12</v>
      </c>
      <c r="M2625" s="9"/>
      <c r="N2625" s="10"/>
      <c r="O2625" s="10"/>
      <c r="P2625" s="10"/>
      <c r="Q2625" s="10"/>
      <c r="R2625" s="10"/>
      <c r="S2625" s="10"/>
      <c r="T2625" s="10"/>
      <c r="U2625" s="10"/>
      <c r="V2625" s="10"/>
    </row>
    <row r="2626" ht="22.5" customHeight="1">
      <c r="A2626" s="5">
        <v>2.06186863128E11</v>
      </c>
      <c r="B2626" s="5" t="s">
        <v>2445</v>
      </c>
      <c r="C2626" s="5">
        <v>51931244216</v>
      </c>
      <c r="D2626" s="5" t="s">
        <v>38</v>
      </c>
      <c r="E2626" s="5">
        <v>8.0566583E7</v>
      </c>
      <c r="F2626" s="5"/>
      <c r="G2626" s="5"/>
      <c r="H2626" s="5"/>
      <c r="I2626" s="6"/>
      <c r="J2626" s="7" t="s">
        <v>18</v>
      </c>
      <c r="K2626" s="7" t="s">
        <v>19</v>
      </c>
      <c r="L2626" s="8">
        <v>1.772365060183E12</v>
      </c>
      <c r="M2626" s="9"/>
      <c r="N2626" s="10"/>
      <c r="O2626" s="10"/>
      <c r="P2626" s="10"/>
      <c r="Q2626" s="10"/>
      <c r="R2626" s="10"/>
      <c r="S2626" s="10"/>
      <c r="T2626" s="10"/>
      <c r="U2626" s="10"/>
      <c r="V2626" s="10"/>
    </row>
    <row r="2627" ht="22.5" customHeight="1">
      <c r="A2627" s="5">
        <v>2.06187129408E11</v>
      </c>
      <c r="B2627" s="5" t="s">
        <v>2446</v>
      </c>
      <c r="C2627" s="5">
        <v>5511910007415</v>
      </c>
      <c r="D2627" s="5" t="s">
        <v>13</v>
      </c>
      <c r="E2627" s="5">
        <v>7.9360573E7</v>
      </c>
      <c r="F2627" s="5" t="s">
        <v>28</v>
      </c>
      <c r="G2627" s="5" t="s">
        <v>32</v>
      </c>
      <c r="H2627" s="5" t="s">
        <v>24</v>
      </c>
      <c r="I2627" s="6" t="s">
        <v>17</v>
      </c>
      <c r="J2627" s="7" t="s">
        <v>34</v>
      </c>
      <c r="K2627" s="7"/>
      <c r="L2627" s="8">
        <v>1.772365213292E12</v>
      </c>
      <c r="M2627" s="9"/>
      <c r="N2627" s="10"/>
      <c r="O2627" s="10"/>
      <c r="P2627" s="10"/>
      <c r="Q2627" s="10"/>
      <c r="R2627" s="10"/>
      <c r="S2627" s="10"/>
      <c r="T2627" s="10"/>
      <c r="U2627" s="10"/>
      <c r="V2627" s="10"/>
    </row>
    <row r="2628" ht="22.5" customHeight="1">
      <c r="A2628" s="5">
        <v>2.06197601366E11</v>
      </c>
      <c r="B2628" s="5" t="s">
        <v>2447</v>
      </c>
      <c r="C2628" s="5">
        <v>5511957239801</v>
      </c>
      <c r="D2628" s="5" t="s">
        <v>13</v>
      </c>
      <c r="E2628" s="5">
        <v>7.9360573E7</v>
      </c>
      <c r="F2628" s="5" t="s">
        <v>14</v>
      </c>
      <c r="G2628" s="5">
        <v>50</v>
      </c>
      <c r="H2628" s="5" t="s">
        <v>66</v>
      </c>
      <c r="I2628" s="6" t="s">
        <v>17</v>
      </c>
      <c r="J2628" s="7" t="s">
        <v>34</v>
      </c>
      <c r="K2628" s="7"/>
      <c r="L2628" s="8">
        <v>1.772366044326E12</v>
      </c>
      <c r="M2628" s="9"/>
      <c r="N2628" s="10"/>
      <c r="O2628" s="10"/>
      <c r="P2628" s="10"/>
      <c r="Q2628" s="10"/>
      <c r="R2628" s="10"/>
      <c r="S2628" s="10"/>
      <c r="T2628" s="10"/>
      <c r="U2628" s="10"/>
      <c r="V2628" s="10"/>
    </row>
    <row r="2629" ht="22.5" customHeight="1">
      <c r="A2629" s="5">
        <v>2.06188230727E11</v>
      </c>
      <c r="B2629" s="5" t="s">
        <v>2448</v>
      </c>
      <c r="C2629" s="5">
        <v>51929321930</v>
      </c>
      <c r="D2629" s="5" t="s">
        <v>13</v>
      </c>
      <c r="E2629" s="5">
        <v>8.7547393E7</v>
      </c>
      <c r="F2629" s="5" t="s">
        <v>28</v>
      </c>
      <c r="G2629" s="5" t="s">
        <v>15</v>
      </c>
      <c r="H2629" s="5" t="s">
        <v>24</v>
      </c>
      <c r="I2629" s="6" t="s">
        <v>17</v>
      </c>
      <c r="J2629" s="7" t="s">
        <v>18</v>
      </c>
      <c r="K2629" s="7" t="s">
        <v>19</v>
      </c>
      <c r="L2629" s="8">
        <v>1.77236617361E12</v>
      </c>
      <c r="M2629" s="9"/>
      <c r="N2629" s="10"/>
      <c r="O2629" s="10"/>
      <c r="P2629" s="10"/>
      <c r="Q2629" s="10"/>
      <c r="R2629" s="10"/>
      <c r="S2629" s="10"/>
      <c r="T2629" s="10"/>
      <c r="U2629" s="10"/>
      <c r="V2629" s="10"/>
    </row>
    <row r="2630" ht="22.5" customHeight="1">
      <c r="A2630" s="5">
        <v>2.06188233768E11</v>
      </c>
      <c r="B2630" s="5" t="s">
        <v>2449</v>
      </c>
      <c r="C2630" s="5">
        <v>51999111358</v>
      </c>
      <c r="D2630" s="5" t="s">
        <v>13</v>
      </c>
      <c r="E2630" s="5">
        <v>8.0566583E7</v>
      </c>
      <c r="F2630" s="5" t="s">
        <v>14</v>
      </c>
      <c r="G2630" s="5" t="s">
        <v>15</v>
      </c>
      <c r="H2630" s="5" t="s">
        <v>29</v>
      </c>
      <c r="I2630" s="6" t="s">
        <v>17</v>
      </c>
      <c r="J2630" s="7" t="s">
        <v>34</v>
      </c>
      <c r="K2630" s="7"/>
      <c r="L2630" s="8">
        <v>1.772366219602E12</v>
      </c>
      <c r="M2630" s="9"/>
      <c r="N2630" s="10"/>
      <c r="O2630" s="10"/>
      <c r="P2630" s="10"/>
      <c r="Q2630" s="10"/>
      <c r="R2630" s="10"/>
      <c r="S2630" s="10"/>
      <c r="T2630" s="10"/>
      <c r="U2630" s="10"/>
      <c r="V2630" s="10"/>
    </row>
    <row r="2631" ht="22.5" customHeight="1">
      <c r="A2631" s="5">
        <v>2.06190191265E11</v>
      </c>
      <c r="B2631" s="5" t="s">
        <v>2450</v>
      </c>
      <c r="C2631" s="5">
        <v>51956434274</v>
      </c>
      <c r="D2631" s="5" t="s">
        <v>38</v>
      </c>
      <c r="E2631" s="5">
        <v>8.0566583E7</v>
      </c>
      <c r="F2631" s="5"/>
      <c r="G2631" s="5"/>
      <c r="H2631" s="5"/>
      <c r="I2631" s="6"/>
      <c r="J2631" s="7" t="s">
        <v>18</v>
      </c>
      <c r="K2631" s="7" t="s">
        <v>19</v>
      </c>
      <c r="L2631" s="8">
        <v>1.772368969172E12</v>
      </c>
      <c r="M2631" s="9"/>
      <c r="N2631" s="10"/>
      <c r="O2631" s="10"/>
      <c r="P2631" s="10"/>
      <c r="Q2631" s="10"/>
      <c r="R2631" s="10"/>
      <c r="S2631" s="10"/>
      <c r="T2631" s="10"/>
      <c r="U2631" s="10"/>
      <c r="V2631" s="10"/>
    </row>
    <row r="2632" ht="22.5" customHeight="1">
      <c r="A2632" s="5">
        <v>2.06196514899E11</v>
      </c>
      <c r="B2632" s="5" t="s">
        <v>2451</v>
      </c>
      <c r="C2632" s="5">
        <v>51940572000</v>
      </c>
      <c r="D2632" s="5" t="s">
        <v>13</v>
      </c>
      <c r="E2632" s="5">
        <v>8.0566583E7</v>
      </c>
      <c r="F2632" s="5" t="s">
        <v>510</v>
      </c>
      <c r="G2632" s="5" t="s">
        <v>15</v>
      </c>
      <c r="H2632" s="5" t="s">
        <v>51</v>
      </c>
      <c r="I2632" s="6" t="s">
        <v>36</v>
      </c>
      <c r="J2632" s="7" t="s">
        <v>34</v>
      </c>
      <c r="K2632" s="7"/>
      <c r="L2632" s="8">
        <v>1.772368988149E12</v>
      </c>
      <c r="M2632" s="9"/>
      <c r="N2632" s="10"/>
      <c r="O2632" s="10"/>
      <c r="P2632" s="10"/>
      <c r="Q2632" s="10"/>
      <c r="R2632" s="10"/>
      <c r="S2632" s="10"/>
      <c r="T2632" s="10"/>
      <c r="U2632" s="10"/>
      <c r="V2632" s="10"/>
    </row>
    <row r="2633" ht="22.5" customHeight="1">
      <c r="A2633" s="5">
        <v>2.06191768749E11</v>
      </c>
      <c r="B2633" s="5" t="s">
        <v>2452</v>
      </c>
      <c r="C2633" s="5">
        <v>51980340020</v>
      </c>
      <c r="D2633" s="5" t="s">
        <v>13</v>
      </c>
      <c r="E2633" s="5">
        <v>8.0566583E7</v>
      </c>
      <c r="F2633" s="5" t="s">
        <v>259</v>
      </c>
      <c r="G2633" s="5" t="s">
        <v>15</v>
      </c>
      <c r="H2633" s="5" t="s">
        <v>114</v>
      </c>
      <c r="I2633" s="6" t="s">
        <v>17</v>
      </c>
      <c r="J2633" s="7" t="s">
        <v>34</v>
      </c>
      <c r="K2633" s="7"/>
      <c r="L2633" s="8">
        <v>1.772369325788E12</v>
      </c>
      <c r="M2633" s="9"/>
      <c r="N2633" s="10"/>
      <c r="O2633" s="10"/>
      <c r="P2633" s="10"/>
      <c r="Q2633" s="10"/>
      <c r="R2633" s="10"/>
      <c r="S2633" s="10"/>
      <c r="T2633" s="10"/>
      <c r="U2633" s="10"/>
      <c r="V2633" s="10"/>
    </row>
    <row r="2634" ht="22.5" customHeight="1">
      <c r="A2634" s="5">
        <v>2.06192365328E11</v>
      </c>
      <c r="B2634" s="5" t="s">
        <v>2453</v>
      </c>
      <c r="C2634" s="5">
        <v>51983826955</v>
      </c>
      <c r="D2634" s="5" t="s">
        <v>13</v>
      </c>
      <c r="E2634" s="5">
        <v>8.7547393E7</v>
      </c>
      <c r="F2634" s="5" t="s">
        <v>28</v>
      </c>
      <c r="G2634" s="5" t="s">
        <v>32</v>
      </c>
      <c r="H2634" s="5" t="s">
        <v>188</v>
      </c>
      <c r="I2634" s="6" t="s">
        <v>17</v>
      </c>
      <c r="J2634" s="7" t="s">
        <v>58</v>
      </c>
      <c r="K2634" s="11" t="s">
        <v>59</v>
      </c>
      <c r="L2634" s="8">
        <v>1.772369937683E12</v>
      </c>
      <c r="M2634" s="9"/>
      <c r="N2634" s="10"/>
      <c r="O2634" s="10"/>
      <c r="P2634" s="10"/>
      <c r="Q2634" s="10"/>
      <c r="R2634" s="10"/>
      <c r="S2634" s="10"/>
      <c r="T2634" s="10"/>
      <c r="U2634" s="10"/>
      <c r="V2634" s="10"/>
    </row>
    <row r="2635" ht="22.5" customHeight="1">
      <c r="A2635" s="5">
        <v>2.06202389137E11</v>
      </c>
      <c r="B2635" s="5" t="s">
        <v>2454</v>
      </c>
      <c r="C2635" s="5">
        <v>51997184303</v>
      </c>
      <c r="D2635" s="5" t="s">
        <v>13</v>
      </c>
      <c r="E2635" s="5">
        <v>8.0566583E7</v>
      </c>
      <c r="F2635" s="5" t="s">
        <v>39</v>
      </c>
      <c r="G2635" s="5" t="s">
        <v>15</v>
      </c>
      <c r="H2635" s="5" t="s">
        <v>24</v>
      </c>
      <c r="I2635" s="6" t="s">
        <v>17</v>
      </c>
      <c r="J2635" s="7" t="s">
        <v>18</v>
      </c>
      <c r="K2635" s="7" t="s">
        <v>19</v>
      </c>
      <c r="L2635" s="8">
        <v>1.772371276695E12</v>
      </c>
      <c r="M2635" s="9"/>
      <c r="N2635" s="10"/>
      <c r="O2635" s="10"/>
      <c r="P2635" s="10"/>
      <c r="Q2635" s="10"/>
      <c r="R2635" s="10"/>
      <c r="S2635" s="10"/>
      <c r="T2635" s="10"/>
      <c r="U2635" s="10"/>
      <c r="V2635" s="10"/>
    </row>
    <row r="2636" ht="22.5" customHeight="1">
      <c r="A2636" s="5">
        <v>2.06193339259E11</v>
      </c>
      <c r="B2636" s="5" t="s">
        <v>2455</v>
      </c>
      <c r="C2636" s="5">
        <v>51961332027</v>
      </c>
      <c r="D2636" s="5" t="s">
        <v>38</v>
      </c>
      <c r="E2636" s="5">
        <v>8.0566583E7</v>
      </c>
      <c r="F2636" s="5" t="s">
        <v>259</v>
      </c>
      <c r="G2636" s="5" t="s">
        <v>15</v>
      </c>
      <c r="H2636" s="5" t="s">
        <v>24</v>
      </c>
      <c r="I2636" s="6" t="s">
        <v>17</v>
      </c>
      <c r="J2636" s="7" t="s">
        <v>18</v>
      </c>
      <c r="K2636" s="7" t="s">
        <v>19</v>
      </c>
      <c r="L2636" s="8">
        <v>1.772371759154E12</v>
      </c>
      <c r="M2636" s="9"/>
      <c r="N2636" s="10"/>
      <c r="O2636" s="10"/>
      <c r="P2636" s="10"/>
      <c r="Q2636" s="10"/>
      <c r="R2636" s="10"/>
      <c r="S2636" s="10"/>
      <c r="T2636" s="10"/>
      <c r="U2636" s="10"/>
      <c r="V2636" s="10"/>
    </row>
    <row r="2637" ht="22.5" customHeight="1">
      <c r="A2637" s="5">
        <v>2.0619953088E11</v>
      </c>
      <c r="B2637" s="5" t="s">
        <v>2456</v>
      </c>
      <c r="C2637" s="5">
        <v>51914357922</v>
      </c>
      <c r="D2637" s="5" t="s">
        <v>13</v>
      </c>
      <c r="E2637" s="5">
        <v>8.0566583E7</v>
      </c>
      <c r="F2637" s="5" t="s">
        <v>714</v>
      </c>
      <c r="G2637" s="5" t="s">
        <v>32</v>
      </c>
      <c r="H2637" s="5" t="s">
        <v>16</v>
      </c>
      <c r="I2637" s="6" t="s">
        <v>17</v>
      </c>
      <c r="J2637" s="7" t="s">
        <v>18</v>
      </c>
      <c r="K2637" s="7" t="s">
        <v>19</v>
      </c>
      <c r="L2637" s="8">
        <v>1.772372084771E12</v>
      </c>
      <c r="M2637" s="9"/>
      <c r="N2637" s="10"/>
      <c r="O2637" s="10"/>
      <c r="P2637" s="10"/>
      <c r="Q2637" s="10"/>
      <c r="R2637" s="10"/>
      <c r="S2637" s="10"/>
      <c r="T2637" s="10"/>
      <c r="U2637" s="10"/>
      <c r="V2637" s="10"/>
    </row>
    <row r="2638" ht="22.5" customHeight="1">
      <c r="A2638" s="5">
        <v>2.06202341903E11</v>
      </c>
      <c r="B2638" s="5" t="s">
        <v>2457</v>
      </c>
      <c r="C2638" s="5">
        <v>51967368911</v>
      </c>
      <c r="D2638" s="5" t="s">
        <v>13</v>
      </c>
      <c r="E2638" s="5">
        <v>8.0566583E7</v>
      </c>
      <c r="F2638" s="5" t="s">
        <v>714</v>
      </c>
      <c r="G2638" s="5" t="s">
        <v>79</v>
      </c>
      <c r="H2638" s="5" t="s">
        <v>188</v>
      </c>
      <c r="I2638" s="6" t="s">
        <v>36</v>
      </c>
      <c r="J2638" s="7" t="s">
        <v>18</v>
      </c>
      <c r="K2638" s="7" t="s">
        <v>19</v>
      </c>
      <c r="L2638" s="8">
        <v>1.772372213497E12</v>
      </c>
      <c r="M2638" s="9"/>
      <c r="N2638" s="10"/>
      <c r="O2638" s="10"/>
      <c r="P2638" s="10"/>
      <c r="Q2638" s="10"/>
      <c r="R2638" s="10"/>
      <c r="S2638" s="10"/>
      <c r="T2638" s="10"/>
      <c r="U2638" s="10"/>
      <c r="V2638" s="10"/>
    </row>
    <row r="2639" ht="22.5" customHeight="1">
      <c r="A2639" s="5">
        <v>2.06202539192E11</v>
      </c>
      <c r="B2639" s="5" t="s">
        <v>2458</v>
      </c>
      <c r="C2639" s="5">
        <v>51924880735</v>
      </c>
      <c r="D2639" s="5" t="s">
        <v>13</v>
      </c>
      <c r="E2639" s="5">
        <v>8.0566583E7</v>
      </c>
      <c r="F2639" s="5" t="s">
        <v>39</v>
      </c>
      <c r="G2639" s="5" t="s">
        <v>15</v>
      </c>
      <c r="H2639" s="5" t="s">
        <v>29</v>
      </c>
      <c r="I2639" s="6" t="s">
        <v>17</v>
      </c>
      <c r="J2639" s="7" t="s">
        <v>58</v>
      </c>
      <c r="K2639" s="11" t="s">
        <v>59</v>
      </c>
      <c r="L2639" s="8">
        <v>1.77237239758E12</v>
      </c>
      <c r="M2639" s="9"/>
      <c r="N2639" s="10"/>
      <c r="O2639" s="10"/>
      <c r="P2639" s="10"/>
      <c r="Q2639" s="10"/>
      <c r="R2639" s="10"/>
      <c r="S2639" s="10"/>
      <c r="T2639" s="10"/>
      <c r="U2639" s="10"/>
      <c r="V2639" s="10"/>
    </row>
    <row r="2640" ht="22.5" customHeight="1">
      <c r="A2640" s="5">
        <v>2.06207287594E11</v>
      </c>
      <c r="B2640" s="5" t="s">
        <v>2459</v>
      </c>
      <c r="C2640" s="5">
        <v>51965202871</v>
      </c>
      <c r="D2640" s="5" t="s">
        <v>13</v>
      </c>
      <c r="E2640" s="5">
        <v>8.0566583E7</v>
      </c>
      <c r="F2640" s="5" t="s">
        <v>28</v>
      </c>
      <c r="G2640" s="5" t="s">
        <v>32</v>
      </c>
      <c r="H2640" s="5" t="s">
        <v>643</v>
      </c>
      <c r="I2640" s="6" t="s">
        <v>17</v>
      </c>
      <c r="J2640" s="7" t="s">
        <v>18</v>
      </c>
      <c r="K2640" s="7" t="s">
        <v>19</v>
      </c>
      <c r="L2640" s="8">
        <v>1.772372446082E12</v>
      </c>
      <c r="M2640" s="9"/>
      <c r="N2640" s="10"/>
      <c r="O2640" s="10"/>
      <c r="P2640" s="10"/>
      <c r="Q2640" s="10"/>
      <c r="R2640" s="10"/>
      <c r="S2640" s="10"/>
      <c r="T2640" s="10"/>
      <c r="U2640" s="10"/>
      <c r="V2640" s="10"/>
    </row>
    <row r="2641" ht="22.5" customHeight="1">
      <c r="A2641" s="5">
        <v>1.88508043703E11</v>
      </c>
      <c r="B2641" s="5" t="s">
        <v>2460</v>
      </c>
      <c r="C2641" s="5">
        <v>51975217285</v>
      </c>
      <c r="D2641" s="5" t="s">
        <v>13</v>
      </c>
      <c r="E2641" s="5">
        <v>8.0566583E7</v>
      </c>
      <c r="F2641" s="5" t="s">
        <v>28</v>
      </c>
      <c r="G2641" s="5" t="s">
        <v>15</v>
      </c>
      <c r="H2641" s="5" t="s">
        <v>24</v>
      </c>
      <c r="I2641" s="6" t="s">
        <v>63</v>
      </c>
      <c r="J2641" s="7" t="s">
        <v>18</v>
      </c>
      <c r="K2641" s="7" t="s">
        <v>19</v>
      </c>
      <c r="L2641" s="8">
        <v>1.772373200613E12</v>
      </c>
      <c r="M2641" s="9"/>
      <c r="N2641" s="10"/>
      <c r="O2641" s="10"/>
      <c r="P2641" s="10"/>
      <c r="Q2641" s="10"/>
      <c r="R2641" s="10"/>
      <c r="S2641" s="10"/>
      <c r="T2641" s="10"/>
      <c r="U2641" s="10"/>
      <c r="V2641" s="10"/>
    </row>
    <row r="2642" ht="22.5" customHeight="1">
      <c r="A2642" s="5">
        <v>2.06209745949E11</v>
      </c>
      <c r="B2642" s="5" t="s">
        <v>2461</v>
      </c>
      <c r="C2642" s="5">
        <v>51920731222</v>
      </c>
      <c r="D2642" s="5" t="s">
        <v>13</v>
      </c>
      <c r="E2642" s="5">
        <v>8.7547393E7</v>
      </c>
      <c r="F2642" s="5" t="s">
        <v>259</v>
      </c>
      <c r="G2642" s="5" t="s">
        <v>15</v>
      </c>
      <c r="H2642" s="5" t="s">
        <v>66</v>
      </c>
      <c r="I2642" s="6" t="s">
        <v>36</v>
      </c>
      <c r="J2642" s="7" t="s">
        <v>18</v>
      </c>
      <c r="K2642" s="7" t="s">
        <v>19</v>
      </c>
      <c r="L2642" s="8">
        <v>1.772374469902E12</v>
      </c>
      <c r="M2642" s="9"/>
      <c r="N2642" s="10"/>
      <c r="O2642" s="10"/>
      <c r="P2642" s="10"/>
      <c r="Q2642" s="10"/>
      <c r="R2642" s="10"/>
      <c r="S2642" s="10"/>
      <c r="T2642" s="10"/>
      <c r="U2642" s="10"/>
      <c r="V2642" s="10"/>
    </row>
    <row r="2643" ht="22.5" customHeight="1">
      <c r="A2643" s="5">
        <v>2.06210219805E11</v>
      </c>
      <c r="B2643" s="5" t="s">
        <v>2462</v>
      </c>
      <c r="C2643" s="5">
        <v>5531972615381</v>
      </c>
      <c r="D2643" s="5" t="s">
        <v>13</v>
      </c>
      <c r="E2643" s="5">
        <v>7.9360573E7</v>
      </c>
      <c r="F2643" s="5" t="s">
        <v>714</v>
      </c>
      <c r="G2643" s="5" t="s">
        <v>79</v>
      </c>
      <c r="H2643" s="5" t="s">
        <v>66</v>
      </c>
      <c r="I2643" s="6" t="s">
        <v>17</v>
      </c>
      <c r="J2643" s="7" t="s">
        <v>34</v>
      </c>
      <c r="K2643" s="7"/>
      <c r="L2643" s="8">
        <v>1.772375386497E12</v>
      </c>
      <c r="M2643" s="9"/>
      <c r="N2643" s="10"/>
      <c r="O2643" s="10"/>
      <c r="P2643" s="10"/>
      <c r="Q2643" s="10"/>
      <c r="R2643" s="10"/>
      <c r="S2643" s="10"/>
      <c r="T2643" s="10"/>
      <c r="U2643" s="10"/>
      <c r="V2643" s="10"/>
    </row>
    <row r="2644" ht="22.5" customHeight="1">
      <c r="A2644" s="5">
        <v>1.77838954514E11</v>
      </c>
      <c r="B2644" s="5" t="s">
        <v>2463</v>
      </c>
      <c r="C2644" s="5">
        <v>51957308851</v>
      </c>
      <c r="D2644" s="5" t="s">
        <v>38</v>
      </c>
      <c r="E2644" s="5"/>
      <c r="F2644" s="5"/>
      <c r="G2644" s="5"/>
      <c r="H2644" s="5"/>
      <c r="I2644" s="6"/>
      <c r="J2644" s="7" t="s">
        <v>25</v>
      </c>
      <c r="K2644" s="7"/>
      <c r="L2644" s="8">
        <v>1.772376030269E12</v>
      </c>
      <c r="M2644" s="9"/>
      <c r="N2644" s="10"/>
      <c r="O2644" s="10"/>
      <c r="P2644" s="10"/>
      <c r="Q2644" s="10"/>
      <c r="R2644" s="10"/>
      <c r="S2644" s="10"/>
      <c r="T2644" s="10"/>
      <c r="U2644" s="10"/>
      <c r="V2644" s="10"/>
    </row>
    <row r="2645" ht="22.5" customHeight="1">
      <c r="A2645" s="5">
        <v>2.06211732308E11</v>
      </c>
      <c r="B2645" s="5" t="s">
        <v>2464</v>
      </c>
      <c r="C2645" s="5">
        <v>551933055706</v>
      </c>
      <c r="D2645" s="5" t="s">
        <v>13</v>
      </c>
      <c r="E2645" s="5">
        <v>7.9360573E7</v>
      </c>
      <c r="F2645" s="5" t="s">
        <v>259</v>
      </c>
      <c r="G2645" s="5" t="s">
        <v>32</v>
      </c>
      <c r="H2645" s="5" t="s">
        <v>24</v>
      </c>
      <c r="I2645" s="6" t="s">
        <v>17</v>
      </c>
      <c r="J2645" s="7" t="s">
        <v>124</v>
      </c>
      <c r="K2645" s="7" t="s">
        <v>1256</v>
      </c>
      <c r="L2645" s="8">
        <v>1.772376151084E12</v>
      </c>
      <c r="M2645" s="9"/>
      <c r="N2645" s="10"/>
      <c r="O2645" s="10"/>
      <c r="P2645" s="10"/>
      <c r="Q2645" s="10"/>
      <c r="R2645" s="10"/>
      <c r="S2645" s="10"/>
      <c r="T2645" s="10"/>
      <c r="U2645" s="10"/>
      <c r="V2645" s="10"/>
    </row>
    <row r="2646" ht="22.5" customHeight="1">
      <c r="A2646" s="5">
        <v>2.06221139768E11</v>
      </c>
      <c r="B2646" s="5" t="s">
        <v>2465</v>
      </c>
      <c r="C2646" s="5">
        <v>51901287456</v>
      </c>
      <c r="D2646" s="5" t="s">
        <v>13</v>
      </c>
      <c r="E2646" s="5">
        <v>8.0566583E7</v>
      </c>
      <c r="F2646" s="5" t="s">
        <v>14</v>
      </c>
      <c r="G2646" s="5" t="s">
        <v>15</v>
      </c>
      <c r="H2646" s="5" t="s">
        <v>583</v>
      </c>
      <c r="I2646" s="6" t="s">
        <v>17</v>
      </c>
      <c r="J2646" s="7" t="s">
        <v>34</v>
      </c>
      <c r="K2646" s="7"/>
      <c r="L2646" s="8">
        <v>1.772376362882E12</v>
      </c>
      <c r="M2646" s="9"/>
      <c r="N2646" s="10"/>
      <c r="O2646" s="10"/>
      <c r="P2646" s="10"/>
      <c r="Q2646" s="10"/>
      <c r="R2646" s="10"/>
      <c r="S2646" s="10"/>
      <c r="T2646" s="10"/>
      <c r="U2646" s="10"/>
      <c r="V2646" s="10"/>
    </row>
    <row r="2647" ht="22.5" customHeight="1">
      <c r="A2647" s="5">
        <v>2.06213331259E11</v>
      </c>
      <c r="B2647" s="5" t="s">
        <v>2466</v>
      </c>
      <c r="C2647" s="5">
        <v>51973217022</v>
      </c>
      <c r="D2647" s="5" t="s">
        <v>38</v>
      </c>
      <c r="E2647" s="5">
        <v>8.7547393E7</v>
      </c>
      <c r="F2647" s="5"/>
      <c r="G2647" s="5"/>
      <c r="H2647" s="5"/>
      <c r="I2647" s="6"/>
      <c r="J2647" s="7" t="s">
        <v>18</v>
      </c>
      <c r="K2647" s="7" t="s">
        <v>19</v>
      </c>
      <c r="L2647" s="8">
        <v>1.772377641251E12</v>
      </c>
      <c r="M2647" s="9"/>
      <c r="N2647" s="10"/>
      <c r="O2647" s="10"/>
      <c r="P2647" s="10"/>
      <c r="Q2647" s="10"/>
      <c r="R2647" s="10"/>
      <c r="S2647" s="10"/>
      <c r="T2647" s="10"/>
      <c r="U2647" s="10"/>
      <c r="V2647" s="10"/>
    </row>
    <row r="2648" ht="22.5" customHeight="1">
      <c r="A2648" s="5">
        <v>2.05978272857E11</v>
      </c>
      <c r="B2648" s="5" t="s">
        <v>2467</v>
      </c>
      <c r="C2648" s="5">
        <v>51900787339</v>
      </c>
      <c r="D2648" s="5" t="s">
        <v>22</v>
      </c>
      <c r="E2648" s="5">
        <v>8.0566583E7</v>
      </c>
      <c r="F2648" s="5" t="s">
        <v>42</v>
      </c>
      <c r="G2648" s="5" t="s">
        <v>44</v>
      </c>
      <c r="H2648" s="5" t="s">
        <v>24</v>
      </c>
      <c r="I2648" s="6" t="s">
        <v>17</v>
      </c>
      <c r="J2648" s="7" t="s">
        <v>18</v>
      </c>
      <c r="K2648" s="7" t="s">
        <v>19</v>
      </c>
      <c r="L2648" s="8">
        <v>1.772378029101E12</v>
      </c>
      <c r="M2648" s="9"/>
      <c r="N2648" s="10"/>
      <c r="O2648" s="10"/>
      <c r="P2648" s="10"/>
      <c r="Q2648" s="10"/>
      <c r="R2648" s="10"/>
      <c r="S2648" s="10"/>
      <c r="T2648" s="10"/>
      <c r="U2648" s="10"/>
      <c r="V2648" s="10"/>
    </row>
    <row r="2649" ht="22.5" customHeight="1">
      <c r="A2649" s="5">
        <v>2.06222502748E11</v>
      </c>
      <c r="B2649" s="5" t="s">
        <v>2468</v>
      </c>
      <c r="C2649" s="5">
        <v>51950113406</v>
      </c>
      <c r="D2649" s="5" t="s">
        <v>22</v>
      </c>
      <c r="E2649" s="5">
        <v>8.7547393E7</v>
      </c>
      <c r="F2649" s="5" t="s">
        <v>259</v>
      </c>
      <c r="G2649" s="5" t="s">
        <v>44</v>
      </c>
      <c r="H2649" s="5" t="s">
        <v>2262</v>
      </c>
      <c r="I2649" s="6" t="s">
        <v>17</v>
      </c>
      <c r="J2649" s="7" t="s">
        <v>34</v>
      </c>
      <c r="K2649" s="7"/>
      <c r="L2649" s="8">
        <v>1.772379062085E12</v>
      </c>
      <c r="M2649" s="9"/>
      <c r="N2649" s="10"/>
      <c r="O2649" s="10"/>
      <c r="P2649" s="10"/>
      <c r="Q2649" s="10"/>
      <c r="R2649" s="10"/>
      <c r="S2649" s="10"/>
      <c r="T2649" s="10"/>
      <c r="U2649" s="10"/>
      <c r="V2649" s="10"/>
    </row>
    <row r="2650" ht="22.5" customHeight="1">
      <c r="A2650" s="5">
        <v>2.06234224157E11</v>
      </c>
      <c r="B2650" s="5" t="s">
        <v>2469</v>
      </c>
      <c r="C2650" s="5">
        <v>5588988220382</v>
      </c>
      <c r="D2650" s="5" t="s">
        <v>13</v>
      </c>
      <c r="E2650" s="5">
        <v>7.9360573E7</v>
      </c>
      <c r="F2650" s="5" t="s">
        <v>28</v>
      </c>
      <c r="G2650" s="5" t="s">
        <v>32</v>
      </c>
      <c r="H2650" s="5" t="s">
        <v>16</v>
      </c>
      <c r="I2650" s="6" t="s">
        <v>17</v>
      </c>
      <c r="J2650" s="7" t="s">
        <v>34</v>
      </c>
      <c r="K2650" s="7"/>
      <c r="L2650" s="8">
        <v>1.772379532169E12</v>
      </c>
      <c r="M2650" s="9"/>
      <c r="N2650" s="10"/>
      <c r="O2650" s="10"/>
      <c r="P2650" s="10"/>
      <c r="Q2650" s="10"/>
      <c r="R2650" s="10"/>
      <c r="S2650" s="10"/>
      <c r="T2650" s="10"/>
      <c r="U2650" s="10"/>
      <c r="V2650" s="10"/>
    </row>
    <row r="2651" ht="22.5" customHeight="1">
      <c r="A2651" s="5">
        <v>2.06213354612E11</v>
      </c>
      <c r="B2651" s="5" t="s">
        <v>2470</v>
      </c>
      <c r="C2651" s="5">
        <v>5592991566507</v>
      </c>
      <c r="D2651" s="5" t="s">
        <v>13</v>
      </c>
      <c r="E2651" s="5">
        <v>7.9360573E7</v>
      </c>
      <c r="F2651" s="5" t="s">
        <v>28</v>
      </c>
      <c r="G2651" s="5" t="s">
        <v>32</v>
      </c>
      <c r="H2651" s="5" t="s">
        <v>24</v>
      </c>
      <c r="I2651" s="6" t="s">
        <v>17</v>
      </c>
      <c r="J2651" s="7" t="s">
        <v>34</v>
      </c>
      <c r="K2651" s="7"/>
      <c r="L2651" s="8">
        <v>1.772379799981E12</v>
      </c>
      <c r="M2651" s="9"/>
      <c r="N2651" s="10"/>
      <c r="O2651" s="10"/>
      <c r="P2651" s="10"/>
      <c r="Q2651" s="10"/>
      <c r="R2651" s="10"/>
      <c r="S2651" s="10"/>
      <c r="T2651" s="10"/>
      <c r="U2651" s="10"/>
      <c r="V2651" s="10"/>
    </row>
    <row r="2652" ht="22.5" customHeight="1">
      <c r="A2652" s="5">
        <v>1.91251733772E11</v>
      </c>
      <c r="B2652" s="5" t="s">
        <v>2471</v>
      </c>
      <c r="C2652" s="5">
        <v>51931738206</v>
      </c>
      <c r="D2652" s="5" t="s">
        <v>38</v>
      </c>
      <c r="E2652" s="5">
        <v>8.0566583E7</v>
      </c>
      <c r="F2652" s="5" t="s">
        <v>39</v>
      </c>
      <c r="G2652" s="5" t="s">
        <v>15</v>
      </c>
      <c r="H2652" s="5" t="s">
        <v>16</v>
      </c>
      <c r="I2652" s="6" t="s">
        <v>17</v>
      </c>
      <c r="J2652" s="7" t="s">
        <v>34</v>
      </c>
      <c r="K2652" s="7"/>
      <c r="L2652" s="8">
        <v>1.772380233851E12</v>
      </c>
      <c r="M2652" s="9"/>
      <c r="N2652" s="10"/>
      <c r="O2652" s="10"/>
      <c r="P2652" s="10"/>
      <c r="Q2652" s="10"/>
      <c r="R2652" s="10"/>
      <c r="S2652" s="10"/>
      <c r="T2652" s="10"/>
      <c r="U2652" s="10"/>
      <c r="V2652" s="10"/>
    </row>
    <row r="2653" ht="22.5" customHeight="1">
      <c r="A2653" s="5">
        <v>2.02721139227E11</v>
      </c>
      <c r="B2653" s="5" t="s">
        <v>2472</v>
      </c>
      <c r="C2653" s="5">
        <v>51918800564</v>
      </c>
      <c r="D2653" s="5" t="s">
        <v>13</v>
      </c>
      <c r="E2653" s="5">
        <v>8.0566583E7</v>
      </c>
      <c r="F2653" s="5" t="s">
        <v>65</v>
      </c>
      <c r="G2653" s="5" t="s">
        <v>15</v>
      </c>
      <c r="H2653" s="5" t="s">
        <v>69</v>
      </c>
      <c r="I2653" s="6" t="s">
        <v>17</v>
      </c>
      <c r="J2653" s="7" t="s">
        <v>18</v>
      </c>
      <c r="K2653" s="7" t="s">
        <v>19</v>
      </c>
      <c r="L2653" s="8">
        <v>1.772380312344E12</v>
      </c>
      <c r="M2653" s="9"/>
      <c r="N2653" s="10"/>
      <c r="O2653" s="10"/>
      <c r="P2653" s="10"/>
      <c r="Q2653" s="10"/>
      <c r="R2653" s="10"/>
      <c r="S2653" s="10"/>
      <c r="T2653" s="10"/>
      <c r="U2653" s="10"/>
      <c r="V2653" s="10"/>
    </row>
    <row r="2654" ht="22.5" customHeight="1">
      <c r="A2654" s="5">
        <v>2.0622413887E11</v>
      </c>
      <c r="B2654" s="5" t="s">
        <v>2473</v>
      </c>
      <c r="C2654" s="5">
        <v>5512996148293</v>
      </c>
      <c r="D2654" s="5" t="s">
        <v>13</v>
      </c>
      <c r="E2654" s="5">
        <v>7.9360573E7</v>
      </c>
      <c r="F2654" s="5" t="s">
        <v>714</v>
      </c>
      <c r="G2654" s="5" t="s">
        <v>15</v>
      </c>
      <c r="H2654" s="5" t="s">
        <v>86</v>
      </c>
      <c r="I2654" s="6" t="s">
        <v>17</v>
      </c>
      <c r="J2654" s="7" t="s">
        <v>34</v>
      </c>
      <c r="K2654" s="7"/>
      <c r="L2654" s="8">
        <v>1.77238097843E12</v>
      </c>
      <c r="M2654" s="9"/>
      <c r="N2654" s="10"/>
      <c r="O2654" s="10"/>
      <c r="P2654" s="10"/>
      <c r="Q2654" s="10"/>
      <c r="R2654" s="10"/>
      <c r="S2654" s="10"/>
      <c r="T2654" s="10"/>
      <c r="U2654" s="10"/>
      <c r="V2654" s="10"/>
    </row>
    <row r="2655" ht="22.5" customHeight="1">
      <c r="A2655" s="5">
        <v>2.06224997743E11</v>
      </c>
      <c r="B2655" s="5" t="s">
        <v>2474</v>
      </c>
      <c r="C2655" s="5">
        <v>17865909756</v>
      </c>
      <c r="D2655" s="5" t="s">
        <v>13</v>
      </c>
      <c r="E2655" s="5">
        <v>8.0566583E7</v>
      </c>
      <c r="F2655" s="5" t="s">
        <v>39</v>
      </c>
      <c r="G2655" s="5" t="s">
        <v>15</v>
      </c>
      <c r="H2655" s="5" t="s">
        <v>33</v>
      </c>
      <c r="I2655" s="6" t="s">
        <v>17</v>
      </c>
      <c r="J2655" s="7" t="s">
        <v>58</v>
      </c>
      <c r="K2655" s="11" t="s">
        <v>59</v>
      </c>
      <c r="L2655" s="8">
        <v>1.772381016785E12</v>
      </c>
      <c r="M2655" s="9"/>
      <c r="N2655" s="10"/>
      <c r="O2655" s="10"/>
      <c r="P2655" s="10"/>
      <c r="Q2655" s="10"/>
      <c r="R2655" s="10"/>
      <c r="S2655" s="10"/>
      <c r="T2655" s="10"/>
      <c r="U2655" s="10"/>
      <c r="V2655" s="10"/>
    </row>
    <row r="2656" ht="22.5" customHeight="1">
      <c r="A2656" s="5">
        <v>2.06225381817E11</v>
      </c>
      <c r="B2656" s="5" t="s">
        <v>2475</v>
      </c>
      <c r="C2656" s="5">
        <v>51989516088</v>
      </c>
      <c r="D2656" s="5" t="s">
        <v>13</v>
      </c>
      <c r="E2656" s="5">
        <v>8.0566583E7</v>
      </c>
      <c r="F2656" s="5" t="s">
        <v>259</v>
      </c>
      <c r="G2656" s="5" t="s">
        <v>32</v>
      </c>
      <c r="H2656" s="5" t="s">
        <v>16</v>
      </c>
      <c r="I2656" s="6" t="s">
        <v>17</v>
      </c>
      <c r="J2656" s="7" t="s">
        <v>18</v>
      </c>
      <c r="K2656" s="7" t="s">
        <v>19</v>
      </c>
      <c r="L2656" s="8">
        <v>1.772381067991E12</v>
      </c>
      <c r="M2656" s="9"/>
      <c r="N2656" s="10"/>
      <c r="O2656" s="10"/>
      <c r="P2656" s="10"/>
      <c r="Q2656" s="10"/>
      <c r="R2656" s="10"/>
      <c r="S2656" s="10"/>
      <c r="T2656" s="10"/>
      <c r="U2656" s="10"/>
      <c r="V2656" s="10"/>
    </row>
    <row r="2657" ht="22.5" customHeight="1">
      <c r="A2657" s="5">
        <v>2.0623548638E11</v>
      </c>
      <c r="B2657" s="5" t="s">
        <v>2476</v>
      </c>
      <c r="C2657" s="5">
        <v>5519986025047</v>
      </c>
      <c r="D2657" s="5" t="s">
        <v>13</v>
      </c>
      <c r="E2657" s="5">
        <v>7.9360573E7</v>
      </c>
      <c r="F2657" s="5" t="s">
        <v>259</v>
      </c>
      <c r="G2657" s="5" t="s">
        <v>15</v>
      </c>
      <c r="H2657" s="5" t="s">
        <v>66</v>
      </c>
      <c r="I2657" s="6" t="s">
        <v>36</v>
      </c>
      <c r="J2657" s="7" t="s">
        <v>34</v>
      </c>
      <c r="K2657" s="7"/>
      <c r="L2657" s="8">
        <v>1.772381278727E12</v>
      </c>
      <c r="M2657" s="9"/>
      <c r="N2657" s="10"/>
      <c r="O2657" s="10"/>
      <c r="P2657" s="10"/>
      <c r="Q2657" s="10"/>
      <c r="R2657" s="10"/>
      <c r="S2657" s="10"/>
      <c r="T2657" s="10"/>
      <c r="U2657" s="10"/>
      <c r="V2657" s="10"/>
    </row>
    <row r="2658" ht="22.5" customHeight="1">
      <c r="A2658" s="5">
        <v>2.05618105738E11</v>
      </c>
      <c r="B2658" s="5" t="s">
        <v>2477</v>
      </c>
      <c r="C2658" s="5">
        <v>51933373705</v>
      </c>
      <c r="D2658" s="5" t="s">
        <v>22</v>
      </c>
      <c r="E2658" s="5">
        <v>8.0566583E7</v>
      </c>
      <c r="F2658" s="5" t="s">
        <v>259</v>
      </c>
      <c r="G2658" s="5" t="s">
        <v>44</v>
      </c>
      <c r="H2658" s="5" t="s">
        <v>24</v>
      </c>
      <c r="I2658" s="6" t="s">
        <v>17</v>
      </c>
      <c r="J2658" s="7" t="s">
        <v>124</v>
      </c>
      <c r="K2658" s="7" t="s">
        <v>2478</v>
      </c>
      <c r="L2658" s="8">
        <v>1.772384181046E12</v>
      </c>
      <c r="M2658" s="9"/>
      <c r="N2658" s="10"/>
      <c r="O2658" s="10"/>
      <c r="P2658" s="10"/>
      <c r="Q2658" s="10"/>
      <c r="R2658" s="10"/>
      <c r="S2658" s="10"/>
      <c r="T2658" s="10"/>
      <c r="U2658" s="10"/>
      <c r="V2658" s="10"/>
    </row>
    <row r="2659" ht="22.5" customHeight="1">
      <c r="A2659" s="5">
        <v>2.06229958487E11</v>
      </c>
      <c r="B2659" s="5" t="s">
        <v>2479</v>
      </c>
      <c r="C2659" s="5">
        <v>5569999617738</v>
      </c>
      <c r="D2659" s="5" t="s">
        <v>13</v>
      </c>
      <c r="E2659" s="5">
        <v>7.9360573E7</v>
      </c>
      <c r="F2659" s="5" t="s">
        <v>14</v>
      </c>
      <c r="G2659" s="5" t="s">
        <v>15</v>
      </c>
      <c r="H2659" s="5" t="s">
        <v>66</v>
      </c>
      <c r="I2659" s="6" t="s">
        <v>17</v>
      </c>
      <c r="J2659" s="7" t="s">
        <v>34</v>
      </c>
      <c r="K2659" s="7"/>
      <c r="L2659" s="8">
        <v>1.772385070729E12</v>
      </c>
      <c r="M2659" s="9"/>
      <c r="N2659" s="10"/>
      <c r="O2659" s="10"/>
      <c r="P2659" s="10"/>
      <c r="Q2659" s="10"/>
      <c r="R2659" s="10"/>
      <c r="S2659" s="10"/>
      <c r="T2659" s="10"/>
      <c r="U2659" s="10"/>
      <c r="V2659" s="10"/>
    </row>
    <row r="2660" ht="22.5" customHeight="1">
      <c r="A2660" s="5">
        <v>2.06229759829E11</v>
      </c>
      <c r="B2660" s="5" t="s">
        <v>2480</v>
      </c>
      <c r="C2660" s="5">
        <v>5571996844680</v>
      </c>
      <c r="D2660" s="5" t="s">
        <v>13</v>
      </c>
      <c r="E2660" s="5">
        <v>7.9360573E7</v>
      </c>
      <c r="F2660" s="5" t="s">
        <v>28</v>
      </c>
      <c r="G2660" s="5" t="s">
        <v>15</v>
      </c>
      <c r="H2660" s="5" t="s">
        <v>66</v>
      </c>
      <c r="I2660" s="6" t="s">
        <v>17</v>
      </c>
      <c r="J2660" s="7" t="s">
        <v>124</v>
      </c>
      <c r="K2660" s="7" t="s">
        <v>1256</v>
      </c>
      <c r="L2660" s="8">
        <v>1.772386279321E12</v>
      </c>
      <c r="M2660" s="9"/>
      <c r="N2660" s="10"/>
      <c r="O2660" s="10"/>
      <c r="P2660" s="10"/>
      <c r="Q2660" s="10"/>
      <c r="R2660" s="10"/>
      <c r="S2660" s="10"/>
      <c r="T2660" s="10"/>
      <c r="U2660" s="10"/>
      <c r="V2660" s="10"/>
    </row>
    <row r="2661" ht="22.5" customHeight="1">
      <c r="A2661" s="5">
        <v>2.06241815967E11</v>
      </c>
      <c r="B2661" s="5" t="s">
        <v>2481</v>
      </c>
      <c r="C2661" s="5">
        <v>5598984969931</v>
      </c>
      <c r="D2661" s="5" t="s">
        <v>13</v>
      </c>
      <c r="E2661" s="5">
        <v>7.9360573E7</v>
      </c>
      <c r="F2661" s="5" t="s">
        <v>93</v>
      </c>
      <c r="G2661" s="5" t="s">
        <v>15</v>
      </c>
      <c r="H2661" s="5" t="s">
        <v>51</v>
      </c>
      <c r="I2661" s="6" t="s">
        <v>17</v>
      </c>
      <c r="J2661" s="7" t="s">
        <v>124</v>
      </c>
      <c r="K2661" s="7" t="s">
        <v>1256</v>
      </c>
      <c r="L2661" s="8">
        <v>1.772386806928E12</v>
      </c>
      <c r="M2661" s="9"/>
      <c r="N2661" s="10"/>
      <c r="O2661" s="10"/>
      <c r="P2661" s="10"/>
      <c r="Q2661" s="10"/>
      <c r="R2661" s="10"/>
      <c r="S2661" s="10"/>
      <c r="T2661" s="10"/>
      <c r="U2661" s="10"/>
      <c r="V2661" s="10"/>
    </row>
    <row r="2662" ht="22.5" customHeight="1">
      <c r="A2662" s="5">
        <v>2.05731018917E11</v>
      </c>
      <c r="B2662" s="5" t="s">
        <v>2482</v>
      </c>
      <c r="C2662" s="5">
        <v>51902058554</v>
      </c>
      <c r="D2662" s="5" t="s">
        <v>13</v>
      </c>
      <c r="E2662" s="5">
        <v>8.7547393E7</v>
      </c>
      <c r="F2662" s="5" t="s">
        <v>28</v>
      </c>
      <c r="G2662" s="5" t="s">
        <v>15</v>
      </c>
      <c r="H2662" s="5" t="s">
        <v>51</v>
      </c>
      <c r="I2662" s="6" t="s">
        <v>17</v>
      </c>
      <c r="J2662" s="7" t="s">
        <v>18</v>
      </c>
      <c r="K2662" s="7" t="s">
        <v>19</v>
      </c>
      <c r="L2662" s="8">
        <v>1.772388630363E12</v>
      </c>
      <c r="M2662" s="9"/>
      <c r="N2662" s="10"/>
      <c r="O2662" s="10"/>
      <c r="P2662" s="10"/>
      <c r="Q2662" s="10"/>
      <c r="R2662" s="10"/>
      <c r="S2662" s="10"/>
      <c r="T2662" s="10"/>
      <c r="U2662" s="10"/>
      <c r="V2662" s="10"/>
    </row>
    <row r="2663" ht="22.5" customHeight="1">
      <c r="A2663" s="5">
        <v>2.062324671E11</v>
      </c>
      <c r="B2663" s="5" t="s">
        <v>2483</v>
      </c>
      <c r="C2663" s="5">
        <v>51955446809</v>
      </c>
      <c r="D2663" s="5" t="s">
        <v>103</v>
      </c>
      <c r="E2663" s="5">
        <v>8.0566583E7</v>
      </c>
      <c r="F2663" s="5" t="s">
        <v>28</v>
      </c>
      <c r="G2663" s="5" t="s">
        <v>79</v>
      </c>
      <c r="H2663" s="5" t="s">
        <v>24</v>
      </c>
      <c r="I2663" s="6" t="s">
        <v>17</v>
      </c>
      <c r="J2663" s="7" t="s">
        <v>18</v>
      </c>
      <c r="K2663" s="7" t="s">
        <v>19</v>
      </c>
      <c r="L2663" s="8">
        <v>1.772389199948E12</v>
      </c>
      <c r="M2663" s="9"/>
      <c r="N2663" s="10"/>
      <c r="O2663" s="10"/>
      <c r="P2663" s="10"/>
      <c r="Q2663" s="10"/>
      <c r="R2663" s="10"/>
      <c r="S2663" s="10"/>
      <c r="T2663" s="10"/>
      <c r="U2663" s="10"/>
      <c r="V2663" s="10"/>
    </row>
    <row r="2664" ht="22.5" customHeight="1">
      <c r="A2664" s="5">
        <v>2.06254569599E11</v>
      </c>
      <c r="B2664" s="5" t="s">
        <v>2484</v>
      </c>
      <c r="C2664" s="5">
        <v>5591993960516</v>
      </c>
      <c r="D2664" s="5" t="s">
        <v>38</v>
      </c>
      <c r="E2664" s="5">
        <v>7.9360573E7</v>
      </c>
      <c r="F2664" s="5"/>
      <c r="G2664" s="5"/>
      <c r="H2664" s="5"/>
      <c r="I2664" s="6"/>
      <c r="J2664" s="7" t="s">
        <v>34</v>
      </c>
      <c r="K2664" s="7"/>
      <c r="L2664" s="8">
        <v>1.772389439171E12</v>
      </c>
      <c r="M2664" s="9"/>
      <c r="N2664" s="10"/>
      <c r="O2664" s="10"/>
      <c r="P2664" s="10"/>
      <c r="Q2664" s="10"/>
      <c r="R2664" s="10"/>
      <c r="S2664" s="10"/>
      <c r="T2664" s="10"/>
      <c r="U2664" s="10"/>
      <c r="V2664" s="10"/>
    </row>
    <row r="2665" ht="22.5" customHeight="1">
      <c r="A2665" s="5">
        <v>2.06254203439E11</v>
      </c>
      <c r="B2665" s="5" t="s">
        <v>2485</v>
      </c>
      <c r="C2665" s="5">
        <v>5547996402198</v>
      </c>
      <c r="D2665" s="5" t="s">
        <v>13</v>
      </c>
      <c r="E2665" s="5">
        <v>7.9360573E7</v>
      </c>
      <c r="F2665" s="5" t="s">
        <v>14</v>
      </c>
      <c r="G2665" s="5" t="s">
        <v>15</v>
      </c>
      <c r="H2665" s="5" t="s">
        <v>51</v>
      </c>
      <c r="I2665" s="6"/>
      <c r="J2665" s="7" t="s">
        <v>124</v>
      </c>
      <c r="K2665" s="7" t="s">
        <v>1256</v>
      </c>
      <c r="L2665" s="8">
        <v>1.77239021336E12</v>
      </c>
      <c r="M2665" s="9"/>
      <c r="N2665" s="10"/>
      <c r="O2665" s="10"/>
      <c r="P2665" s="10"/>
      <c r="Q2665" s="10"/>
      <c r="R2665" s="10"/>
      <c r="S2665" s="10"/>
      <c r="T2665" s="10"/>
      <c r="U2665" s="10"/>
      <c r="V2665" s="10"/>
    </row>
    <row r="2666" ht="22.5" customHeight="1">
      <c r="A2666" s="5">
        <v>1.73671435273E11</v>
      </c>
      <c r="B2666" s="5" t="s">
        <v>2486</v>
      </c>
      <c r="C2666" s="5">
        <v>51989107407</v>
      </c>
      <c r="D2666" s="5" t="s">
        <v>13</v>
      </c>
      <c r="E2666" s="5">
        <v>8.0566583E7</v>
      </c>
      <c r="F2666" s="5" t="s">
        <v>28</v>
      </c>
      <c r="G2666" s="5" t="s">
        <v>32</v>
      </c>
      <c r="H2666" s="5" t="s">
        <v>114</v>
      </c>
      <c r="I2666" s="6" t="s">
        <v>17</v>
      </c>
      <c r="J2666" s="7" t="s">
        <v>25</v>
      </c>
      <c r="K2666" s="7" t="s">
        <v>26</v>
      </c>
      <c r="L2666" s="8">
        <v>1.772393580511E12</v>
      </c>
      <c r="M2666" s="9"/>
      <c r="N2666" s="10"/>
      <c r="O2666" s="10"/>
      <c r="P2666" s="10"/>
      <c r="Q2666" s="10"/>
      <c r="R2666" s="10"/>
      <c r="S2666" s="10"/>
      <c r="T2666" s="10"/>
      <c r="U2666" s="10"/>
      <c r="V2666" s="10"/>
    </row>
    <row r="2667" ht="22.5" customHeight="1">
      <c r="A2667" s="5">
        <v>2.06260305779E11</v>
      </c>
      <c r="B2667" s="5" t="s">
        <v>2487</v>
      </c>
      <c r="C2667" s="5">
        <v>5515998130040</v>
      </c>
      <c r="D2667" s="5" t="s">
        <v>13</v>
      </c>
      <c r="E2667" s="5">
        <v>7.9360573E7</v>
      </c>
      <c r="F2667" s="5" t="s">
        <v>28</v>
      </c>
      <c r="G2667" s="5" t="s">
        <v>15</v>
      </c>
      <c r="H2667" s="5" t="s">
        <v>16</v>
      </c>
      <c r="I2667" s="6" t="s">
        <v>17</v>
      </c>
      <c r="J2667" s="7" t="s">
        <v>124</v>
      </c>
      <c r="K2667" s="7" t="s">
        <v>1256</v>
      </c>
      <c r="L2667" s="8">
        <v>1.772395088683E12</v>
      </c>
      <c r="M2667" s="9"/>
      <c r="N2667" s="10"/>
      <c r="O2667" s="10"/>
      <c r="P2667" s="10"/>
      <c r="Q2667" s="10"/>
      <c r="R2667" s="10"/>
      <c r="S2667" s="10"/>
      <c r="T2667" s="10"/>
      <c r="U2667" s="10"/>
      <c r="V2667" s="10"/>
    </row>
    <row r="2668" ht="22.5" customHeight="1">
      <c r="A2668" s="5">
        <v>2.06261305211E11</v>
      </c>
      <c r="B2668" s="5" t="s">
        <v>2488</v>
      </c>
      <c r="C2668" s="5">
        <v>5581989907126</v>
      </c>
      <c r="D2668" s="5" t="s">
        <v>13</v>
      </c>
      <c r="E2668" s="5">
        <v>7.9360573E7</v>
      </c>
      <c r="F2668" s="5" t="s">
        <v>39</v>
      </c>
      <c r="G2668" s="5" t="s">
        <v>15</v>
      </c>
      <c r="H2668" s="5" t="s">
        <v>16</v>
      </c>
      <c r="I2668" s="6" t="s">
        <v>17</v>
      </c>
      <c r="J2668" s="7" t="s">
        <v>124</v>
      </c>
      <c r="K2668" s="7" t="s">
        <v>1256</v>
      </c>
      <c r="L2668" s="8">
        <v>1.772395934071E12</v>
      </c>
      <c r="M2668" s="9"/>
      <c r="N2668" s="10"/>
      <c r="O2668" s="10"/>
      <c r="P2668" s="10"/>
      <c r="Q2668" s="10"/>
      <c r="R2668" s="10"/>
      <c r="S2668" s="10"/>
      <c r="T2668" s="10"/>
      <c r="U2668" s="10"/>
      <c r="V2668" s="10"/>
    </row>
    <row r="2669" ht="22.5" customHeight="1">
      <c r="A2669" s="5">
        <v>2.06251642534E11</v>
      </c>
      <c r="B2669" s="5" t="s">
        <v>2489</v>
      </c>
      <c r="C2669" s="5">
        <v>51940025517</v>
      </c>
      <c r="D2669" s="5" t="s">
        <v>22</v>
      </c>
      <c r="E2669" s="5">
        <v>8.7547393E7</v>
      </c>
      <c r="F2669" s="5" t="s">
        <v>39</v>
      </c>
      <c r="G2669" s="5" t="s">
        <v>44</v>
      </c>
      <c r="H2669" s="5" t="s">
        <v>24</v>
      </c>
      <c r="I2669" s="6" t="s">
        <v>49</v>
      </c>
      <c r="J2669" s="7" t="s">
        <v>403</v>
      </c>
      <c r="K2669" s="7">
        <v>236025.0</v>
      </c>
      <c r="L2669" s="8">
        <v>1.772396523171E12</v>
      </c>
      <c r="M2669" s="9"/>
      <c r="N2669" s="10"/>
      <c r="O2669" s="10"/>
      <c r="P2669" s="10"/>
      <c r="Q2669" s="10"/>
      <c r="R2669" s="10"/>
      <c r="S2669" s="10"/>
      <c r="T2669" s="10"/>
      <c r="U2669" s="10"/>
      <c r="V2669" s="10"/>
    </row>
    <row r="2670" ht="22.5" customHeight="1">
      <c r="A2670" s="5">
        <v>2.06249120819E11</v>
      </c>
      <c r="B2670" s="5" t="s">
        <v>2490</v>
      </c>
      <c r="C2670" s="5">
        <v>51950114067</v>
      </c>
      <c r="D2670" s="5" t="s">
        <v>13</v>
      </c>
      <c r="E2670" s="5">
        <v>8.0566583E7</v>
      </c>
      <c r="F2670" s="5" t="s">
        <v>28</v>
      </c>
      <c r="G2670" s="5" t="s">
        <v>15</v>
      </c>
      <c r="H2670" s="5" t="s">
        <v>24</v>
      </c>
      <c r="I2670" s="6" t="s">
        <v>63</v>
      </c>
      <c r="J2670" s="7" t="s">
        <v>18</v>
      </c>
      <c r="K2670" s="7" t="s">
        <v>19</v>
      </c>
      <c r="L2670" s="8">
        <v>1.772397158031E12</v>
      </c>
      <c r="M2670" s="9"/>
      <c r="N2670" s="10"/>
      <c r="O2670" s="10"/>
      <c r="P2670" s="10"/>
      <c r="Q2670" s="10"/>
      <c r="R2670" s="10"/>
      <c r="S2670" s="10"/>
      <c r="T2670" s="10"/>
      <c r="U2670" s="10"/>
      <c r="V2670" s="10"/>
    </row>
    <row r="2671" ht="22.5" customHeight="1">
      <c r="A2671" s="5">
        <v>2.0625393384E11</v>
      </c>
      <c r="B2671" s="5" t="s">
        <v>2491</v>
      </c>
      <c r="C2671" s="5">
        <v>51916827646</v>
      </c>
      <c r="D2671" s="5" t="s">
        <v>13</v>
      </c>
      <c r="E2671" s="5">
        <v>8.0566583E7</v>
      </c>
      <c r="F2671" s="5" t="s">
        <v>39</v>
      </c>
      <c r="G2671" s="5" t="s">
        <v>15</v>
      </c>
      <c r="H2671" s="5" t="s">
        <v>16</v>
      </c>
      <c r="I2671" s="6" t="s">
        <v>17</v>
      </c>
      <c r="J2671" s="7" t="s">
        <v>18</v>
      </c>
      <c r="K2671" s="7" t="s">
        <v>19</v>
      </c>
      <c r="L2671" s="8">
        <v>1.772397302541E12</v>
      </c>
      <c r="M2671" s="9"/>
      <c r="N2671" s="10"/>
      <c r="O2671" s="10"/>
      <c r="P2671" s="10"/>
      <c r="Q2671" s="10"/>
      <c r="R2671" s="10"/>
      <c r="S2671" s="10"/>
      <c r="T2671" s="10"/>
      <c r="U2671" s="10"/>
      <c r="V2671" s="10"/>
    </row>
    <row r="2672" ht="22.5" customHeight="1">
      <c r="A2672" s="5">
        <v>2.06259354709E11</v>
      </c>
      <c r="B2672" s="5" t="s">
        <v>2492</v>
      </c>
      <c r="C2672" s="5">
        <v>51987930688</v>
      </c>
      <c r="D2672" s="5" t="s">
        <v>13</v>
      </c>
      <c r="E2672" s="5">
        <v>8.7547393E7</v>
      </c>
      <c r="F2672" s="5" t="s">
        <v>28</v>
      </c>
      <c r="G2672" s="5" t="s">
        <v>32</v>
      </c>
      <c r="H2672" s="5" t="s">
        <v>16</v>
      </c>
      <c r="I2672" s="6" t="s">
        <v>63</v>
      </c>
      <c r="J2672" s="7" t="s">
        <v>34</v>
      </c>
      <c r="K2672" s="7"/>
      <c r="L2672" s="8">
        <v>1.77239756214E12</v>
      </c>
      <c r="M2672" s="9"/>
      <c r="N2672" s="10"/>
      <c r="O2672" s="10"/>
      <c r="P2672" s="10"/>
      <c r="Q2672" s="10"/>
      <c r="R2672" s="10"/>
      <c r="S2672" s="10"/>
      <c r="T2672" s="10"/>
      <c r="U2672" s="10"/>
      <c r="V2672" s="10"/>
    </row>
    <row r="2673" ht="22.5" customHeight="1">
      <c r="A2673" s="5">
        <v>2.06263763234E11</v>
      </c>
      <c r="B2673" s="5" t="s">
        <v>2493</v>
      </c>
      <c r="C2673" s="5">
        <v>51928001286</v>
      </c>
      <c r="D2673" s="5" t="s">
        <v>13</v>
      </c>
      <c r="E2673" s="5">
        <v>8.7547393E7</v>
      </c>
      <c r="F2673" s="5" t="s">
        <v>39</v>
      </c>
      <c r="G2673" s="5" t="s">
        <v>32</v>
      </c>
      <c r="H2673" s="5" t="s">
        <v>643</v>
      </c>
      <c r="I2673" s="6" t="s">
        <v>17</v>
      </c>
      <c r="J2673" s="7" t="s">
        <v>18</v>
      </c>
      <c r="K2673" s="7" t="s">
        <v>19</v>
      </c>
      <c r="L2673" s="8">
        <v>1.772398539169E12</v>
      </c>
      <c r="M2673" s="9"/>
      <c r="N2673" s="10"/>
      <c r="O2673" s="10"/>
      <c r="P2673" s="10"/>
      <c r="Q2673" s="10"/>
      <c r="R2673" s="10"/>
      <c r="S2673" s="10"/>
      <c r="T2673" s="10"/>
      <c r="U2673" s="10"/>
      <c r="V2673" s="10"/>
    </row>
    <row r="2674" ht="22.5" customHeight="1">
      <c r="A2674" s="5">
        <v>2.06262329445E11</v>
      </c>
      <c r="B2674" s="5" t="s">
        <v>2494</v>
      </c>
      <c r="C2674" s="5">
        <v>51918424072</v>
      </c>
      <c r="D2674" s="5" t="s">
        <v>38</v>
      </c>
      <c r="E2674" s="5">
        <v>8.0566583E7</v>
      </c>
      <c r="F2674" s="5" t="s">
        <v>259</v>
      </c>
      <c r="G2674" s="5" t="s">
        <v>44</v>
      </c>
      <c r="H2674" s="5" t="s">
        <v>24</v>
      </c>
      <c r="I2674" s="6" t="s">
        <v>36</v>
      </c>
      <c r="J2674" s="7" t="s">
        <v>34</v>
      </c>
      <c r="K2674" s="7"/>
      <c r="L2674" s="8">
        <v>1.772398567274E12</v>
      </c>
      <c r="M2674" s="9"/>
      <c r="N2674" s="10"/>
      <c r="O2674" s="10"/>
      <c r="P2674" s="10"/>
      <c r="Q2674" s="10"/>
      <c r="R2674" s="10"/>
      <c r="S2674" s="10"/>
      <c r="T2674" s="10"/>
      <c r="U2674" s="10"/>
      <c r="V2674" s="10"/>
    </row>
    <row r="2675" ht="22.5" customHeight="1">
      <c r="A2675" s="5">
        <v>2.06263459954E11</v>
      </c>
      <c r="B2675" s="5" t="s">
        <v>2495</v>
      </c>
      <c r="C2675" s="5">
        <v>51940569562</v>
      </c>
      <c r="D2675" s="5" t="s">
        <v>13</v>
      </c>
      <c r="E2675" s="5">
        <v>8.7547393E7</v>
      </c>
      <c r="F2675" s="5" t="s">
        <v>259</v>
      </c>
      <c r="G2675" s="5" t="s">
        <v>15</v>
      </c>
      <c r="H2675" s="5" t="s">
        <v>66</v>
      </c>
      <c r="I2675" s="6" t="s">
        <v>17</v>
      </c>
      <c r="J2675" s="7" t="s">
        <v>34</v>
      </c>
      <c r="K2675" s="7"/>
      <c r="L2675" s="8">
        <v>1.772398584221E12</v>
      </c>
      <c r="M2675" s="9"/>
      <c r="N2675" s="10"/>
      <c r="O2675" s="10"/>
      <c r="P2675" s="10"/>
      <c r="Q2675" s="10"/>
      <c r="R2675" s="10"/>
      <c r="S2675" s="10"/>
      <c r="T2675" s="10"/>
      <c r="U2675" s="10"/>
      <c r="V2675" s="10"/>
    </row>
    <row r="2676" ht="22.5" customHeight="1">
      <c r="A2676" s="5">
        <v>1.93986076594E11</v>
      </c>
      <c r="B2676" s="5" t="s">
        <v>2496</v>
      </c>
      <c r="C2676" s="5">
        <v>51904955947</v>
      </c>
      <c r="D2676" s="5" t="s">
        <v>13</v>
      </c>
      <c r="E2676" s="5"/>
      <c r="F2676" s="5" t="s">
        <v>714</v>
      </c>
      <c r="G2676" s="5" t="s">
        <v>44</v>
      </c>
      <c r="H2676" s="5" t="s">
        <v>114</v>
      </c>
      <c r="I2676" s="6" t="s">
        <v>17</v>
      </c>
      <c r="J2676" s="7" t="s">
        <v>34</v>
      </c>
      <c r="K2676" s="7"/>
      <c r="L2676" s="8">
        <v>1.772399896151E12</v>
      </c>
      <c r="M2676" s="9"/>
      <c r="N2676" s="10"/>
      <c r="O2676" s="10"/>
      <c r="P2676" s="10"/>
      <c r="Q2676" s="10"/>
      <c r="R2676" s="10"/>
      <c r="S2676" s="10"/>
      <c r="T2676" s="10"/>
      <c r="U2676" s="10"/>
      <c r="V2676" s="10"/>
    </row>
    <row r="2677" ht="22.5" customHeight="1">
      <c r="A2677" s="5">
        <v>2.06268537099E11</v>
      </c>
      <c r="B2677" s="5" t="s">
        <v>2497</v>
      </c>
      <c r="C2677" s="5">
        <v>5534998377305</v>
      </c>
      <c r="D2677" s="5" t="s">
        <v>13</v>
      </c>
      <c r="E2677" s="5">
        <v>7.9360573E7</v>
      </c>
      <c r="F2677" s="5" t="s">
        <v>28</v>
      </c>
      <c r="G2677" s="5" t="s">
        <v>32</v>
      </c>
      <c r="H2677" s="5" t="s">
        <v>16</v>
      </c>
      <c r="I2677" s="6" t="s">
        <v>17</v>
      </c>
      <c r="J2677" s="7" t="s">
        <v>124</v>
      </c>
      <c r="K2677" s="7" t="s">
        <v>1256</v>
      </c>
      <c r="L2677" s="8">
        <v>1.772402109757E12</v>
      </c>
      <c r="M2677" s="9"/>
      <c r="N2677" s="10"/>
      <c r="O2677" s="10"/>
      <c r="P2677" s="10"/>
      <c r="Q2677" s="10"/>
      <c r="R2677" s="10"/>
      <c r="S2677" s="10"/>
      <c r="T2677" s="10"/>
      <c r="U2677" s="10"/>
      <c r="V2677" s="10"/>
    </row>
    <row r="2678" ht="22.5" customHeight="1">
      <c r="A2678" s="5">
        <v>2.06276794286E11</v>
      </c>
      <c r="B2678" s="5" t="s">
        <v>2498</v>
      </c>
      <c r="C2678" s="5">
        <v>5543984820716</v>
      </c>
      <c r="D2678" s="5" t="s">
        <v>13</v>
      </c>
      <c r="E2678" s="5">
        <v>7.9360573E7</v>
      </c>
      <c r="F2678" s="5" t="s">
        <v>259</v>
      </c>
      <c r="G2678" s="5" t="s">
        <v>15</v>
      </c>
      <c r="H2678" s="5" t="s">
        <v>51</v>
      </c>
      <c r="I2678" s="6" t="s">
        <v>17</v>
      </c>
      <c r="J2678" s="7" t="s">
        <v>124</v>
      </c>
      <c r="K2678" s="7" t="s">
        <v>125</v>
      </c>
      <c r="L2678" s="8">
        <v>1.772404131847E12</v>
      </c>
      <c r="M2678" s="9"/>
      <c r="N2678" s="10"/>
      <c r="O2678" s="10"/>
      <c r="P2678" s="10"/>
      <c r="Q2678" s="10"/>
      <c r="R2678" s="10"/>
      <c r="S2678" s="10"/>
      <c r="T2678" s="10"/>
      <c r="U2678" s="10"/>
      <c r="V2678" s="10"/>
    </row>
    <row r="2679" ht="22.5" customHeight="1">
      <c r="A2679" s="5">
        <v>2.06272452375E11</v>
      </c>
      <c r="B2679" s="5" t="s">
        <v>2499</v>
      </c>
      <c r="C2679" s="5">
        <v>51958613718</v>
      </c>
      <c r="D2679" s="5" t="s">
        <v>38</v>
      </c>
      <c r="E2679" s="5">
        <v>8.0566583E7</v>
      </c>
      <c r="F2679" s="5"/>
      <c r="G2679" s="5"/>
      <c r="H2679" s="5"/>
      <c r="I2679" s="6"/>
      <c r="J2679" s="7" t="s">
        <v>18</v>
      </c>
      <c r="K2679" s="7" t="s">
        <v>19</v>
      </c>
      <c r="L2679" s="8">
        <v>1.772405052103E12</v>
      </c>
      <c r="M2679" s="9"/>
      <c r="N2679" s="10"/>
      <c r="O2679" s="10"/>
      <c r="P2679" s="10"/>
      <c r="Q2679" s="10"/>
      <c r="R2679" s="10"/>
      <c r="S2679" s="10"/>
      <c r="T2679" s="10"/>
      <c r="U2679" s="10"/>
      <c r="V2679" s="10"/>
    </row>
    <row r="2680" ht="22.5" customHeight="1">
      <c r="A2680" s="5">
        <v>2.06278915719E11</v>
      </c>
      <c r="B2680" s="5" t="s">
        <v>2500</v>
      </c>
      <c r="C2680" s="5">
        <v>5577988410967</v>
      </c>
      <c r="D2680" s="5" t="s">
        <v>38</v>
      </c>
      <c r="E2680" s="5">
        <v>7.9360573E7</v>
      </c>
      <c r="F2680" s="5"/>
      <c r="G2680" s="5"/>
      <c r="H2680" s="5"/>
      <c r="I2680" s="6"/>
      <c r="J2680" s="7" t="s">
        <v>34</v>
      </c>
      <c r="K2680" s="7"/>
      <c r="L2680" s="8">
        <v>1.772406584933E12</v>
      </c>
      <c r="M2680" s="9"/>
      <c r="N2680" s="10"/>
      <c r="O2680" s="10"/>
      <c r="P2680" s="10"/>
      <c r="Q2680" s="10"/>
      <c r="R2680" s="10"/>
      <c r="S2680" s="10"/>
      <c r="T2680" s="10"/>
      <c r="U2680" s="10"/>
      <c r="V2680" s="10"/>
    </row>
    <row r="2681" ht="22.5" customHeight="1">
      <c r="A2681" s="5">
        <v>2.06272433016E11</v>
      </c>
      <c r="B2681" s="5" t="s">
        <v>2501</v>
      </c>
      <c r="C2681" s="5">
        <v>51975000429</v>
      </c>
      <c r="D2681" s="5" t="s">
        <v>13</v>
      </c>
      <c r="E2681" s="5">
        <v>8.7547393E7</v>
      </c>
      <c r="F2681" s="5" t="s">
        <v>93</v>
      </c>
      <c r="G2681" s="5" t="s">
        <v>15</v>
      </c>
      <c r="H2681" s="5" t="s">
        <v>51</v>
      </c>
      <c r="I2681" s="6" t="s">
        <v>17</v>
      </c>
      <c r="J2681" s="7" t="s">
        <v>25</v>
      </c>
      <c r="K2681" s="7" t="s">
        <v>501</v>
      </c>
      <c r="L2681" s="8">
        <v>1.772408511268E12</v>
      </c>
      <c r="M2681" s="9"/>
      <c r="N2681" s="10"/>
      <c r="O2681" s="10"/>
      <c r="P2681" s="10"/>
      <c r="Q2681" s="10"/>
      <c r="R2681" s="10"/>
      <c r="S2681" s="10"/>
      <c r="T2681" s="10"/>
      <c r="U2681" s="10"/>
      <c r="V2681" s="10"/>
    </row>
    <row r="2682" ht="22.5" customHeight="1">
      <c r="A2682" s="5">
        <v>1.78675090524E11</v>
      </c>
      <c r="B2682" s="5" t="s">
        <v>2502</v>
      </c>
      <c r="C2682" s="5">
        <v>51935056963</v>
      </c>
      <c r="D2682" s="5" t="s">
        <v>13</v>
      </c>
      <c r="E2682" s="5">
        <v>8.7547393E7</v>
      </c>
      <c r="F2682" s="5" t="s">
        <v>714</v>
      </c>
      <c r="G2682" s="5" t="s">
        <v>15</v>
      </c>
      <c r="H2682" s="5" t="s">
        <v>51</v>
      </c>
      <c r="I2682" s="6" t="s">
        <v>17</v>
      </c>
      <c r="J2682" s="7" t="s">
        <v>18</v>
      </c>
      <c r="K2682" s="7" t="s">
        <v>116</v>
      </c>
      <c r="L2682" s="8">
        <v>1.772409057371E12</v>
      </c>
      <c r="M2682" s="9"/>
      <c r="N2682" s="10"/>
      <c r="O2682" s="10"/>
      <c r="P2682" s="10"/>
      <c r="Q2682" s="10"/>
      <c r="R2682" s="10"/>
      <c r="S2682" s="10"/>
      <c r="T2682" s="10"/>
      <c r="U2682" s="10"/>
      <c r="V2682" s="10"/>
    </row>
    <row r="2683" ht="22.5" customHeight="1">
      <c r="A2683" s="5">
        <v>1.89695706294E11</v>
      </c>
      <c r="B2683" s="5" t="s">
        <v>2503</v>
      </c>
      <c r="C2683" s="5">
        <v>51991146032</v>
      </c>
      <c r="D2683" s="5" t="s">
        <v>38</v>
      </c>
      <c r="E2683" s="5"/>
      <c r="F2683" s="5"/>
      <c r="G2683" s="5"/>
      <c r="H2683" s="5"/>
      <c r="I2683" s="6"/>
      <c r="J2683" s="7" t="s">
        <v>18</v>
      </c>
      <c r="K2683" s="7" t="s">
        <v>19</v>
      </c>
      <c r="L2683" s="8">
        <v>1.772412307619E12</v>
      </c>
      <c r="M2683" s="9"/>
      <c r="N2683" s="10"/>
      <c r="O2683" s="10"/>
      <c r="P2683" s="10"/>
      <c r="Q2683" s="10"/>
      <c r="R2683" s="10"/>
      <c r="S2683" s="10"/>
      <c r="T2683" s="10"/>
      <c r="U2683" s="10"/>
      <c r="V2683" s="10"/>
    </row>
    <row r="2684" ht="22.5" customHeight="1">
      <c r="A2684" s="5">
        <v>2.06301681478E11</v>
      </c>
      <c r="B2684" s="5" t="s">
        <v>2504</v>
      </c>
      <c r="C2684" s="5">
        <v>5565981312164</v>
      </c>
      <c r="D2684" s="5" t="s">
        <v>13</v>
      </c>
      <c r="E2684" s="5">
        <v>7.9360573E7</v>
      </c>
      <c r="F2684" s="5" t="s">
        <v>259</v>
      </c>
      <c r="G2684" s="5" t="s">
        <v>15</v>
      </c>
      <c r="H2684" s="5" t="s">
        <v>112</v>
      </c>
      <c r="I2684" s="6" t="s">
        <v>17</v>
      </c>
      <c r="J2684" s="7" t="s">
        <v>34</v>
      </c>
      <c r="K2684" s="7"/>
      <c r="L2684" s="8">
        <v>1.772413499188E12</v>
      </c>
      <c r="M2684" s="9"/>
      <c r="N2684" s="10"/>
      <c r="O2684" s="10"/>
      <c r="P2684" s="10"/>
      <c r="Q2684" s="10"/>
      <c r="R2684" s="10"/>
      <c r="S2684" s="10"/>
      <c r="T2684" s="10"/>
      <c r="U2684" s="10"/>
      <c r="V2684" s="10"/>
    </row>
    <row r="2685" ht="22.5" customHeight="1">
      <c r="A2685" s="5">
        <v>2.06292538392E11</v>
      </c>
      <c r="B2685" s="5" t="s">
        <v>2505</v>
      </c>
      <c r="C2685" s="5">
        <v>5547984173175</v>
      </c>
      <c r="D2685" s="5" t="s">
        <v>38</v>
      </c>
      <c r="E2685" s="5">
        <v>7.9360573E7</v>
      </c>
      <c r="F2685" s="5"/>
      <c r="G2685" s="5"/>
      <c r="H2685" s="5"/>
      <c r="I2685" s="6"/>
      <c r="J2685" s="7" t="s">
        <v>34</v>
      </c>
      <c r="K2685" s="7"/>
      <c r="L2685" s="8">
        <v>1.77241544618E12</v>
      </c>
      <c r="M2685" s="9"/>
      <c r="N2685" s="10"/>
      <c r="O2685" s="10"/>
      <c r="P2685" s="10"/>
      <c r="Q2685" s="10"/>
      <c r="R2685" s="10"/>
      <c r="S2685" s="10"/>
      <c r="T2685" s="10"/>
      <c r="U2685" s="10"/>
      <c r="V2685" s="10"/>
    </row>
    <row r="2686" ht="22.5" customHeight="1">
      <c r="A2686" s="5">
        <v>2.0629491935E11</v>
      </c>
      <c r="B2686" s="5" t="s">
        <v>2506</v>
      </c>
      <c r="C2686" s="5">
        <v>5534997101877</v>
      </c>
      <c r="D2686" s="5" t="s">
        <v>103</v>
      </c>
      <c r="E2686" s="5">
        <v>7.9360573E7</v>
      </c>
      <c r="F2686" s="5" t="s">
        <v>28</v>
      </c>
      <c r="G2686" s="5" t="s">
        <v>79</v>
      </c>
      <c r="H2686" s="5" t="s">
        <v>24</v>
      </c>
      <c r="I2686" s="6" t="s">
        <v>49</v>
      </c>
      <c r="J2686" s="7" t="s">
        <v>34</v>
      </c>
      <c r="K2686" s="7"/>
      <c r="L2686" s="8">
        <v>1.772416687026E12</v>
      </c>
      <c r="M2686" s="9"/>
      <c r="N2686" s="10"/>
      <c r="O2686" s="10"/>
      <c r="P2686" s="10"/>
      <c r="Q2686" s="10"/>
      <c r="R2686" s="10"/>
      <c r="S2686" s="10"/>
      <c r="T2686" s="10"/>
      <c r="U2686" s="10"/>
      <c r="V2686" s="10"/>
    </row>
    <row r="2687" ht="22.5" customHeight="1">
      <c r="A2687" s="5">
        <v>2.06302006061E11</v>
      </c>
      <c r="B2687" s="5" t="s">
        <v>2507</v>
      </c>
      <c r="C2687" s="5">
        <v>51947507244</v>
      </c>
      <c r="D2687" s="5" t="s">
        <v>13</v>
      </c>
      <c r="E2687" s="5">
        <v>8.0566583E7</v>
      </c>
      <c r="F2687" s="5" t="s">
        <v>39</v>
      </c>
      <c r="G2687" s="5" t="s">
        <v>15</v>
      </c>
      <c r="H2687" s="5" t="s">
        <v>51</v>
      </c>
      <c r="I2687" s="6"/>
      <c r="J2687" s="7" t="s">
        <v>34</v>
      </c>
      <c r="K2687" s="7"/>
      <c r="L2687" s="8">
        <v>1.772417028379E12</v>
      </c>
      <c r="M2687" s="9"/>
      <c r="N2687" s="10"/>
      <c r="O2687" s="10"/>
      <c r="P2687" s="10"/>
      <c r="Q2687" s="10"/>
      <c r="R2687" s="10"/>
      <c r="S2687" s="10"/>
      <c r="T2687" s="10"/>
      <c r="U2687" s="10"/>
      <c r="V2687" s="10"/>
    </row>
    <row r="2688" ht="22.5" customHeight="1">
      <c r="A2688" s="5">
        <v>2.06297125442E11</v>
      </c>
      <c r="B2688" s="5" t="s">
        <v>2508</v>
      </c>
      <c r="C2688" s="5">
        <v>5592994633300</v>
      </c>
      <c r="D2688" s="5" t="s">
        <v>13</v>
      </c>
      <c r="E2688" s="5">
        <v>7.9360573E7</v>
      </c>
      <c r="F2688" s="5" t="s">
        <v>714</v>
      </c>
      <c r="G2688" s="5" t="s">
        <v>32</v>
      </c>
      <c r="H2688" s="5" t="s">
        <v>16</v>
      </c>
      <c r="I2688" s="6"/>
      <c r="J2688" s="7" t="s">
        <v>34</v>
      </c>
      <c r="K2688" s="7"/>
      <c r="L2688" s="8">
        <v>1.772419378915E12</v>
      </c>
      <c r="M2688" s="9"/>
      <c r="N2688" s="10"/>
      <c r="O2688" s="10"/>
      <c r="P2688" s="10"/>
      <c r="Q2688" s="10"/>
      <c r="R2688" s="10"/>
      <c r="S2688" s="10"/>
      <c r="T2688" s="10"/>
      <c r="U2688" s="10"/>
      <c r="V2688" s="10"/>
    </row>
    <row r="2689" ht="22.5" customHeight="1">
      <c r="A2689" s="5">
        <v>2.03679812735E11</v>
      </c>
      <c r="B2689" s="5" t="s">
        <v>1400</v>
      </c>
      <c r="C2689" s="5">
        <v>51973174112</v>
      </c>
      <c r="D2689" s="5" t="s">
        <v>13</v>
      </c>
      <c r="E2689" s="5">
        <v>8.0566583E7</v>
      </c>
      <c r="F2689" s="5" t="s">
        <v>93</v>
      </c>
      <c r="G2689" s="5" t="s">
        <v>15</v>
      </c>
      <c r="H2689" s="5" t="s">
        <v>24</v>
      </c>
      <c r="I2689" s="6" t="s">
        <v>17</v>
      </c>
      <c r="J2689" s="7" t="s">
        <v>34</v>
      </c>
      <c r="K2689" s="7"/>
      <c r="L2689" s="8">
        <v>1.772419561961E12</v>
      </c>
      <c r="M2689" s="9"/>
      <c r="N2689" s="10"/>
      <c r="O2689" s="10"/>
      <c r="P2689" s="10"/>
      <c r="Q2689" s="10"/>
      <c r="R2689" s="10"/>
      <c r="S2689" s="10"/>
      <c r="T2689" s="10"/>
      <c r="U2689" s="10"/>
      <c r="V2689" s="10"/>
    </row>
    <row r="2690" ht="22.5" customHeight="1">
      <c r="A2690" s="5">
        <v>2.06295800727E11</v>
      </c>
      <c r="B2690" s="5" t="s">
        <v>2509</v>
      </c>
      <c r="C2690" s="5">
        <v>5521980870741</v>
      </c>
      <c r="D2690" s="5" t="s">
        <v>22</v>
      </c>
      <c r="E2690" s="5">
        <v>7.9360573E7</v>
      </c>
      <c r="F2690" s="5" t="s">
        <v>93</v>
      </c>
      <c r="G2690" s="5" t="s">
        <v>32</v>
      </c>
      <c r="H2690" s="5" t="s">
        <v>24</v>
      </c>
      <c r="I2690" s="6" t="s">
        <v>17</v>
      </c>
      <c r="J2690" s="7" t="s">
        <v>34</v>
      </c>
      <c r="K2690" s="7"/>
      <c r="L2690" s="8">
        <v>1.772419647354E12</v>
      </c>
      <c r="M2690" s="9"/>
      <c r="N2690" s="10"/>
      <c r="O2690" s="10"/>
      <c r="P2690" s="10"/>
      <c r="Q2690" s="10"/>
      <c r="R2690" s="10"/>
      <c r="S2690" s="10"/>
      <c r="T2690" s="10"/>
      <c r="U2690" s="10"/>
      <c r="V2690" s="10"/>
    </row>
    <row r="2691" ht="22.5" customHeight="1">
      <c r="A2691" s="5">
        <v>2.06308207022E11</v>
      </c>
      <c r="B2691" s="5" t="s">
        <v>2510</v>
      </c>
      <c r="C2691" s="5">
        <v>5588996063232</v>
      </c>
      <c r="D2691" s="5" t="s">
        <v>13</v>
      </c>
      <c r="E2691" s="5">
        <v>7.9360573E7</v>
      </c>
      <c r="F2691" s="5" t="s">
        <v>510</v>
      </c>
      <c r="G2691" s="5" t="s">
        <v>15</v>
      </c>
      <c r="H2691" s="5" t="s">
        <v>33</v>
      </c>
      <c r="I2691" s="6" t="s">
        <v>17</v>
      </c>
      <c r="J2691" s="7" t="s">
        <v>34</v>
      </c>
      <c r="K2691" s="7"/>
      <c r="L2691" s="8">
        <v>1.772420663404E12</v>
      </c>
      <c r="M2691" s="9"/>
      <c r="N2691" s="10"/>
      <c r="O2691" s="10"/>
      <c r="P2691" s="10"/>
      <c r="Q2691" s="10"/>
      <c r="R2691" s="10"/>
      <c r="S2691" s="10"/>
      <c r="T2691" s="10"/>
      <c r="U2691" s="10"/>
      <c r="V2691" s="10"/>
    </row>
    <row r="2692" ht="22.5" customHeight="1">
      <c r="A2692" s="5">
        <v>2.06309617267E11</v>
      </c>
      <c r="B2692" s="5" t="s">
        <v>2511</v>
      </c>
      <c r="C2692" s="5">
        <v>5549991103065</v>
      </c>
      <c r="D2692" s="5" t="s">
        <v>22</v>
      </c>
      <c r="E2692" s="5">
        <v>7.9360573E7</v>
      </c>
      <c r="F2692" s="5" t="s">
        <v>28</v>
      </c>
      <c r="G2692" s="5" t="s">
        <v>44</v>
      </c>
      <c r="H2692" s="5" t="s">
        <v>16</v>
      </c>
      <c r="I2692" s="6" t="s">
        <v>17</v>
      </c>
      <c r="J2692" s="7" t="s">
        <v>34</v>
      </c>
      <c r="K2692" s="7"/>
      <c r="L2692" s="8">
        <v>1.772421127522E12</v>
      </c>
      <c r="M2692" s="9"/>
      <c r="N2692" s="10"/>
      <c r="O2692" s="10"/>
      <c r="P2692" s="10"/>
      <c r="Q2692" s="10"/>
      <c r="R2692" s="10"/>
      <c r="S2692" s="10"/>
      <c r="T2692" s="10"/>
      <c r="U2692" s="10"/>
      <c r="V2692" s="10"/>
    </row>
    <row r="2693" ht="22.5" customHeight="1">
      <c r="A2693" s="5">
        <v>2.06310051942E11</v>
      </c>
      <c r="B2693" s="5" t="s">
        <v>2512</v>
      </c>
      <c r="C2693" s="5">
        <v>51977499330</v>
      </c>
      <c r="D2693" s="5" t="s">
        <v>13</v>
      </c>
      <c r="E2693" s="5">
        <v>8.7547393E7</v>
      </c>
      <c r="F2693" s="5"/>
      <c r="G2693" s="5" t="s">
        <v>15</v>
      </c>
      <c r="H2693" s="5" t="s">
        <v>66</v>
      </c>
      <c r="I2693" s="6" t="s">
        <v>17</v>
      </c>
      <c r="J2693" s="7" t="s">
        <v>18</v>
      </c>
      <c r="K2693" s="7" t="s">
        <v>19</v>
      </c>
      <c r="L2693" s="8">
        <v>1.772421685618E12</v>
      </c>
      <c r="M2693" s="9"/>
      <c r="N2693" s="10"/>
      <c r="O2693" s="10"/>
      <c r="P2693" s="10"/>
      <c r="Q2693" s="10"/>
      <c r="R2693" s="10"/>
      <c r="S2693" s="10"/>
      <c r="T2693" s="10"/>
      <c r="U2693" s="10"/>
      <c r="V2693" s="10"/>
    </row>
    <row r="2694" ht="22.5" customHeight="1">
      <c r="A2694" s="5">
        <v>2.06313405462E11</v>
      </c>
      <c r="B2694" s="5" t="s">
        <v>2513</v>
      </c>
      <c r="C2694" s="5">
        <v>51918909967</v>
      </c>
      <c r="D2694" s="5" t="s">
        <v>13</v>
      </c>
      <c r="E2694" s="5">
        <v>8.0566583E7</v>
      </c>
      <c r="F2694" s="5" t="s">
        <v>39</v>
      </c>
      <c r="G2694" s="5" t="s">
        <v>15</v>
      </c>
      <c r="H2694" s="5" t="s">
        <v>51</v>
      </c>
      <c r="I2694" s="6" t="s">
        <v>17</v>
      </c>
      <c r="J2694" s="7" t="s">
        <v>18</v>
      </c>
      <c r="K2694" s="7" t="s">
        <v>19</v>
      </c>
      <c r="L2694" s="8">
        <v>1.772423590028E12</v>
      </c>
      <c r="M2694" s="9"/>
      <c r="N2694" s="10"/>
      <c r="O2694" s="10"/>
      <c r="P2694" s="10"/>
      <c r="Q2694" s="10"/>
      <c r="R2694" s="10"/>
      <c r="S2694" s="10"/>
      <c r="T2694" s="10"/>
      <c r="U2694" s="10"/>
      <c r="V2694" s="10"/>
    </row>
    <row r="2695" ht="22.5" customHeight="1">
      <c r="A2695" s="5">
        <v>2.06314533174E11</v>
      </c>
      <c r="B2695" s="5" t="s">
        <v>2514</v>
      </c>
      <c r="C2695" s="5">
        <v>51902844784</v>
      </c>
      <c r="D2695" s="5" t="s">
        <v>13</v>
      </c>
      <c r="E2695" s="5">
        <v>8.0566583E7</v>
      </c>
      <c r="F2695" s="5" t="s">
        <v>39</v>
      </c>
      <c r="G2695" s="5" t="s">
        <v>15</v>
      </c>
      <c r="H2695" s="5" t="s">
        <v>51</v>
      </c>
      <c r="I2695" s="6" t="s">
        <v>17</v>
      </c>
      <c r="J2695" s="7" t="s">
        <v>18</v>
      </c>
      <c r="K2695" s="7" t="s">
        <v>19</v>
      </c>
      <c r="L2695" s="8">
        <v>1.772425443478E12</v>
      </c>
      <c r="M2695" s="9"/>
      <c r="N2695" s="10"/>
      <c r="O2695" s="10"/>
      <c r="P2695" s="10"/>
      <c r="Q2695" s="10"/>
      <c r="R2695" s="10"/>
      <c r="S2695" s="10"/>
      <c r="T2695" s="10"/>
      <c r="U2695" s="10"/>
      <c r="V2695" s="10"/>
    </row>
    <row r="2696" ht="22.5" customHeight="1">
      <c r="A2696" s="5">
        <v>2.06316932783E11</v>
      </c>
      <c r="B2696" s="5" t="s">
        <v>2515</v>
      </c>
      <c r="C2696" s="5">
        <v>5554994730317</v>
      </c>
      <c r="D2696" s="5" t="s">
        <v>22</v>
      </c>
      <c r="E2696" s="5">
        <v>7.9360573E7</v>
      </c>
      <c r="F2696" s="5" t="s">
        <v>93</v>
      </c>
      <c r="G2696" s="5" t="s">
        <v>32</v>
      </c>
      <c r="H2696" s="5" t="s">
        <v>80</v>
      </c>
      <c r="I2696" s="6" t="s">
        <v>148</v>
      </c>
      <c r="J2696" s="7" t="s">
        <v>34</v>
      </c>
      <c r="K2696" s="7"/>
      <c r="L2696" s="8">
        <v>1.772426445328E12</v>
      </c>
      <c r="M2696" s="9"/>
      <c r="N2696" s="10"/>
      <c r="O2696" s="10"/>
      <c r="P2696" s="10"/>
      <c r="Q2696" s="10"/>
      <c r="R2696" s="10"/>
      <c r="S2696" s="10"/>
      <c r="T2696" s="10"/>
      <c r="U2696" s="10"/>
      <c r="V2696" s="10"/>
    </row>
    <row r="2697" ht="22.5" customHeight="1">
      <c r="A2697" s="5">
        <v>2.06330281768E11</v>
      </c>
      <c r="B2697" s="5" t="s">
        <v>2516</v>
      </c>
      <c r="C2697" s="5">
        <v>51970933241</v>
      </c>
      <c r="D2697" s="5" t="s">
        <v>38</v>
      </c>
      <c r="E2697" s="5">
        <v>8.0566583E7</v>
      </c>
      <c r="F2697" s="5" t="s">
        <v>259</v>
      </c>
      <c r="G2697" s="5" t="s">
        <v>15</v>
      </c>
      <c r="H2697" s="5" t="s">
        <v>16</v>
      </c>
      <c r="I2697" s="6" t="s">
        <v>89</v>
      </c>
      <c r="J2697" s="7" t="s">
        <v>18</v>
      </c>
      <c r="K2697" s="7" t="s">
        <v>19</v>
      </c>
      <c r="L2697" s="8">
        <v>1.772430617781E12</v>
      </c>
      <c r="M2697" s="9"/>
      <c r="N2697" s="10"/>
      <c r="O2697" s="10"/>
      <c r="P2697" s="10"/>
      <c r="Q2697" s="10"/>
      <c r="R2697" s="10"/>
      <c r="S2697" s="10"/>
      <c r="T2697" s="10"/>
      <c r="U2697" s="10"/>
      <c r="V2697" s="10"/>
    </row>
    <row r="2698" ht="22.5" customHeight="1">
      <c r="A2698" s="5">
        <v>2.06332622473E11</v>
      </c>
      <c r="B2698" s="5" t="s">
        <v>2517</v>
      </c>
      <c r="C2698" s="5">
        <v>5518997000903</v>
      </c>
      <c r="D2698" s="5" t="s">
        <v>13</v>
      </c>
      <c r="E2698" s="5">
        <v>7.9360573E7</v>
      </c>
      <c r="F2698" s="5" t="s">
        <v>14</v>
      </c>
      <c r="G2698" s="5" t="s">
        <v>32</v>
      </c>
      <c r="H2698" s="5" t="s">
        <v>16</v>
      </c>
      <c r="I2698" s="6" t="s">
        <v>63</v>
      </c>
      <c r="J2698" s="7" t="s">
        <v>34</v>
      </c>
      <c r="K2698" s="7"/>
      <c r="L2698" s="8">
        <v>1.772430661362E12</v>
      </c>
      <c r="M2698" s="9"/>
      <c r="N2698" s="10"/>
      <c r="O2698" s="10"/>
      <c r="P2698" s="10"/>
      <c r="Q2698" s="10"/>
      <c r="R2698" s="10"/>
      <c r="S2698" s="10"/>
      <c r="T2698" s="10"/>
      <c r="U2698" s="10"/>
      <c r="V2698" s="10"/>
    </row>
    <row r="2699" ht="22.5" customHeight="1">
      <c r="A2699" s="5">
        <v>2.06343803447E11</v>
      </c>
      <c r="B2699" s="5" t="s">
        <v>2518</v>
      </c>
      <c r="C2699" s="5">
        <v>51994081607</v>
      </c>
      <c r="D2699" s="5" t="s">
        <v>13</v>
      </c>
      <c r="E2699" s="5">
        <v>8.7547393E7</v>
      </c>
      <c r="F2699" s="5" t="s">
        <v>14</v>
      </c>
      <c r="G2699" s="5" t="s">
        <v>15</v>
      </c>
      <c r="H2699" s="5" t="s">
        <v>51</v>
      </c>
      <c r="I2699" s="6" t="s">
        <v>17</v>
      </c>
      <c r="J2699" s="7" t="s">
        <v>18</v>
      </c>
      <c r="K2699" s="7" t="s">
        <v>19</v>
      </c>
      <c r="L2699" s="8">
        <v>1.772431002946E12</v>
      </c>
      <c r="M2699" s="9"/>
      <c r="N2699" s="10"/>
      <c r="O2699" s="10"/>
      <c r="P2699" s="10"/>
      <c r="Q2699" s="10"/>
      <c r="R2699" s="10"/>
      <c r="S2699" s="10"/>
      <c r="T2699" s="10"/>
      <c r="U2699" s="10"/>
      <c r="V2699" s="10"/>
    </row>
    <row r="2700" ht="22.5" customHeight="1">
      <c r="A2700" s="5">
        <v>2.0630611971E11</v>
      </c>
      <c r="B2700" s="5" t="s">
        <v>2519</v>
      </c>
      <c r="C2700" s="5">
        <v>51955008650</v>
      </c>
      <c r="D2700" s="5" t="s">
        <v>13</v>
      </c>
      <c r="E2700" s="5">
        <v>8.0566583E7</v>
      </c>
      <c r="F2700" s="5" t="s">
        <v>510</v>
      </c>
      <c r="G2700" s="5" t="s">
        <v>32</v>
      </c>
      <c r="H2700" s="5" t="s">
        <v>51</v>
      </c>
      <c r="I2700" s="6" t="s">
        <v>17</v>
      </c>
      <c r="J2700" s="7" t="s">
        <v>18</v>
      </c>
      <c r="K2700" s="7" t="s">
        <v>19</v>
      </c>
      <c r="L2700" s="8">
        <v>1.772431283928E12</v>
      </c>
      <c r="M2700" s="9"/>
      <c r="N2700" s="10"/>
      <c r="O2700" s="10"/>
      <c r="P2700" s="10"/>
      <c r="Q2700" s="10"/>
      <c r="R2700" s="10"/>
      <c r="S2700" s="10"/>
      <c r="T2700" s="10"/>
      <c r="U2700" s="10"/>
      <c r="V2700" s="10"/>
    </row>
    <row r="2701" ht="22.5" customHeight="1">
      <c r="A2701" s="5">
        <v>2.00195241016E11</v>
      </c>
      <c r="B2701" s="5" t="s">
        <v>2520</v>
      </c>
      <c r="C2701" s="5">
        <v>51989672924</v>
      </c>
      <c r="D2701" s="5" t="s">
        <v>13</v>
      </c>
      <c r="E2701" s="5">
        <v>8.0566583E7</v>
      </c>
      <c r="F2701" s="5" t="s">
        <v>14</v>
      </c>
      <c r="G2701" s="5" t="s">
        <v>32</v>
      </c>
      <c r="H2701" s="5" t="s">
        <v>16</v>
      </c>
      <c r="I2701" s="6" t="s">
        <v>17</v>
      </c>
      <c r="J2701" s="7" t="s">
        <v>34</v>
      </c>
      <c r="K2701" s="7"/>
      <c r="L2701" s="8">
        <v>1.772433428125E12</v>
      </c>
      <c r="M2701" s="9"/>
      <c r="N2701" s="10"/>
      <c r="O2701" s="10"/>
      <c r="P2701" s="10"/>
      <c r="Q2701" s="10"/>
      <c r="R2701" s="10"/>
      <c r="S2701" s="10"/>
      <c r="T2701" s="10"/>
      <c r="U2701" s="10"/>
      <c r="V2701" s="10"/>
    </row>
    <row r="2702" ht="22.5" customHeight="1">
      <c r="A2702" s="5">
        <v>2.06334733997E11</v>
      </c>
      <c r="B2702" s="5" t="s">
        <v>2521</v>
      </c>
      <c r="C2702" s="5">
        <v>51940996347</v>
      </c>
      <c r="D2702" s="5" t="s">
        <v>13</v>
      </c>
      <c r="E2702" s="5">
        <v>8.7547393E7</v>
      </c>
      <c r="F2702" s="5" t="s">
        <v>259</v>
      </c>
      <c r="G2702" s="5" t="s">
        <v>15</v>
      </c>
      <c r="H2702" s="5" t="s">
        <v>66</v>
      </c>
      <c r="I2702" s="6" t="s">
        <v>63</v>
      </c>
      <c r="J2702" s="7" t="s">
        <v>18</v>
      </c>
      <c r="K2702" s="7" t="s">
        <v>19</v>
      </c>
      <c r="L2702" s="8">
        <v>1.772433666505E12</v>
      </c>
      <c r="M2702" s="9"/>
      <c r="N2702" s="10"/>
      <c r="O2702" s="10"/>
      <c r="P2702" s="10"/>
      <c r="Q2702" s="10"/>
      <c r="R2702" s="10"/>
      <c r="S2702" s="10"/>
      <c r="T2702" s="10"/>
      <c r="U2702" s="10"/>
      <c r="V2702" s="10"/>
    </row>
    <row r="2703" ht="22.5" customHeight="1">
      <c r="A2703" s="5">
        <v>2.06336236661E11</v>
      </c>
      <c r="B2703" s="5" t="s">
        <v>2522</v>
      </c>
      <c r="C2703" s="5">
        <v>51955634809</v>
      </c>
      <c r="D2703" s="5" t="s">
        <v>13</v>
      </c>
      <c r="E2703" s="5">
        <v>8.7547393E7</v>
      </c>
      <c r="F2703" s="5" t="s">
        <v>714</v>
      </c>
      <c r="G2703" s="5">
        <v>50</v>
      </c>
      <c r="H2703" s="5" t="s">
        <v>51</v>
      </c>
      <c r="I2703" s="6" t="s">
        <v>17</v>
      </c>
      <c r="J2703" s="7" t="s">
        <v>18</v>
      </c>
      <c r="K2703" s="7" t="s">
        <v>19</v>
      </c>
      <c r="L2703" s="8">
        <v>1.77243469828E12</v>
      </c>
      <c r="M2703" s="9"/>
      <c r="N2703" s="10"/>
      <c r="O2703" s="10"/>
      <c r="P2703" s="10"/>
      <c r="Q2703" s="10"/>
      <c r="R2703" s="10"/>
      <c r="S2703" s="10"/>
      <c r="T2703" s="10"/>
      <c r="U2703" s="10"/>
      <c r="V2703" s="10"/>
    </row>
    <row r="2704" ht="22.5" customHeight="1">
      <c r="A2704" s="5">
        <v>2.06338486544E11</v>
      </c>
      <c r="B2704" s="5" t="s">
        <v>2523</v>
      </c>
      <c r="C2704" s="5">
        <v>51929963526</v>
      </c>
      <c r="D2704" s="5" t="s">
        <v>13</v>
      </c>
      <c r="E2704" s="5">
        <v>8.0566583E7</v>
      </c>
      <c r="F2704" s="5" t="s">
        <v>39</v>
      </c>
      <c r="G2704" s="5" t="s">
        <v>15</v>
      </c>
      <c r="H2704" s="5" t="s">
        <v>51</v>
      </c>
      <c r="I2704" s="6" t="s">
        <v>17</v>
      </c>
      <c r="J2704" s="7" t="s">
        <v>18</v>
      </c>
      <c r="K2704" s="7" t="s">
        <v>19</v>
      </c>
      <c r="L2704" s="8">
        <v>1.772435062357E12</v>
      </c>
      <c r="M2704" s="9"/>
      <c r="N2704" s="10"/>
      <c r="O2704" s="10"/>
      <c r="P2704" s="10"/>
      <c r="Q2704" s="10"/>
      <c r="R2704" s="10"/>
      <c r="S2704" s="10"/>
      <c r="T2704" s="10"/>
      <c r="U2704" s="10"/>
      <c r="V2704" s="10"/>
    </row>
    <row r="2705" ht="22.5" customHeight="1">
      <c r="A2705" s="5">
        <v>2.06376085643E11</v>
      </c>
      <c r="B2705" s="5" t="s">
        <v>2524</v>
      </c>
      <c r="C2705" s="5">
        <v>5575991822450</v>
      </c>
      <c r="D2705" s="5" t="s">
        <v>13</v>
      </c>
      <c r="E2705" s="5">
        <v>7.9360573E7</v>
      </c>
      <c r="F2705" s="5" t="s">
        <v>259</v>
      </c>
      <c r="G2705" s="5" t="s">
        <v>32</v>
      </c>
      <c r="H2705" s="5" t="s">
        <v>66</v>
      </c>
      <c r="I2705" s="6" t="s">
        <v>17</v>
      </c>
      <c r="J2705" s="7" t="s">
        <v>124</v>
      </c>
      <c r="K2705" s="7" t="s">
        <v>1256</v>
      </c>
      <c r="L2705" s="8">
        <v>1.772448248327E12</v>
      </c>
      <c r="M2705" s="9"/>
      <c r="N2705" s="10"/>
      <c r="O2705" s="10"/>
      <c r="P2705" s="10"/>
      <c r="Q2705" s="10"/>
      <c r="R2705" s="10"/>
      <c r="S2705" s="10"/>
      <c r="T2705" s="10"/>
      <c r="U2705" s="10"/>
      <c r="V2705" s="10"/>
    </row>
    <row r="2706" ht="22.5" customHeight="1">
      <c r="A2706" s="5">
        <v>2.06376085643E11</v>
      </c>
      <c r="B2706" s="5" t="s">
        <v>2524</v>
      </c>
      <c r="C2706" s="5">
        <v>5575991822450</v>
      </c>
      <c r="D2706" s="5" t="s">
        <v>13</v>
      </c>
      <c r="E2706" s="5">
        <v>7.9360573E7</v>
      </c>
      <c r="F2706" s="5" t="s">
        <v>259</v>
      </c>
      <c r="G2706" s="5" t="s">
        <v>32</v>
      </c>
      <c r="H2706" s="5" t="s">
        <v>66</v>
      </c>
      <c r="I2706" s="6" t="s">
        <v>17</v>
      </c>
      <c r="J2706" s="7" t="s">
        <v>124</v>
      </c>
      <c r="K2706" s="7" t="s">
        <v>1256</v>
      </c>
      <c r="L2706" s="8">
        <v>1.772449316551E12</v>
      </c>
      <c r="M2706" s="9"/>
      <c r="N2706" s="10"/>
      <c r="O2706" s="10"/>
      <c r="P2706" s="10"/>
      <c r="Q2706" s="10"/>
      <c r="R2706" s="10"/>
      <c r="S2706" s="10"/>
      <c r="T2706" s="10"/>
      <c r="U2706" s="10"/>
      <c r="V2706" s="10"/>
    </row>
    <row r="2707" ht="22.5" customHeight="1">
      <c r="A2707" s="5">
        <v>2.06406693273E11</v>
      </c>
      <c r="B2707" s="5" t="s">
        <v>2525</v>
      </c>
      <c r="C2707" s="5">
        <v>5533991046802</v>
      </c>
      <c r="D2707" s="5" t="s">
        <v>13</v>
      </c>
      <c r="E2707" s="5">
        <v>7.9360573E7</v>
      </c>
      <c r="F2707" s="5" t="s">
        <v>65</v>
      </c>
      <c r="G2707" s="5" t="s">
        <v>15</v>
      </c>
      <c r="H2707" s="5" t="s">
        <v>69</v>
      </c>
      <c r="I2707" s="6" t="s">
        <v>17</v>
      </c>
      <c r="J2707" s="7" t="s">
        <v>124</v>
      </c>
      <c r="K2707" s="7" t="s">
        <v>1256</v>
      </c>
      <c r="L2707" s="8">
        <v>1.772450811054E12</v>
      </c>
      <c r="M2707" s="9"/>
      <c r="N2707" s="10"/>
      <c r="O2707" s="10"/>
      <c r="P2707" s="10"/>
      <c r="Q2707" s="10"/>
      <c r="R2707" s="10"/>
      <c r="S2707" s="10"/>
      <c r="T2707" s="10"/>
      <c r="U2707" s="10"/>
      <c r="V2707" s="10"/>
    </row>
    <row r="2708" ht="22.5" customHeight="1">
      <c r="A2708" s="5">
        <v>2.06405923388E11</v>
      </c>
      <c r="B2708" s="5" t="s">
        <v>2526</v>
      </c>
      <c r="C2708" s="5">
        <v>51992514227</v>
      </c>
      <c r="D2708" s="5" t="s">
        <v>13</v>
      </c>
      <c r="E2708" s="5">
        <v>8.7547393E7</v>
      </c>
      <c r="F2708" s="5" t="s">
        <v>714</v>
      </c>
      <c r="G2708" s="5" t="s">
        <v>44</v>
      </c>
      <c r="H2708" s="5" t="s">
        <v>69</v>
      </c>
      <c r="I2708" s="6" t="s">
        <v>17</v>
      </c>
      <c r="J2708" s="7" t="s">
        <v>18</v>
      </c>
      <c r="K2708" s="7" t="s">
        <v>19</v>
      </c>
      <c r="L2708" s="8">
        <v>1.772451064893E12</v>
      </c>
      <c r="M2708" s="9"/>
      <c r="N2708" s="10"/>
      <c r="O2708" s="10"/>
      <c r="P2708" s="10"/>
      <c r="Q2708" s="10"/>
      <c r="R2708" s="10"/>
      <c r="S2708" s="10"/>
      <c r="T2708" s="10"/>
      <c r="U2708" s="10"/>
      <c r="V2708" s="10"/>
    </row>
    <row r="2709" ht="22.5" customHeight="1">
      <c r="A2709" s="5">
        <v>2.06408311851E11</v>
      </c>
      <c r="B2709" s="5" t="s">
        <v>2527</v>
      </c>
      <c r="C2709" s="5">
        <v>51901210263</v>
      </c>
      <c r="D2709" s="5" t="s">
        <v>13</v>
      </c>
      <c r="E2709" s="5">
        <v>8.7547393E7</v>
      </c>
      <c r="F2709" s="5" t="s">
        <v>82</v>
      </c>
      <c r="G2709" s="5" t="s">
        <v>15</v>
      </c>
      <c r="H2709" s="5" t="s">
        <v>16</v>
      </c>
      <c r="I2709" s="6" t="s">
        <v>17</v>
      </c>
      <c r="J2709" s="7" t="s">
        <v>18</v>
      </c>
      <c r="K2709" s="7" t="s">
        <v>19</v>
      </c>
      <c r="L2709" s="8">
        <v>1.772451494056E12</v>
      </c>
      <c r="M2709" s="9"/>
      <c r="N2709" s="10"/>
      <c r="O2709" s="10"/>
      <c r="P2709" s="10"/>
      <c r="Q2709" s="10"/>
      <c r="R2709" s="10"/>
      <c r="S2709" s="10"/>
      <c r="T2709" s="10"/>
      <c r="U2709" s="10"/>
      <c r="V2709" s="10"/>
    </row>
    <row r="2710" ht="22.5" customHeight="1">
      <c r="A2710" s="5">
        <v>2.03182723156E11</v>
      </c>
      <c r="B2710" s="5" t="s">
        <v>1264</v>
      </c>
      <c r="C2710" s="5">
        <v>34655067331</v>
      </c>
      <c r="D2710" s="5" t="s">
        <v>13</v>
      </c>
      <c r="E2710" s="5">
        <v>8.0566583E7</v>
      </c>
      <c r="F2710" s="5" t="s">
        <v>510</v>
      </c>
      <c r="G2710" s="5" t="s">
        <v>15</v>
      </c>
      <c r="H2710" s="5" t="s">
        <v>16</v>
      </c>
      <c r="I2710" s="6" t="s">
        <v>17</v>
      </c>
      <c r="J2710" s="7" t="s">
        <v>34</v>
      </c>
      <c r="K2710" s="7"/>
      <c r="L2710" s="8">
        <v>1.7724518297E12</v>
      </c>
      <c r="M2710" s="9"/>
      <c r="N2710" s="10"/>
      <c r="O2710" s="10"/>
      <c r="P2710" s="10"/>
      <c r="Q2710" s="10"/>
      <c r="R2710" s="10"/>
      <c r="S2710" s="10"/>
      <c r="T2710" s="10"/>
      <c r="U2710" s="10"/>
      <c r="V2710" s="10"/>
    </row>
    <row r="2711" ht="22.5" customHeight="1">
      <c r="A2711" s="5">
        <v>2.06412016264E11</v>
      </c>
      <c r="B2711" s="5" t="s">
        <v>2528</v>
      </c>
      <c r="C2711" s="5">
        <v>51934053157</v>
      </c>
      <c r="D2711" s="5" t="s">
        <v>13</v>
      </c>
      <c r="E2711" s="5">
        <v>8.0566583E7</v>
      </c>
      <c r="F2711" s="5" t="s">
        <v>39</v>
      </c>
      <c r="G2711" s="5" t="s">
        <v>15</v>
      </c>
      <c r="H2711" s="5" t="s">
        <v>69</v>
      </c>
      <c r="I2711" s="6" t="s">
        <v>17</v>
      </c>
      <c r="J2711" s="7" t="s">
        <v>18</v>
      </c>
      <c r="K2711" s="7" t="s">
        <v>19</v>
      </c>
      <c r="L2711" s="8">
        <v>1.772454570277E12</v>
      </c>
      <c r="M2711" s="9"/>
      <c r="N2711" s="10"/>
      <c r="O2711" s="10"/>
      <c r="P2711" s="10"/>
      <c r="Q2711" s="10"/>
      <c r="R2711" s="10"/>
      <c r="S2711" s="10"/>
      <c r="T2711" s="10"/>
      <c r="U2711" s="10"/>
      <c r="V2711" s="10"/>
    </row>
    <row r="2712" ht="22.5" customHeight="1">
      <c r="A2712" s="5">
        <v>2.06416107036E11</v>
      </c>
      <c r="B2712" s="5" t="s">
        <v>2529</v>
      </c>
      <c r="C2712" s="5">
        <v>51970229132</v>
      </c>
      <c r="D2712" s="5" t="s">
        <v>13</v>
      </c>
      <c r="E2712" s="5">
        <v>8.0566583E7</v>
      </c>
      <c r="F2712" s="5" t="s">
        <v>65</v>
      </c>
      <c r="G2712" s="5" t="s">
        <v>15</v>
      </c>
      <c r="H2712" s="5" t="s">
        <v>51</v>
      </c>
      <c r="I2712" s="6" t="s">
        <v>17</v>
      </c>
      <c r="J2712" s="7" t="s">
        <v>18</v>
      </c>
      <c r="K2712" s="7" t="s">
        <v>19</v>
      </c>
      <c r="L2712" s="8">
        <v>1.772455076115E12</v>
      </c>
      <c r="M2712" s="9"/>
      <c r="N2712" s="10"/>
      <c r="O2712" s="10"/>
      <c r="P2712" s="10"/>
      <c r="Q2712" s="10"/>
      <c r="R2712" s="10"/>
      <c r="S2712" s="10"/>
      <c r="T2712" s="10"/>
      <c r="U2712" s="10"/>
      <c r="V2712" s="10"/>
    </row>
    <row r="2713" ht="22.5" customHeight="1">
      <c r="A2713" s="5">
        <v>2.06424213601E11</v>
      </c>
      <c r="B2713" s="5" t="s">
        <v>2530</v>
      </c>
      <c r="C2713" s="5">
        <v>51999093939</v>
      </c>
      <c r="D2713" s="5" t="s">
        <v>38</v>
      </c>
      <c r="E2713" s="5">
        <v>8.7547393E7</v>
      </c>
      <c r="F2713" s="5" t="s">
        <v>93</v>
      </c>
      <c r="G2713" s="5" t="s">
        <v>15</v>
      </c>
      <c r="H2713" s="5" t="s">
        <v>51</v>
      </c>
      <c r="I2713" s="6" t="s">
        <v>17</v>
      </c>
      <c r="J2713" s="7" t="s">
        <v>18</v>
      </c>
      <c r="K2713" s="7" t="s">
        <v>19</v>
      </c>
      <c r="L2713" s="8">
        <v>1.772455825438E12</v>
      </c>
      <c r="M2713" s="9"/>
      <c r="N2713" s="10"/>
      <c r="O2713" s="10"/>
      <c r="P2713" s="10"/>
      <c r="Q2713" s="10"/>
      <c r="R2713" s="10"/>
      <c r="S2713" s="10"/>
      <c r="T2713" s="10"/>
      <c r="U2713" s="10"/>
      <c r="V2713" s="10"/>
    </row>
    <row r="2714" ht="22.5" customHeight="1">
      <c r="A2714" s="5">
        <v>2.0380523918E11</v>
      </c>
      <c r="B2714" s="5" t="s">
        <v>2531</v>
      </c>
      <c r="C2714" s="5">
        <v>51902653533</v>
      </c>
      <c r="D2714" s="5" t="s">
        <v>13</v>
      </c>
      <c r="E2714" s="5">
        <v>8.0566583E7</v>
      </c>
      <c r="F2714" s="5" t="s">
        <v>39</v>
      </c>
      <c r="G2714" s="5"/>
      <c r="H2714" s="5"/>
      <c r="I2714" s="6" t="s">
        <v>17</v>
      </c>
      <c r="J2714" s="7" t="s">
        <v>18</v>
      </c>
      <c r="K2714" s="7" t="s">
        <v>19</v>
      </c>
      <c r="L2714" s="8">
        <v>1.772456273434E12</v>
      </c>
      <c r="M2714" s="9"/>
      <c r="N2714" s="10"/>
      <c r="O2714" s="10"/>
      <c r="P2714" s="10"/>
      <c r="Q2714" s="10"/>
      <c r="R2714" s="10"/>
      <c r="S2714" s="10"/>
      <c r="T2714" s="10"/>
      <c r="U2714" s="10"/>
      <c r="V2714" s="10"/>
    </row>
    <row r="2715" ht="22.5" customHeight="1">
      <c r="A2715" s="5">
        <v>2.06419686024E11</v>
      </c>
      <c r="B2715" s="5" t="s">
        <v>2532</v>
      </c>
      <c r="C2715" s="5">
        <v>51991192869</v>
      </c>
      <c r="D2715" s="5" t="s">
        <v>38</v>
      </c>
      <c r="E2715" s="5">
        <v>8.0566583E7</v>
      </c>
      <c r="F2715" s="5"/>
      <c r="G2715" s="5"/>
      <c r="H2715" s="5"/>
      <c r="I2715" s="6"/>
      <c r="J2715" s="7" t="s">
        <v>18</v>
      </c>
      <c r="K2715" s="7" t="s">
        <v>19</v>
      </c>
      <c r="L2715" s="8">
        <v>1.772456271857E12</v>
      </c>
      <c r="M2715" s="9"/>
      <c r="N2715" s="10"/>
      <c r="O2715" s="10"/>
      <c r="P2715" s="10"/>
      <c r="Q2715" s="10"/>
      <c r="R2715" s="10"/>
      <c r="S2715" s="10"/>
      <c r="T2715" s="10"/>
      <c r="U2715" s="10"/>
      <c r="V2715" s="10"/>
    </row>
    <row r="2716" ht="22.5" customHeight="1">
      <c r="A2716" s="5">
        <v>2.06234370607E11</v>
      </c>
      <c r="B2716" s="5" t="s">
        <v>2533</v>
      </c>
      <c r="C2716" s="5">
        <v>51981878154</v>
      </c>
      <c r="D2716" s="5" t="s">
        <v>13</v>
      </c>
      <c r="E2716" s="5">
        <v>8.7547393E7</v>
      </c>
      <c r="F2716" s="5" t="s">
        <v>28</v>
      </c>
      <c r="G2716" s="5" t="s">
        <v>15</v>
      </c>
      <c r="H2716" s="5" t="s">
        <v>51</v>
      </c>
      <c r="I2716" s="6" t="s">
        <v>17</v>
      </c>
      <c r="J2716" s="7" t="s">
        <v>18</v>
      </c>
      <c r="K2716" s="7" t="s">
        <v>19</v>
      </c>
      <c r="L2716" s="8">
        <v>1.77245665659E12</v>
      </c>
      <c r="M2716" s="9"/>
      <c r="N2716" s="10"/>
      <c r="O2716" s="10"/>
      <c r="P2716" s="10"/>
      <c r="Q2716" s="10"/>
      <c r="R2716" s="10"/>
      <c r="S2716" s="10"/>
      <c r="T2716" s="10"/>
      <c r="U2716" s="10"/>
      <c r="V2716" s="10"/>
    </row>
    <row r="2717" ht="22.5" customHeight="1">
      <c r="A2717" s="5">
        <v>2.06430617432E11</v>
      </c>
      <c r="B2717" s="5" t="s">
        <v>2534</v>
      </c>
      <c r="C2717" s="5">
        <v>51921080678</v>
      </c>
      <c r="D2717" s="5" t="s">
        <v>13</v>
      </c>
      <c r="E2717" s="5">
        <v>8.0566583E7</v>
      </c>
      <c r="F2717" s="5" t="s">
        <v>28</v>
      </c>
      <c r="G2717" s="5" t="s">
        <v>15</v>
      </c>
      <c r="H2717" s="5" t="s">
        <v>69</v>
      </c>
      <c r="I2717" s="6" t="s">
        <v>17</v>
      </c>
      <c r="J2717" s="7" t="s">
        <v>18</v>
      </c>
      <c r="K2717" s="7" t="s">
        <v>19</v>
      </c>
      <c r="L2717" s="8">
        <v>1.772459035564E12</v>
      </c>
      <c r="M2717" s="9"/>
      <c r="N2717" s="10"/>
      <c r="O2717" s="10"/>
      <c r="P2717" s="10"/>
      <c r="Q2717" s="10"/>
      <c r="R2717" s="10"/>
      <c r="S2717" s="10"/>
      <c r="T2717" s="10"/>
      <c r="U2717" s="10"/>
      <c r="V2717" s="10"/>
    </row>
    <row r="2718" ht="22.5" customHeight="1">
      <c r="A2718" s="5">
        <v>1.73506990413E11</v>
      </c>
      <c r="B2718" s="5" t="s">
        <v>2535</v>
      </c>
      <c r="C2718" s="5">
        <v>51970425528</v>
      </c>
      <c r="D2718" s="5" t="s">
        <v>13</v>
      </c>
      <c r="E2718" s="5">
        <v>8.0566583E7</v>
      </c>
      <c r="F2718" s="5" t="s">
        <v>39</v>
      </c>
      <c r="G2718" s="5" t="s">
        <v>15</v>
      </c>
      <c r="H2718" s="5" t="s">
        <v>16</v>
      </c>
      <c r="I2718" s="6" t="s">
        <v>17</v>
      </c>
      <c r="J2718" s="7" t="s">
        <v>18</v>
      </c>
      <c r="K2718" s="7" t="s">
        <v>19</v>
      </c>
      <c r="L2718" s="8">
        <v>1.772459331662E12</v>
      </c>
      <c r="M2718" s="9"/>
      <c r="N2718" s="10"/>
      <c r="O2718" s="10"/>
      <c r="P2718" s="10"/>
      <c r="Q2718" s="10"/>
      <c r="R2718" s="10"/>
      <c r="S2718" s="10"/>
      <c r="T2718" s="10"/>
      <c r="U2718" s="10"/>
      <c r="V2718" s="10"/>
    </row>
    <row r="2719" ht="22.5" customHeight="1">
      <c r="A2719" s="5">
        <v>2.06439680643E11</v>
      </c>
      <c r="B2719" s="5" t="s">
        <v>2536</v>
      </c>
      <c r="C2719" s="5">
        <v>51983245827</v>
      </c>
      <c r="D2719" s="5" t="s">
        <v>13</v>
      </c>
      <c r="E2719" s="5">
        <v>8.7547393E7</v>
      </c>
      <c r="F2719" s="5" t="s">
        <v>65</v>
      </c>
      <c r="G2719" s="5" t="s">
        <v>44</v>
      </c>
      <c r="H2719" s="5" t="s">
        <v>51</v>
      </c>
      <c r="I2719" s="6" t="s">
        <v>17</v>
      </c>
      <c r="J2719" s="7" t="s">
        <v>18</v>
      </c>
      <c r="K2719" s="7" t="s">
        <v>19</v>
      </c>
      <c r="L2719" s="8">
        <v>1.772460125157E12</v>
      </c>
      <c r="M2719" s="9"/>
      <c r="N2719" s="10"/>
      <c r="O2719" s="10"/>
      <c r="P2719" s="10"/>
      <c r="Q2719" s="10"/>
      <c r="R2719" s="10"/>
      <c r="S2719" s="10"/>
      <c r="T2719" s="10"/>
      <c r="U2719" s="10"/>
      <c r="V2719" s="10"/>
    </row>
    <row r="2720" ht="22.5" customHeight="1">
      <c r="A2720" s="5">
        <v>1.69590635811E11</v>
      </c>
      <c r="B2720" s="5" t="s">
        <v>2537</v>
      </c>
      <c r="C2720" s="5">
        <v>51989495710</v>
      </c>
      <c r="D2720" s="5" t="s">
        <v>103</v>
      </c>
      <c r="E2720" s="5">
        <v>8.0566583E7</v>
      </c>
      <c r="F2720" s="5" t="s">
        <v>39</v>
      </c>
      <c r="G2720" s="5" t="s">
        <v>79</v>
      </c>
      <c r="H2720" s="5" t="s">
        <v>16</v>
      </c>
      <c r="I2720" s="6" t="s">
        <v>17</v>
      </c>
      <c r="J2720" s="7" t="s">
        <v>124</v>
      </c>
      <c r="K2720" s="7" t="s">
        <v>2538</v>
      </c>
      <c r="L2720" s="8">
        <v>1.77246108309E12</v>
      </c>
      <c r="M2720" s="9"/>
      <c r="N2720" s="10"/>
      <c r="O2720" s="10"/>
      <c r="P2720" s="10"/>
      <c r="Q2720" s="10"/>
      <c r="R2720" s="10"/>
      <c r="S2720" s="10"/>
      <c r="T2720" s="10"/>
      <c r="U2720" s="10"/>
      <c r="V2720" s="10"/>
    </row>
    <row r="2721" ht="22.5" customHeight="1">
      <c r="A2721" s="5">
        <v>2.06434116462E11</v>
      </c>
      <c r="B2721" s="5" t="s">
        <v>2539</v>
      </c>
      <c r="C2721" s="5">
        <v>51956200051</v>
      </c>
      <c r="D2721" s="5" t="s">
        <v>13</v>
      </c>
      <c r="E2721" s="5">
        <v>8.7547393E7</v>
      </c>
      <c r="F2721" s="5" t="s">
        <v>65</v>
      </c>
      <c r="G2721" s="5" t="s">
        <v>15</v>
      </c>
      <c r="H2721" s="5" t="s">
        <v>51</v>
      </c>
      <c r="I2721" s="6" t="s">
        <v>17</v>
      </c>
      <c r="J2721" s="7" t="s">
        <v>18</v>
      </c>
      <c r="K2721" s="7" t="s">
        <v>19</v>
      </c>
      <c r="L2721" s="8">
        <v>1.772461775054E12</v>
      </c>
      <c r="M2721" s="9"/>
      <c r="N2721" s="10"/>
      <c r="O2721" s="10"/>
      <c r="P2721" s="10"/>
      <c r="Q2721" s="10"/>
      <c r="R2721" s="10"/>
      <c r="S2721" s="10"/>
      <c r="T2721" s="10"/>
      <c r="U2721" s="10"/>
      <c r="V2721" s="10"/>
    </row>
    <row r="2722" ht="22.5" customHeight="1">
      <c r="A2722" s="5">
        <v>2.06448389795E11</v>
      </c>
      <c r="B2722" s="5" t="s">
        <v>2540</v>
      </c>
      <c r="C2722" s="5">
        <v>51999129862</v>
      </c>
      <c r="D2722" s="5" t="s">
        <v>22</v>
      </c>
      <c r="E2722" s="5">
        <v>8.7547393E7</v>
      </c>
      <c r="F2722" s="5" t="s">
        <v>39</v>
      </c>
      <c r="G2722" s="5" t="s">
        <v>44</v>
      </c>
      <c r="H2722" s="5" t="s">
        <v>29</v>
      </c>
      <c r="I2722" s="6" t="s">
        <v>17</v>
      </c>
      <c r="J2722" s="7" t="s">
        <v>18</v>
      </c>
      <c r="K2722" s="7" t="s">
        <v>19</v>
      </c>
      <c r="L2722" s="8">
        <v>1.772464276105E12</v>
      </c>
      <c r="M2722" s="9"/>
      <c r="N2722" s="10"/>
      <c r="O2722" s="10"/>
      <c r="P2722" s="10"/>
      <c r="Q2722" s="10"/>
      <c r="R2722" s="10"/>
      <c r="S2722" s="10"/>
      <c r="T2722" s="10"/>
      <c r="U2722" s="10"/>
      <c r="V2722" s="10"/>
    </row>
    <row r="2723" ht="22.5" customHeight="1">
      <c r="A2723" s="5">
        <v>1.56162734466E11</v>
      </c>
      <c r="B2723" s="5" t="s">
        <v>2541</v>
      </c>
      <c r="C2723" s="5">
        <v>51902288629</v>
      </c>
      <c r="D2723" s="5" t="s">
        <v>13</v>
      </c>
      <c r="E2723" s="5">
        <v>8.0566583E7</v>
      </c>
      <c r="F2723" s="5" t="s">
        <v>39</v>
      </c>
      <c r="G2723" s="5" t="s">
        <v>15</v>
      </c>
      <c r="H2723" s="5" t="s">
        <v>16</v>
      </c>
      <c r="I2723" s="6" t="s">
        <v>17</v>
      </c>
      <c r="J2723" s="7" t="s">
        <v>18</v>
      </c>
      <c r="K2723" s="7" t="s">
        <v>116</v>
      </c>
      <c r="L2723" s="8">
        <v>1.77246494981E12</v>
      </c>
      <c r="M2723" s="9"/>
      <c r="N2723" s="10"/>
      <c r="O2723" s="10"/>
      <c r="P2723" s="10"/>
      <c r="Q2723" s="10"/>
      <c r="R2723" s="10"/>
      <c r="S2723" s="10"/>
      <c r="T2723" s="10"/>
      <c r="U2723" s="10"/>
      <c r="V2723" s="10"/>
    </row>
    <row r="2724" ht="22.5" customHeight="1">
      <c r="A2724" s="5">
        <v>2.06454736305E11</v>
      </c>
      <c r="B2724" s="5" t="s">
        <v>2542</v>
      </c>
      <c r="C2724" s="5">
        <v>51951903402</v>
      </c>
      <c r="D2724" s="5" t="s">
        <v>13</v>
      </c>
      <c r="E2724" s="5">
        <v>8.7547393E7</v>
      </c>
      <c r="F2724" s="5" t="s">
        <v>259</v>
      </c>
      <c r="G2724" s="5" t="s">
        <v>15</v>
      </c>
      <c r="H2724" s="5" t="s">
        <v>51</v>
      </c>
      <c r="I2724" s="6" t="s">
        <v>17</v>
      </c>
      <c r="J2724" s="7" t="s">
        <v>34</v>
      </c>
      <c r="K2724" s="7"/>
      <c r="L2724" s="8">
        <v>1.77246602024E12</v>
      </c>
      <c r="M2724" s="9"/>
      <c r="N2724" s="10"/>
      <c r="O2724" s="10"/>
      <c r="P2724" s="10"/>
      <c r="Q2724" s="10"/>
      <c r="R2724" s="10"/>
      <c r="S2724" s="10"/>
      <c r="T2724" s="10"/>
      <c r="U2724" s="10"/>
      <c r="V2724" s="10"/>
    </row>
    <row r="2725" ht="22.5" customHeight="1">
      <c r="A2725" s="5">
        <v>1.96584834171E11</v>
      </c>
      <c r="B2725" s="5" t="s">
        <v>2543</v>
      </c>
      <c r="C2725" s="5">
        <v>51999444868</v>
      </c>
      <c r="D2725" s="5" t="s">
        <v>38</v>
      </c>
      <c r="E2725" s="5">
        <v>8.0566583E7</v>
      </c>
      <c r="F2725" s="5"/>
      <c r="G2725" s="5"/>
      <c r="H2725" s="5"/>
      <c r="I2725" s="6"/>
      <c r="J2725" s="7" t="s">
        <v>34</v>
      </c>
      <c r="K2725" s="7"/>
      <c r="L2725" s="8">
        <v>1.772467078997E12</v>
      </c>
      <c r="M2725" s="9"/>
      <c r="N2725" s="10"/>
      <c r="O2725" s="10"/>
      <c r="P2725" s="10"/>
      <c r="Q2725" s="10"/>
      <c r="R2725" s="10"/>
      <c r="S2725" s="10"/>
      <c r="T2725" s="10"/>
      <c r="U2725" s="10"/>
      <c r="V2725" s="10"/>
    </row>
    <row r="2726" ht="22.5" customHeight="1">
      <c r="A2726" s="5">
        <v>2.06457450845E11</v>
      </c>
      <c r="B2726" s="5" t="s">
        <v>2544</v>
      </c>
      <c r="C2726" s="5">
        <v>51924997213</v>
      </c>
      <c r="D2726" s="5" t="s">
        <v>38</v>
      </c>
      <c r="E2726" s="5">
        <v>8.0566583E7</v>
      </c>
      <c r="F2726" s="5"/>
      <c r="G2726" s="5"/>
      <c r="H2726" s="5"/>
      <c r="I2726" s="6"/>
      <c r="J2726" s="7" t="s">
        <v>18</v>
      </c>
      <c r="K2726" s="7" t="s">
        <v>19</v>
      </c>
      <c r="L2726" s="8">
        <v>1.772467166024E12</v>
      </c>
      <c r="M2726" s="9"/>
      <c r="N2726" s="10"/>
      <c r="O2726" s="10"/>
      <c r="P2726" s="10"/>
      <c r="Q2726" s="10"/>
      <c r="R2726" s="10"/>
      <c r="S2726" s="10"/>
      <c r="T2726" s="10"/>
      <c r="U2726" s="10"/>
      <c r="V2726" s="10"/>
    </row>
    <row r="2727" ht="22.5" customHeight="1">
      <c r="A2727" s="5">
        <v>2.06458487659E11</v>
      </c>
      <c r="B2727" s="5" t="s">
        <v>2545</v>
      </c>
      <c r="C2727" s="5">
        <v>5562986073728</v>
      </c>
      <c r="D2727" s="5" t="s">
        <v>13</v>
      </c>
      <c r="E2727" s="5">
        <v>7.9360573E7</v>
      </c>
      <c r="F2727" s="5" t="s">
        <v>510</v>
      </c>
      <c r="G2727" s="5" t="s">
        <v>15</v>
      </c>
      <c r="H2727" s="5" t="s">
        <v>16</v>
      </c>
      <c r="I2727" s="6" t="s">
        <v>49</v>
      </c>
      <c r="J2727" s="7" t="s">
        <v>25</v>
      </c>
      <c r="K2727" s="7" t="s">
        <v>26</v>
      </c>
      <c r="L2727" s="8">
        <v>1.772467533579E12</v>
      </c>
      <c r="M2727" s="9"/>
      <c r="N2727" s="10"/>
      <c r="O2727" s="10"/>
      <c r="P2727" s="10"/>
      <c r="Q2727" s="10"/>
      <c r="R2727" s="10"/>
      <c r="S2727" s="10"/>
      <c r="T2727" s="10"/>
      <c r="U2727" s="10"/>
      <c r="V2727" s="10"/>
    </row>
    <row r="2728" ht="22.5" customHeight="1">
      <c r="A2728" s="5">
        <v>1.91281773108E11</v>
      </c>
      <c r="B2728" s="5" t="s">
        <v>2546</v>
      </c>
      <c r="C2728" s="5">
        <v>51938112578</v>
      </c>
      <c r="D2728" s="5" t="s">
        <v>13</v>
      </c>
      <c r="E2728" s="5">
        <v>8.0566583E7</v>
      </c>
      <c r="F2728" s="5" t="s">
        <v>28</v>
      </c>
      <c r="G2728" s="5" t="s">
        <v>15</v>
      </c>
      <c r="H2728" s="5" t="s">
        <v>51</v>
      </c>
      <c r="I2728" s="6" t="s">
        <v>17</v>
      </c>
      <c r="J2728" s="7" t="s">
        <v>18</v>
      </c>
      <c r="K2728" s="7" t="s">
        <v>19</v>
      </c>
      <c r="L2728" s="8">
        <v>1.772467663883E12</v>
      </c>
      <c r="M2728" s="9"/>
      <c r="N2728" s="10"/>
      <c r="O2728" s="10"/>
      <c r="P2728" s="10"/>
      <c r="Q2728" s="10"/>
      <c r="R2728" s="10"/>
      <c r="S2728" s="10"/>
      <c r="T2728" s="10"/>
      <c r="U2728" s="10"/>
      <c r="V2728" s="10"/>
    </row>
    <row r="2729" ht="22.5" customHeight="1">
      <c r="A2729" s="5">
        <v>2.06463278205E11</v>
      </c>
      <c r="B2729" s="5" t="s">
        <v>2547</v>
      </c>
      <c r="C2729" s="5">
        <v>51926738351</v>
      </c>
      <c r="D2729" s="5" t="s">
        <v>13</v>
      </c>
      <c r="E2729" s="5">
        <v>8.0566583E7</v>
      </c>
      <c r="F2729" s="5" t="s">
        <v>259</v>
      </c>
      <c r="G2729" s="5" t="s">
        <v>15</v>
      </c>
      <c r="H2729" s="5" t="s">
        <v>51</v>
      </c>
      <c r="I2729" s="6" t="s">
        <v>17</v>
      </c>
      <c r="J2729" s="7" t="s">
        <v>18</v>
      </c>
      <c r="K2729" s="7" t="s">
        <v>19</v>
      </c>
      <c r="L2729" s="8">
        <v>1.772468028926E12</v>
      </c>
      <c r="M2729" s="9"/>
      <c r="N2729" s="10"/>
      <c r="O2729" s="10"/>
      <c r="P2729" s="10"/>
      <c r="Q2729" s="10"/>
      <c r="R2729" s="10"/>
      <c r="S2729" s="10"/>
      <c r="T2729" s="10"/>
      <c r="U2729" s="10"/>
      <c r="V2729" s="10"/>
    </row>
    <row r="2730" ht="22.5" customHeight="1">
      <c r="A2730" s="5">
        <v>2.0645756582E11</v>
      </c>
      <c r="B2730" s="5" t="s">
        <v>2548</v>
      </c>
      <c r="C2730" s="5">
        <v>5511986934266</v>
      </c>
      <c r="D2730" s="5" t="s">
        <v>103</v>
      </c>
      <c r="E2730" s="5">
        <v>7.9360573E7</v>
      </c>
      <c r="F2730" s="5" t="s">
        <v>39</v>
      </c>
      <c r="G2730" s="5" t="s">
        <v>79</v>
      </c>
      <c r="H2730" s="5" t="s">
        <v>80</v>
      </c>
      <c r="I2730" s="6" t="s">
        <v>49</v>
      </c>
      <c r="J2730" s="7" t="s">
        <v>34</v>
      </c>
      <c r="K2730" s="7"/>
      <c r="L2730" s="8">
        <v>1.772468203762E12</v>
      </c>
      <c r="M2730" s="9"/>
      <c r="N2730" s="10"/>
      <c r="O2730" s="10"/>
      <c r="P2730" s="10"/>
      <c r="Q2730" s="10"/>
      <c r="R2730" s="10"/>
      <c r="S2730" s="10"/>
      <c r="T2730" s="10"/>
      <c r="U2730" s="10"/>
      <c r="V2730" s="10"/>
    </row>
    <row r="2731" ht="22.5" customHeight="1">
      <c r="A2731" s="5">
        <v>2.06469050538E11</v>
      </c>
      <c r="B2731" s="5" t="s">
        <v>2549</v>
      </c>
      <c r="C2731" s="5">
        <v>51933586232</v>
      </c>
      <c r="D2731" s="5" t="s">
        <v>13</v>
      </c>
      <c r="E2731" s="5">
        <v>8.7547393E7</v>
      </c>
      <c r="F2731" s="5" t="s">
        <v>259</v>
      </c>
      <c r="G2731" s="5" t="s">
        <v>15</v>
      </c>
      <c r="H2731" s="5" t="s">
        <v>66</v>
      </c>
      <c r="I2731" s="6" t="s">
        <v>17</v>
      </c>
      <c r="J2731" s="7" t="s">
        <v>25</v>
      </c>
      <c r="K2731" s="7" t="s">
        <v>501</v>
      </c>
      <c r="L2731" s="8">
        <v>1.77246898946E12</v>
      </c>
      <c r="M2731" s="9"/>
      <c r="N2731" s="10"/>
      <c r="O2731" s="10"/>
      <c r="P2731" s="10"/>
      <c r="Q2731" s="10"/>
      <c r="R2731" s="10"/>
      <c r="S2731" s="10"/>
      <c r="T2731" s="10"/>
      <c r="U2731" s="10"/>
      <c r="V2731" s="10"/>
    </row>
    <row r="2732" ht="22.5" customHeight="1">
      <c r="A2732" s="5">
        <v>2.06468368691E11</v>
      </c>
      <c r="B2732" s="5" t="s">
        <v>2550</v>
      </c>
      <c r="C2732" s="5">
        <v>51981357541</v>
      </c>
      <c r="D2732" s="5" t="s">
        <v>13</v>
      </c>
      <c r="E2732" s="5">
        <v>8.7547393E7</v>
      </c>
      <c r="F2732" s="5" t="s">
        <v>714</v>
      </c>
      <c r="G2732" s="5" t="s">
        <v>44</v>
      </c>
      <c r="H2732" s="5" t="s">
        <v>396</v>
      </c>
      <c r="I2732" s="6" t="s">
        <v>17</v>
      </c>
      <c r="J2732" s="7" t="s">
        <v>18</v>
      </c>
      <c r="K2732" s="7" t="s">
        <v>19</v>
      </c>
      <c r="L2732" s="8">
        <v>1.772469062567E12</v>
      </c>
      <c r="M2732" s="9"/>
      <c r="N2732" s="10"/>
      <c r="O2732" s="10"/>
      <c r="P2732" s="10"/>
      <c r="Q2732" s="10"/>
      <c r="R2732" s="10"/>
      <c r="S2732" s="10"/>
      <c r="T2732" s="10"/>
      <c r="U2732" s="10"/>
      <c r="V2732" s="10"/>
    </row>
    <row r="2733" ht="22.5" customHeight="1">
      <c r="A2733" s="5">
        <v>2.06504239901E11</v>
      </c>
      <c r="B2733" s="5" t="s">
        <v>2551</v>
      </c>
      <c r="C2733" s="5">
        <v>51925063453</v>
      </c>
      <c r="D2733" s="5" t="s">
        <v>22</v>
      </c>
      <c r="E2733" s="5">
        <v>8.7547393E7</v>
      </c>
      <c r="F2733" s="5" t="s">
        <v>42</v>
      </c>
      <c r="G2733" s="5" t="s">
        <v>32</v>
      </c>
      <c r="H2733" s="5" t="s">
        <v>16</v>
      </c>
      <c r="I2733" s="6" t="s">
        <v>17</v>
      </c>
      <c r="J2733" s="7" t="s">
        <v>18</v>
      </c>
      <c r="K2733" s="7" t="s">
        <v>116</v>
      </c>
      <c r="L2733" s="8">
        <v>1.772474024862E12</v>
      </c>
      <c r="M2733" s="9"/>
      <c r="N2733" s="10"/>
      <c r="O2733" s="10"/>
      <c r="P2733" s="10"/>
      <c r="Q2733" s="10"/>
      <c r="R2733" s="10"/>
      <c r="S2733" s="10"/>
      <c r="T2733" s="10"/>
      <c r="U2733" s="10"/>
      <c r="V2733" s="10"/>
    </row>
    <row r="2734" ht="22.5" customHeight="1">
      <c r="A2734" s="5">
        <v>2.06489158829E11</v>
      </c>
      <c r="B2734" s="5" t="s">
        <v>2552</v>
      </c>
      <c r="C2734" s="5">
        <v>51956148596</v>
      </c>
      <c r="D2734" s="5" t="s">
        <v>13</v>
      </c>
      <c r="E2734" s="5">
        <v>8.0566583E7</v>
      </c>
      <c r="F2734" s="5" t="s">
        <v>714</v>
      </c>
      <c r="G2734" s="5" t="s">
        <v>15</v>
      </c>
      <c r="H2734" s="5" t="s">
        <v>24</v>
      </c>
      <c r="I2734" s="6"/>
      <c r="J2734" s="7" t="s">
        <v>58</v>
      </c>
      <c r="K2734" s="11" t="s">
        <v>59</v>
      </c>
      <c r="L2734" s="8">
        <v>1.772474413763E12</v>
      </c>
      <c r="M2734" s="9"/>
      <c r="N2734" s="10"/>
      <c r="O2734" s="10"/>
      <c r="P2734" s="10"/>
      <c r="Q2734" s="10"/>
      <c r="R2734" s="10"/>
      <c r="S2734" s="10"/>
      <c r="T2734" s="10"/>
      <c r="U2734" s="10"/>
      <c r="V2734" s="10"/>
    </row>
    <row r="2735" ht="22.5" customHeight="1">
      <c r="A2735" s="5">
        <v>2.06529481271E11</v>
      </c>
      <c r="B2735" s="5" t="s">
        <v>2553</v>
      </c>
      <c r="C2735" s="5">
        <v>51935027412</v>
      </c>
      <c r="D2735" s="5" t="s">
        <v>22</v>
      </c>
      <c r="E2735" s="5">
        <v>8.0566583E7</v>
      </c>
      <c r="F2735" s="5" t="s">
        <v>65</v>
      </c>
      <c r="G2735" s="5">
        <v>50</v>
      </c>
      <c r="H2735" s="5" t="s">
        <v>24</v>
      </c>
      <c r="I2735" s="6" t="s">
        <v>17</v>
      </c>
      <c r="J2735" s="7" t="s">
        <v>18</v>
      </c>
      <c r="K2735" s="7" t="s">
        <v>19</v>
      </c>
      <c r="L2735" s="8">
        <v>1.772476232949E12</v>
      </c>
      <c r="M2735" s="9"/>
      <c r="N2735" s="10"/>
      <c r="O2735" s="10"/>
      <c r="P2735" s="10"/>
      <c r="Q2735" s="10"/>
      <c r="R2735" s="10"/>
      <c r="S2735" s="10"/>
      <c r="T2735" s="10"/>
      <c r="U2735" s="10"/>
      <c r="V2735" s="10"/>
    </row>
    <row r="2736" ht="22.5" customHeight="1">
      <c r="A2736" s="5">
        <v>2.05364063585E11</v>
      </c>
      <c r="B2736" s="5" t="s">
        <v>2144</v>
      </c>
      <c r="C2736" s="5">
        <v>5548991560840</v>
      </c>
      <c r="D2736" s="5" t="s">
        <v>22</v>
      </c>
      <c r="E2736" s="5">
        <v>7.9360573E7</v>
      </c>
      <c r="F2736" s="5" t="s">
        <v>28</v>
      </c>
      <c r="G2736" s="5">
        <v>50</v>
      </c>
      <c r="H2736" s="5" t="s">
        <v>24</v>
      </c>
      <c r="I2736" s="6" t="s">
        <v>49</v>
      </c>
      <c r="J2736" s="7" t="s">
        <v>34</v>
      </c>
      <c r="K2736" s="7"/>
      <c r="L2736" s="8">
        <v>1.772476799053E12</v>
      </c>
      <c r="M2736" s="9"/>
      <c r="N2736" s="10"/>
      <c r="O2736" s="10"/>
      <c r="P2736" s="10"/>
      <c r="Q2736" s="10"/>
      <c r="R2736" s="10"/>
      <c r="S2736" s="10"/>
      <c r="T2736" s="10"/>
      <c r="U2736" s="10"/>
      <c r="V2736" s="10"/>
    </row>
    <row r="2737" ht="22.5" customHeight="1">
      <c r="A2737" s="5">
        <v>2.00215610543E11</v>
      </c>
      <c r="B2737" s="5" t="s">
        <v>523</v>
      </c>
      <c r="C2737" s="5">
        <v>51941025658</v>
      </c>
      <c r="D2737" s="5" t="s">
        <v>13</v>
      </c>
      <c r="E2737" s="5">
        <v>8.0566583E7</v>
      </c>
      <c r="F2737" s="5" t="s">
        <v>14</v>
      </c>
      <c r="G2737" s="5" t="s">
        <v>32</v>
      </c>
      <c r="H2737" s="5" t="s">
        <v>16</v>
      </c>
      <c r="I2737" s="6" t="s">
        <v>17</v>
      </c>
      <c r="J2737" s="7" t="s">
        <v>34</v>
      </c>
      <c r="K2737" s="7"/>
      <c r="L2737" s="8">
        <v>1.772477132592E12</v>
      </c>
      <c r="M2737" s="9"/>
      <c r="N2737" s="10"/>
      <c r="O2737" s="10"/>
      <c r="P2737" s="10"/>
      <c r="Q2737" s="10"/>
      <c r="R2737" s="10"/>
      <c r="S2737" s="10"/>
      <c r="T2737" s="10"/>
      <c r="U2737" s="10"/>
      <c r="V2737" s="10"/>
    </row>
    <row r="2738" ht="22.5" customHeight="1">
      <c r="A2738" s="5">
        <v>2.06514961667E11</v>
      </c>
      <c r="B2738" s="5" t="s">
        <v>2554</v>
      </c>
      <c r="C2738" s="5">
        <v>51999968181</v>
      </c>
      <c r="D2738" s="5" t="s">
        <v>13</v>
      </c>
      <c r="E2738" s="5">
        <v>8.7547393E7</v>
      </c>
      <c r="F2738" s="5" t="s">
        <v>28</v>
      </c>
      <c r="G2738" s="5" t="s">
        <v>32</v>
      </c>
      <c r="H2738" s="5" t="s">
        <v>66</v>
      </c>
      <c r="I2738" s="6" t="s">
        <v>17</v>
      </c>
      <c r="J2738" s="7" t="s">
        <v>124</v>
      </c>
      <c r="K2738" s="7" t="s">
        <v>1426</v>
      </c>
      <c r="L2738" s="8">
        <v>1.772479179599E12</v>
      </c>
      <c r="M2738" s="9"/>
      <c r="N2738" s="10"/>
      <c r="O2738" s="10"/>
      <c r="P2738" s="10"/>
      <c r="Q2738" s="10"/>
      <c r="R2738" s="10"/>
      <c r="S2738" s="10"/>
      <c r="T2738" s="10"/>
      <c r="U2738" s="10"/>
      <c r="V2738" s="10"/>
    </row>
    <row r="2739" ht="22.5" customHeight="1">
      <c r="A2739" s="5">
        <v>2.06516740747E11</v>
      </c>
      <c r="B2739" s="5" t="s">
        <v>2555</v>
      </c>
      <c r="C2739" s="5">
        <v>5581988954017</v>
      </c>
      <c r="D2739" s="5" t="s">
        <v>13</v>
      </c>
      <c r="E2739" s="5">
        <v>7.9360573E7</v>
      </c>
      <c r="F2739" s="5" t="s">
        <v>28</v>
      </c>
      <c r="G2739" s="5" t="s">
        <v>32</v>
      </c>
      <c r="H2739" s="5" t="s">
        <v>33</v>
      </c>
      <c r="I2739" s="6" t="s">
        <v>17</v>
      </c>
      <c r="J2739" s="7" t="s">
        <v>124</v>
      </c>
      <c r="K2739" s="7" t="s">
        <v>1256</v>
      </c>
      <c r="L2739" s="8">
        <v>1.772480466916E12</v>
      </c>
      <c r="M2739" s="9"/>
      <c r="N2739" s="10"/>
      <c r="O2739" s="10"/>
      <c r="P2739" s="10"/>
      <c r="Q2739" s="10"/>
      <c r="R2739" s="10"/>
      <c r="S2739" s="10"/>
      <c r="T2739" s="10"/>
      <c r="U2739" s="10"/>
      <c r="V2739" s="10"/>
    </row>
    <row r="2740" ht="22.5" customHeight="1">
      <c r="A2740" s="5">
        <v>2.06535766172E11</v>
      </c>
      <c r="B2740" s="5" t="s">
        <v>2556</v>
      </c>
      <c r="C2740" s="5">
        <v>5533988556477</v>
      </c>
      <c r="D2740" s="5" t="s">
        <v>13</v>
      </c>
      <c r="E2740" s="5">
        <v>7.9360573E7</v>
      </c>
      <c r="F2740" s="5" t="s">
        <v>28</v>
      </c>
      <c r="G2740" s="5" t="s">
        <v>32</v>
      </c>
      <c r="H2740" s="5" t="s">
        <v>24</v>
      </c>
      <c r="I2740" s="6" t="s">
        <v>17</v>
      </c>
      <c r="J2740" s="7" t="s">
        <v>34</v>
      </c>
      <c r="K2740" s="7"/>
      <c r="L2740" s="8">
        <v>1.772482075771E12</v>
      </c>
      <c r="M2740" s="9"/>
      <c r="N2740" s="10"/>
      <c r="O2740" s="10"/>
      <c r="P2740" s="10"/>
      <c r="Q2740" s="10"/>
      <c r="R2740" s="10"/>
      <c r="S2740" s="10"/>
      <c r="T2740" s="10"/>
      <c r="U2740" s="10"/>
      <c r="V2740" s="10"/>
    </row>
    <row r="2741" ht="22.5" customHeight="1">
      <c r="A2741" s="5">
        <v>2.06550121737E11</v>
      </c>
      <c r="B2741" s="5" t="s">
        <v>2557</v>
      </c>
      <c r="C2741" s="5">
        <v>51943692369</v>
      </c>
      <c r="D2741" s="5" t="s">
        <v>13</v>
      </c>
      <c r="E2741" s="5">
        <v>8.0566583E7</v>
      </c>
      <c r="F2741" s="5" t="s">
        <v>714</v>
      </c>
      <c r="G2741" s="5">
        <v>50</v>
      </c>
      <c r="H2741" s="5" t="s">
        <v>188</v>
      </c>
      <c r="I2741" s="6" t="s">
        <v>36</v>
      </c>
      <c r="J2741" s="7" t="s">
        <v>34</v>
      </c>
      <c r="K2741" s="7"/>
      <c r="L2741" s="8">
        <v>1.772482300611E12</v>
      </c>
      <c r="M2741" s="9"/>
      <c r="N2741" s="10"/>
      <c r="O2741" s="10"/>
      <c r="P2741" s="10"/>
      <c r="Q2741" s="10"/>
      <c r="R2741" s="10"/>
      <c r="S2741" s="10"/>
      <c r="T2741" s="10"/>
      <c r="U2741" s="10"/>
      <c r="V2741" s="10"/>
    </row>
    <row r="2742" ht="22.5" customHeight="1">
      <c r="A2742" s="5">
        <v>2.06574908745E11</v>
      </c>
      <c r="B2742" s="5" t="s">
        <v>2558</v>
      </c>
      <c r="C2742" s="5">
        <v>51935902104</v>
      </c>
      <c r="D2742" s="5" t="s">
        <v>38</v>
      </c>
      <c r="E2742" s="5">
        <v>8.0566583E7</v>
      </c>
      <c r="F2742" s="5"/>
      <c r="G2742" s="5"/>
      <c r="H2742" s="5"/>
      <c r="I2742" s="6"/>
      <c r="J2742" s="7" t="s">
        <v>18</v>
      </c>
      <c r="K2742" s="7" t="s">
        <v>19</v>
      </c>
      <c r="L2742" s="8">
        <v>1.772483015278E12</v>
      </c>
      <c r="M2742" s="9"/>
      <c r="N2742" s="10"/>
      <c r="O2742" s="10"/>
      <c r="P2742" s="10"/>
      <c r="Q2742" s="10"/>
      <c r="R2742" s="10"/>
      <c r="S2742" s="10"/>
      <c r="T2742" s="10"/>
      <c r="U2742" s="10"/>
      <c r="V2742" s="10"/>
    </row>
    <row r="2743" ht="22.5" customHeight="1">
      <c r="A2743" s="5">
        <v>1.54616016494E11</v>
      </c>
      <c r="B2743" s="5" t="s">
        <v>2559</v>
      </c>
      <c r="C2743" s="5">
        <v>51991468261</v>
      </c>
      <c r="D2743" s="5" t="s">
        <v>103</v>
      </c>
      <c r="E2743" s="5"/>
      <c r="F2743" s="5" t="s">
        <v>93</v>
      </c>
      <c r="G2743" s="5" t="s">
        <v>44</v>
      </c>
      <c r="H2743" s="5" t="s">
        <v>112</v>
      </c>
      <c r="I2743" s="6" t="s">
        <v>17</v>
      </c>
      <c r="J2743" s="7" t="s">
        <v>34</v>
      </c>
      <c r="K2743" s="7"/>
      <c r="L2743" s="8">
        <v>1.772484066516E12</v>
      </c>
      <c r="M2743" s="9"/>
      <c r="N2743" s="10"/>
      <c r="O2743" s="10"/>
      <c r="P2743" s="10"/>
      <c r="Q2743" s="10"/>
      <c r="R2743" s="10"/>
      <c r="S2743" s="10"/>
      <c r="T2743" s="10"/>
      <c r="U2743" s="10"/>
      <c r="V2743" s="10"/>
    </row>
    <row r="2744" ht="22.5" customHeight="1">
      <c r="A2744" s="5">
        <v>2.06577074783E11</v>
      </c>
      <c r="B2744" s="5" t="s">
        <v>2560</v>
      </c>
      <c r="C2744" s="5">
        <v>51955138388</v>
      </c>
      <c r="D2744" s="5" t="s">
        <v>103</v>
      </c>
      <c r="E2744" s="5">
        <v>8.0566583E7</v>
      </c>
      <c r="F2744" s="5" t="s">
        <v>28</v>
      </c>
      <c r="G2744" s="5" t="s">
        <v>79</v>
      </c>
      <c r="H2744" s="5" t="s">
        <v>16</v>
      </c>
      <c r="I2744" s="6" t="s">
        <v>17</v>
      </c>
      <c r="J2744" s="7" t="s">
        <v>18</v>
      </c>
      <c r="K2744" s="7" t="s">
        <v>19</v>
      </c>
      <c r="L2744" s="8">
        <v>1.77248427275E12</v>
      </c>
      <c r="M2744" s="9"/>
      <c r="N2744" s="10"/>
      <c r="O2744" s="10"/>
      <c r="P2744" s="10"/>
      <c r="Q2744" s="10"/>
      <c r="R2744" s="10"/>
      <c r="S2744" s="10"/>
      <c r="T2744" s="10"/>
      <c r="U2744" s="10"/>
      <c r="V2744" s="10"/>
    </row>
    <row r="2745" ht="22.5" customHeight="1">
      <c r="A2745" s="5">
        <v>2.06577742875E11</v>
      </c>
      <c r="B2745" s="5" t="s">
        <v>2561</v>
      </c>
      <c r="C2745" s="5">
        <v>51934472377</v>
      </c>
      <c r="D2745" s="5" t="s">
        <v>22</v>
      </c>
      <c r="E2745" s="5">
        <v>8.7547393E7</v>
      </c>
      <c r="F2745" s="5" t="s">
        <v>93</v>
      </c>
      <c r="G2745" s="5" t="s">
        <v>32</v>
      </c>
      <c r="H2745" s="5" t="s">
        <v>16</v>
      </c>
      <c r="I2745" s="6" t="s">
        <v>17</v>
      </c>
      <c r="J2745" s="7" t="s">
        <v>124</v>
      </c>
      <c r="K2745" s="7" t="s">
        <v>1426</v>
      </c>
      <c r="L2745" s="8">
        <v>1.772486439349E12</v>
      </c>
      <c r="M2745" s="9"/>
      <c r="N2745" s="10"/>
      <c r="O2745" s="10"/>
      <c r="P2745" s="10"/>
      <c r="Q2745" s="10"/>
      <c r="R2745" s="10"/>
      <c r="S2745" s="10"/>
      <c r="T2745" s="10"/>
      <c r="U2745" s="10"/>
      <c r="V2745" s="10"/>
    </row>
    <row r="2746" ht="22.5" customHeight="1">
      <c r="A2746" s="5">
        <v>2.06558851955E11</v>
      </c>
      <c r="B2746" s="5" t="s">
        <v>2562</v>
      </c>
      <c r="C2746" s="5">
        <v>51917092923</v>
      </c>
      <c r="D2746" s="5" t="s">
        <v>13</v>
      </c>
      <c r="E2746" s="5">
        <v>8.7547393E7</v>
      </c>
      <c r="F2746" s="5" t="s">
        <v>714</v>
      </c>
      <c r="G2746" s="5" t="s">
        <v>15</v>
      </c>
      <c r="H2746" s="5" t="s">
        <v>16</v>
      </c>
      <c r="I2746" s="6" t="s">
        <v>17</v>
      </c>
      <c r="J2746" s="7" t="s">
        <v>18</v>
      </c>
      <c r="K2746" s="7" t="s">
        <v>19</v>
      </c>
      <c r="L2746" s="8">
        <v>1.772487295307E12</v>
      </c>
      <c r="M2746" s="9"/>
      <c r="N2746" s="10"/>
      <c r="O2746" s="10"/>
      <c r="P2746" s="10"/>
      <c r="Q2746" s="10"/>
      <c r="R2746" s="10"/>
      <c r="S2746" s="10"/>
      <c r="T2746" s="10"/>
      <c r="U2746" s="10"/>
      <c r="V2746" s="10"/>
    </row>
    <row r="2747" ht="22.5" customHeight="1">
      <c r="A2747" s="5">
        <v>2.06558851955E11</v>
      </c>
      <c r="B2747" s="5" t="s">
        <v>2562</v>
      </c>
      <c r="C2747" s="5">
        <v>51917092923</v>
      </c>
      <c r="D2747" s="5" t="s">
        <v>13</v>
      </c>
      <c r="E2747" s="5">
        <v>8.7547393E7</v>
      </c>
      <c r="F2747" s="5" t="s">
        <v>714</v>
      </c>
      <c r="G2747" s="5" t="s">
        <v>15</v>
      </c>
      <c r="H2747" s="5" t="s">
        <v>16</v>
      </c>
      <c r="I2747" s="6" t="s">
        <v>17</v>
      </c>
      <c r="J2747" s="7" t="s">
        <v>25</v>
      </c>
      <c r="K2747" s="7"/>
      <c r="L2747" s="8">
        <v>1.772487805567E12</v>
      </c>
      <c r="M2747" s="9"/>
      <c r="N2747" s="10"/>
      <c r="O2747" s="10"/>
      <c r="P2747" s="10"/>
      <c r="Q2747" s="10"/>
      <c r="R2747" s="10"/>
      <c r="S2747" s="10"/>
      <c r="T2747" s="10"/>
      <c r="U2747" s="10"/>
      <c r="V2747" s="10"/>
    </row>
    <row r="2748" ht="22.5" customHeight="1">
      <c r="A2748" s="5">
        <v>2.06559544068E11</v>
      </c>
      <c r="B2748" s="5" t="s">
        <v>2563</v>
      </c>
      <c r="C2748" s="5">
        <v>51999958980</v>
      </c>
      <c r="D2748" s="5" t="s">
        <v>38</v>
      </c>
      <c r="E2748" s="5">
        <v>8.0566583E7</v>
      </c>
      <c r="F2748" s="5"/>
      <c r="G2748" s="5"/>
      <c r="H2748" s="5"/>
      <c r="I2748" s="6"/>
      <c r="J2748" s="7" t="s">
        <v>124</v>
      </c>
      <c r="K2748" s="7" t="s">
        <v>125</v>
      </c>
      <c r="L2748" s="8">
        <v>1.772487921916E12</v>
      </c>
      <c r="M2748" s="9"/>
      <c r="N2748" s="10"/>
      <c r="O2748" s="10"/>
      <c r="P2748" s="10"/>
      <c r="Q2748" s="10"/>
      <c r="R2748" s="10"/>
      <c r="S2748" s="10"/>
      <c r="T2748" s="10"/>
      <c r="U2748" s="10"/>
      <c r="V2748" s="10"/>
    </row>
    <row r="2749" ht="22.5" customHeight="1">
      <c r="A2749" s="5">
        <v>2.06581806482E11</v>
      </c>
      <c r="B2749" s="5" t="s">
        <v>2564</v>
      </c>
      <c r="C2749" s="5">
        <v>51980494442</v>
      </c>
      <c r="D2749" s="5" t="s">
        <v>13</v>
      </c>
      <c r="E2749" s="5">
        <v>8.7547393E7</v>
      </c>
      <c r="F2749" s="5" t="s">
        <v>714</v>
      </c>
      <c r="G2749" s="5" t="s">
        <v>32</v>
      </c>
      <c r="H2749" s="5" t="s">
        <v>33</v>
      </c>
      <c r="I2749" s="6" t="s">
        <v>49</v>
      </c>
      <c r="J2749" s="7" t="s">
        <v>34</v>
      </c>
      <c r="K2749" s="7"/>
      <c r="L2749" s="8">
        <v>1.772488817156E12</v>
      </c>
      <c r="M2749" s="9"/>
      <c r="N2749" s="10"/>
      <c r="O2749" s="10"/>
      <c r="P2749" s="10"/>
      <c r="Q2749" s="10"/>
      <c r="R2749" s="10"/>
      <c r="S2749" s="10"/>
      <c r="T2749" s="10"/>
      <c r="U2749" s="10"/>
      <c r="V2749" s="10"/>
    </row>
    <row r="2750" ht="22.5" customHeight="1">
      <c r="A2750" s="5">
        <v>2.06560896516E11</v>
      </c>
      <c r="B2750" s="5" t="s">
        <v>2565</v>
      </c>
      <c r="C2750" s="5">
        <v>51965764981</v>
      </c>
      <c r="D2750" s="5" t="s">
        <v>38</v>
      </c>
      <c r="E2750" s="5">
        <v>8.7547393E7</v>
      </c>
      <c r="F2750" s="5"/>
      <c r="G2750" s="5"/>
      <c r="H2750" s="5"/>
      <c r="I2750" s="6"/>
      <c r="J2750" s="7" t="s">
        <v>34</v>
      </c>
      <c r="K2750" s="7"/>
      <c r="L2750" s="8">
        <v>1.772489108296E12</v>
      </c>
      <c r="M2750" s="9"/>
      <c r="N2750" s="10"/>
      <c r="O2750" s="10"/>
      <c r="P2750" s="10"/>
      <c r="Q2750" s="10"/>
      <c r="R2750" s="10"/>
      <c r="S2750" s="10"/>
      <c r="T2750" s="10"/>
      <c r="U2750" s="10"/>
      <c r="V2750" s="10"/>
    </row>
    <row r="2751" ht="22.5" customHeight="1">
      <c r="A2751" s="5">
        <v>1.79827648777E11</v>
      </c>
      <c r="B2751" s="5" t="s">
        <v>2566</v>
      </c>
      <c r="C2751" s="5">
        <v>51916266692</v>
      </c>
      <c r="D2751" s="5" t="s">
        <v>13</v>
      </c>
      <c r="E2751" s="5">
        <v>8.7547393E7</v>
      </c>
      <c r="F2751" s="5" t="s">
        <v>65</v>
      </c>
      <c r="G2751" s="5" t="s">
        <v>15</v>
      </c>
      <c r="H2751" s="5" t="s">
        <v>51</v>
      </c>
      <c r="I2751" s="6" t="s">
        <v>36</v>
      </c>
      <c r="J2751" s="7" t="s">
        <v>34</v>
      </c>
      <c r="K2751" s="7"/>
      <c r="L2751" s="8">
        <v>1.77248914351E12</v>
      </c>
      <c r="M2751" s="9"/>
      <c r="N2751" s="10"/>
      <c r="O2751" s="10"/>
      <c r="P2751" s="10"/>
      <c r="Q2751" s="10"/>
      <c r="R2751" s="10"/>
      <c r="S2751" s="10"/>
      <c r="T2751" s="10"/>
      <c r="U2751" s="10"/>
      <c r="V2751" s="10"/>
    </row>
    <row r="2752" ht="22.5" customHeight="1">
      <c r="A2752" s="5">
        <v>2.06577620995E11</v>
      </c>
      <c r="B2752" s="5" t="s">
        <v>2567</v>
      </c>
      <c r="C2752" s="5">
        <v>5581996531317</v>
      </c>
      <c r="D2752" s="5" t="s">
        <v>38</v>
      </c>
      <c r="E2752" s="5">
        <v>7.9360573E7</v>
      </c>
      <c r="F2752" s="5" t="s">
        <v>42</v>
      </c>
      <c r="G2752" s="5" t="s">
        <v>15</v>
      </c>
      <c r="H2752" s="5" t="s">
        <v>51</v>
      </c>
      <c r="I2752" s="6" t="s">
        <v>17</v>
      </c>
      <c r="J2752" s="7" t="s">
        <v>124</v>
      </c>
      <c r="K2752" s="7" t="s">
        <v>125</v>
      </c>
      <c r="L2752" s="8">
        <v>1.772489967063E12</v>
      </c>
      <c r="M2752" s="9"/>
      <c r="N2752" s="10"/>
      <c r="O2752" s="10"/>
      <c r="P2752" s="10"/>
      <c r="Q2752" s="10"/>
      <c r="R2752" s="10"/>
      <c r="S2752" s="10"/>
      <c r="T2752" s="10"/>
      <c r="U2752" s="10"/>
      <c r="V2752" s="10"/>
    </row>
    <row r="2753" ht="22.5" customHeight="1">
      <c r="A2753" s="5">
        <v>2.06563368863E11</v>
      </c>
      <c r="B2753" s="5" t="s">
        <v>2568</v>
      </c>
      <c r="C2753" s="5">
        <v>51924565600</v>
      </c>
      <c r="D2753" s="5" t="s">
        <v>13</v>
      </c>
      <c r="E2753" s="5">
        <v>8.7547393E7</v>
      </c>
      <c r="F2753" s="5" t="s">
        <v>28</v>
      </c>
      <c r="G2753" s="5" t="s">
        <v>15</v>
      </c>
      <c r="H2753" s="5" t="s">
        <v>51</v>
      </c>
      <c r="I2753" s="6" t="s">
        <v>17</v>
      </c>
      <c r="J2753" s="7" t="s">
        <v>18</v>
      </c>
      <c r="K2753" s="7" t="s">
        <v>19</v>
      </c>
      <c r="L2753" s="8">
        <v>1.772490209651E12</v>
      </c>
      <c r="M2753" s="9"/>
      <c r="N2753" s="10"/>
      <c r="O2753" s="10"/>
      <c r="P2753" s="10"/>
      <c r="Q2753" s="10"/>
      <c r="R2753" s="10"/>
      <c r="S2753" s="10"/>
      <c r="T2753" s="10"/>
      <c r="U2753" s="10"/>
      <c r="V2753" s="10"/>
    </row>
    <row r="2754" ht="22.5" customHeight="1">
      <c r="A2754" s="5">
        <v>2.03872682662E11</v>
      </c>
      <c r="B2754" s="5" t="s">
        <v>2569</v>
      </c>
      <c r="C2754" s="5">
        <v>5517996703121</v>
      </c>
      <c r="D2754" s="5" t="s">
        <v>13</v>
      </c>
      <c r="E2754" s="5">
        <v>7.9360573E7</v>
      </c>
      <c r="F2754" s="5" t="s">
        <v>39</v>
      </c>
      <c r="G2754" s="5" t="s">
        <v>32</v>
      </c>
      <c r="H2754" s="5" t="s">
        <v>16</v>
      </c>
      <c r="I2754" s="6" t="s">
        <v>148</v>
      </c>
      <c r="J2754" s="7" t="s">
        <v>34</v>
      </c>
      <c r="K2754" s="7"/>
      <c r="L2754" s="8">
        <v>1.772491022789E12</v>
      </c>
      <c r="M2754" s="9"/>
      <c r="N2754" s="10"/>
      <c r="O2754" s="10"/>
      <c r="P2754" s="10"/>
      <c r="Q2754" s="10"/>
      <c r="R2754" s="10"/>
      <c r="S2754" s="10"/>
      <c r="T2754" s="10"/>
      <c r="U2754" s="10"/>
      <c r="V2754" s="10"/>
    </row>
    <row r="2755" ht="22.5" customHeight="1">
      <c r="A2755" s="5">
        <v>2.03958280527E11</v>
      </c>
      <c r="B2755" s="5" t="s">
        <v>2570</v>
      </c>
      <c r="C2755" s="5">
        <v>51993887547</v>
      </c>
      <c r="D2755" s="5" t="s">
        <v>38</v>
      </c>
      <c r="E2755" s="5">
        <v>8.0566583E7</v>
      </c>
      <c r="F2755" s="5"/>
      <c r="G2755" s="5"/>
      <c r="H2755" s="5"/>
      <c r="I2755" s="6"/>
      <c r="J2755" s="7" t="s">
        <v>34</v>
      </c>
      <c r="K2755" s="7"/>
      <c r="L2755" s="8">
        <v>1.772492217182E12</v>
      </c>
      <c r="M2755" s="9"/>
      <c r="N2755" s="10"/>
      <c r="O2755" s="10"/>
      <c r="P2755" s="10"/>
      <c r="Q2755" s="10"/>
      <c r="R2755" s="10"/>
      <c r="S2755" s="10"/>
      <c r="T2755" s="10"/>
      <c r="U2755" s="10"/>
      <c r="V2755" s="10"/>
    </row>
    <row r="2756" ht="22.5" customHeight="1">
      <c r="A2756" s="5">
        <v>2.06566657669E11</v>
      </c>
      <c r="B2756" s="5" t="s">
        <v>2571</v>
      </c>
      <c r="C2756" s="5">
        <v>51902792979</v>
      </c>
      <c r="D2756" s="5" t="s">
        <v>13</v>
      </c>
      <c r="E2756" s="5">
        <v>8.7547393E7</v>
      </c>
      <c r="F2756" s="5" t="s">
        <v>14</v>
      </c>
      <c r="G2756" s="5" t="s">
        <v>15</v>
      </c>
      <c r="H2756" s="5" t="s">
        <v>29</v>
      </c>
      <c r="I2756" s="6" t="s">
        <v>17</v>
      </c>
      <c r="J2756" s="7" t="s">
        <v>58</v>
      </c>
      <c r="K2756" s="11" t="s">
        <v>59</v>
      </c>
      <c r="L2756" s="8">
        <v>1.772492756785E12</v>
      </c>
      <c r="M2756" s="9"/>
      <c r="N2756" s="10"/>
      <c r="O2756" s="10"/>
      <c r="P2756" s="10"/>
      <c r="Q2756" s="10"/>
      <c r="R2756" s="10"/>
      <c r="S2756" s="10"/>
      <c r="T2756" s="10"/>
      <c r="U2756" s="10"/>
      <c r="V2756" s="10"/>
    </row>
    <row r="2757" ht="22.5" customHeight="1">
      <c r="A2757" s="5">
        <v>2.06565299106E11</v>
      </c>
      <c r="B2757" s="5" t="s">
        <v>2572</v>
      </c>
      <c r="C2757" s="5">
        <v>51920245575</v>
      </c>
      <c r="D2757" s="5" t="s">
        <v>13</v>
      </c>
      <c r="E2757" s="5">
        <v>8.0566583E7</v>
      </c>
      <c r="F2757" s="5" t="s">
        <v>39</v>
      </c>
      <c r="G2757" s="5" t="s">
        <v>15</v>
      </c>
      <c r="H2757" s="5" t="s">
        <v>16</v>
      </c>
      <c r="I2757" s="6" t="s">
        <v>17</v>
      </c>
      <c r="J2757" s="7" t="s">
        <v>18</v>
      </c>
      <c r="K2757" s="7" t="s">
        <v>19</v>
      </c>
      <c r="L2757" s="8">
        <v>1.772493375222E12</v>
      </c>
      <c r="M2757" s="9"/>
      <c r="N2757" s="10"/>
      <c r="O2757" s="10"/>
      <c r="P2757" s="10"/>
      <c r="Q2757" s="10"/>
      <c r="R2757" s="10"/>
      <c r="S2757" s="10"/>
      <c r="T2757" s="10"/>
      <c r="U2757" s="10"/>
      <c r="V2757" s="10"/>
    </row>
    <row r="2758" ht="22.5" customHeight="1">
      <c r="A2758" s="5">
        <v>2.06567488146E11</v>
      </c>
      <c r="B2758" s="5" t="s">
        <v>2573</v>
      </c>
      <c r="C2758" s="5">
        <v>51944166000</v>
      </c>
      <c r="D2758" s="5" t="s">
        <v>13</v>
      </c>
      <c r="E2758" s="5">
        <v>8.0566583E7</v>
      </c>
      <c r="F2758" s="5" t="s">
        <v>14</v>
      </c>
      <c r="G2758" s="5" t="s">
        <v>15</v>
      </c>
      <c r="H2758" s="5" t="s">
        <v>24</v>
      </c>
      <c r="I2758" s="6" t="s">
        <v>17</v>
      </c>
      <c r="J2758" s="7" t="s">
        <v>18</v>
      </c>
      <c r="K2758" s="7" t="s">
        <v>19</v>
      </c>
      <c r="L2758" s="8">
        <v>1.772494265801E12</v>
      </c>
      <c r="M2758" s="9"/>
      <c r="N2758" s="10"/>
      <c r="O2758" s="10"/>
      <c r="P2758" s="10"/>
      <c r="Q2758" s="10"/>
      <c r="R2758" s="10"/>
      <c r="S2758" s="10"/>
      <c r="T2758" s="10"/>
      <c r="U2758" s="10"/>
      <c r="V2758" s="10"/>
    </row>
    <row r="2759" ht="22.5" customHeight="1">
      <c r="A2759" s="5">
        <v>2.06567488146E11</v>
      </c>
      <c r="B2759" s="5" t="s">
        <v>2573</v>
      </c>
      <c r="C2759" s="5">
        <v>51944166000</v>
      </c>
      <c r="D2759" s="5" t="s">
        <v>13</v>
      </c>
      <c r="E2759" s="5">
        <v>8.0566583E7</v>
      </c>
      <c r="F2759" s="5" t="s">
        <v>14</v>
      </c>
      <c r="G2759" s="5" t="s">
        <v>15</v>
      </c>
      <c r="H2759" s="5" t="s">
        <v>24</v>
      </c>
      <c r="I2759" s="6" t="s">
        <v>17</v>
      </c>
      <c r="J2759" s="7" t="s">
        <v>18</v>
      </c>
      <c r="K2759" s="7" t="s">
        <v>19</v>
      </c>
      <c r="L2759" s="8">
        <v>1.772494283544E12</v>
      </c>
      <c r="M2759" s="9"/>
      <c r="N2759" s="10"/>
      <c r="O2759" s="10"/>
      <c r="P2759" s="10"/>
      <c r="Q2759" s="10"/>
      <c r="R2759" s="10"/>
      <c r="S2759" s="10"/>
      <c r="T2759" s="10"/>
      <c r="U2759" s="10"/>
      <c r="V2759" s="10"/>
    </row>
    <row r="2760" ht="22.5" customHeight="1">
      <c r="A2760" s="5">
        <v>2.06593217925E11</v>
      </c>
      <c r="B2760" s="5" t="s">
        <v>2574</v>
      </c>
      <c r="C2760" s="5">
        <v>5511947611612</v>
      </c>
      <c r="D2760" s="5" t="s">
        <v>13</v>
      </c>
      <c r="E2760" s="5">
        <v>7.9360573E7</v>
      </c>
      <c r="F2760" s="5" t="s">
        <v>28</v>
      </c>
      <c r="G2760" s="5" t="s">
        <v>15</v>
      </c>
      <c r="H2760" s="5" t="s">
        <v>24</v>
      </c>
      <c r="I2760" s="6" t="s">
        <v>17</v>
      </c>
      <c r="J2760" s="7" t="s">
        <v>34</v>
      </c>
      <c r="K2760" s="7"/>
      <c r="L2760" s="8">
        <v>1.772495719059E12</v>
      </c>
      <c r="M2760" s="9"/>
      <c r="N2760" s="10"/>
      <c r="O2760" s="10"/>
      <c r="P2760" s="10"/>
      <c r="Q2760" s="10"/>
      <c r="R2760" s="10"/>
      <c r="S2760" s="10"/>
      <c r="T2760" s="10"/>
      <c r="U2760" s="10"/>
      <c r="V2760" s="10"/>
    </row>
    <row r="2761" ht="22.5" customHeight="1">
      <c r="A2761" s="5">
        <v>2.06593015329E11</v>
      </c>
      <c r="B2761" s="5" t="s">
        <v>2575</v>
      </c>
      <c r="C2761" s="5">
        <v>51917106613</v>
      </c>
      <c r="D2761" s="5" t="s">
        <v>13</v>
      </c>
      <c r="E2761" s="5">
        <v>8.0566583E7</v>
      </c>
      <c r="F2761" s="5" t="s">
        <v>93</v>
      </c>
      <c r="G2761" s="5" t="s">
        <v>15</v>
      </c>
      <c r="H2761" s="5" t="s">
        <v>24</v>
      </c>
      <c r="I2761" s="6" t="s">
        <v>148</v>
      </c>
      <c r="J2761" s="7" t="s">
        <v>25</v>
      </c>
      <c r="K2761" s="7"/>
      <c r="L2761" s="8">
        <v>1.772495833908E12</v>
      </c>
      <c r="M2761" s="9"/>
      <c r="N2761" s="10"/>
      <c r="O2761" s="10"/>
      <c r="P2761" s="10"/>
      <c r="Q2761" s="10"/>
      <c r="R2761" s="10"/>
      <c r="S2761" s="10"/>
      <c r="T2761" s="10"/>
      <c r="U2761" s="10"/>
      <c r="V2761" s="10"/>
    </row>
    <row r="2762" ht="22.5" customHeight="1">
      <c r="A2762" s="5">
        <v>2.06593632071E11</v>
      </c>
      <c r="B2762" s="5" t="s">
        <v>2576</v>
      </c>
      <c r="C2762" s="5">
        <v>5527997625855</v>
      </c>
      <c r="D2762" s="5" t="s">
        <v>13</v>
      </c>
      <c r="E2762" s="5">
        <v>7.9360573E7</v>
      </c>
      <c r="F2762" s="5" t="s">
        <v>93</v>
      </c>
      <c r="G2762" s="5" t="s">
        <v>15</v>
      </c>
      <c r="H2762" s="5" t="s">
        <v>24</v>
      </c>
      <c r="I2762" s="6" t="s">
        <v>17</v>
      </c>
      <c r="J2762" s="7" t="s">
        <v>58</v>
      </c>
      <c r="K2762" s="11" t="s">
        <v>59</v>
      </c>
      <c r="L2762" s="8">
        <v>1.772496646134E12</v>
      </c>
      <c r="M2762" s="9"/>
      <c r="N2762" s="10"/>
      <c r="O2762" s="10"/>
      <c r="P2762" s="10"/>
      <c r="Q2762" s="10"/>
      <c r="R2762" s="10"/>
      <c r="S2762" s="10"/>
      <c r="T2762" s="10"/>
      <c r="U2762" s="10"/>
      <c r="V2762" s="10"/>
    </row>
    <row r="2763" ht="22.5" customHeight="1">
      <c r="A2763" s="5">
        <v>2.05970090836E11</v>
      </c>
      <c r="B2763" s="5" t="s">
        <v>2577</v>
      </c>
      <c r="C2763" s="5">
        <v>51971999490</v>
      </c>
      <c r="D2763" s="5" t="s">
        <v>13</v>
      </c>
      <c r="E2763" s="5">
        <v>8.7547393E7</v>
      </c>
      <c r="F2763" s="5" t="s">
        <v>28</v>
      </c>
      <c r="G2763" s="5" t="s">
        <v>15</v>
      </c>
      <c r="H2763" s="5" t="s">
        <v>643</v>
      </c>
      <c r="I2763" s="6" t="s">
        <v>63</v>
      </c>
      <c r="J2763" s="7" t="s">
        <v>124</v>
      </c>
      <c r="K2763" s="7" t="s">
        <v>1002</v>
      </c>
      <c r="L2763" s="8">
        <v>1.772496729985E12</v>
      </c>
      <c r="M2763" s="9"/>
      <c r="N2763" s="10"/>
      <c r="O2763" s="10"/>
      <c r="P2763" s="10"/>
      <c r="Q2763" s="10"/>
      <c r="R2763" s="10"/>
      <c r="S2763" s="10"/>
      <c r="T2763" s="10"/>
      <c r="U2763" s="10"/>
      <c r="V2763" s="10"/>
    </row>
    <row r="2764" ht="22.5" customHeight="1">
      <c r="A2764" s="5">
        <v>2.06595159056E11</v>
      </c>
      <c r="B2764" s="5" t="s">
        <v>2578</v>
      </c>
      <c r="C2764" s="5">
        <v>5537999284838</v>
      </c>
      <c r="D2764" s="5" t="s">
        <v>13</v>
      </c>
      <c r="E2764" s="5">
        <v>7.9360573E7</v>
      </c>
      <c r="F2764" s="5" t="s">
        <v>65</v>
      </c>
      <c r="G2764" s="5" t="s">
        <v>32</v>
      </c>
      <c r="H2764" s="5" t="s">
        <v>114</v>
      </c>
      <c r="I2764" s="6" t="s">
        <v>148</v>
      </c>
      <c r="J2764" s="7" t="s">
        <v>34</v>
      </c>
      <c r="K2764" s="7"/>
      <c r="L2764" s="8">
        <v>1.772497061105E12</v>
      </c>
      <c r="M2764" s="9"/>
      <c r="N2764" s="10"/>
      <c r="O2764" s="10"/>
      <c r="P2764" s="10"/>
      <c r="Q2764" s="10"/>
      <c r="R2764" s="10"/>
      <c r="S2764" s="10"/>
      <c r="T2764" s="10"/>
      <c r="U2764" s="10"/>
      <c r="V2764" s="10"/>
    </row>
    <row r="2765" ht="22.5" customHeight="1">
      <c r="A2765" s="5">
        <v>2.06527045539E11</v>
      </c>
      <c r="B2765" s="5" t="s">
        <v>2579</v>
      </c>
      <c r="C2765" s="5">
        <v>5575982447123</v>
      </c>
      <c r="D2765" s="5" t="s">
        <v>13</v>
      </c>
      <c r="E2765" s="5">
        <v>7.9360573E7</v>
      </c>
      <c r="F2765" s="5" t="s">
        <v>14</v>
      </c>
      <c r="G2765" s="5" t="s">
        <v>32</v>
      </c>
      <c r="H2765" s="5" t="s">
        <v>29</v>
      </c>
      <c r="I2765" s="6" t="s">
        <v>17</v>
      </c>
      <c r="J2765" s="7" t="s">
        <v>34</v>
      </c>
      <c r="K2765" s="7"/>
      <c r="L2765" s="8">
        <v>1.772500423787E12</v>
      </c>
      <c r="M2765" s="9"/>
      <c r="N2765" s="10"/>
      <c r="O2765" s="10"/>
      <c r="P2765" s="10"/>
      <c r="Q2765" s="10"/>
      <c r="R2765" s="10"/>
      <c r="S2765" s="10"/>
      <c r="T2765" s="10"/>
      <c r="U2765" s="10"/>
      <c r="V2765" s="10"/>
    </row>
    <row r="2766" ht="22.5" customHeight="1">
      <c r="A2766" s="5">
        <v>2.06621538722E11</v>
      </c>
      <c r="B2766" s="5" t="s">
        <v>2580</v>
      </c>
      <c r="C2766" s="5">
        <v>5521976884563</v>
      </c>
      <c r="D2766" s="5" t="s">
        <v>103</v>
      </c>
      <c r="E2766" s="5">
        <v>7.9360573E7</v>
      </c>
      <c r="F2766" s="5" t="s">
        <v>93</v>
      </c>
      <c r="G2766" s="5" t="s">
        <v>79</v>
      </c>
      <c r="H2766" s="5" t="s">
        <v>16</v>
      </c>
      <c r="I2766" s="6" t="s">
        <v>17</v>
      </c>
      <c r="J2766" s="7" t="s">
        <v>58</v>
      </c>
      <c r="K2766" s="11" t="s">
        <v>59</v>
      </c>
      <c r="L2766" s="8">
        <v>1.772500554591E12</v>
      </c>
      <c r="M2766" s="9"/>
      <c r="N2766" s="10"/>
      <c r="O2766" s="10"/>
      <c r="P2766" s="10"/>
      <c r="Q2766" s="10"/>
      <c r="R2766" s="10"/>
      <c r="S2766" s="10"/>
      <c r="T2766" s="10"/>
      <c r="U2766" s="10"/>
      <c r="V2766" s="10"/>
    </row>
    <row r="2767" ht="22.5" customHeight="1">
      <c r="A2767" s="5">
        <v>2.06619799111E11</v>
      </c>
      <c r="B2767" s="5" t="s">
        <v>2581</v>
      </c>
      <c r="C2767" s="5">
        <v>51975180338</v>
      </c>
      <c r="D2767" s="5" t="s">
        <v>13</v>
      </c>
      <c r="E2767" s="5">
        <v>8.7547393E7</v>
      </c>
      <c r="F2767" s="5"/>
      <c r="G2767" s="5" t="s">
        <v>15</v>
      </c>
      <c r="H2767" s="5" t="s">
        <v>51</v>
      </c>
      <c r="I2767" s="6" t="s">
        <v>17</v>
      </c>
      <c r="J2767" s="7" t="s">
        <v>18</v>
      </c>
      <c r="K2767" s="7" t="s">
        <v>19</v>
      </c>
      <c r="L2767" s="8">
        <v>1.772500777615E12</v>
      </c>
      <c r="M2767" s="9"/>
      <c r="N2767" s="10"/>
      <c r="O2767" s="10"/>
      <c r="P2767" s="10"/>
      <c r="Q2767" s="10"/>
      <c r="R2767" s="10"/>
      <c r="S2767" s="10"/>
      <c r="T2767" s="10"/>
      <c r="U2767" s="10"/>
      <c r="V2767" s="10"/>
    </row>
    <row r="2768" ht="22.5" customHeight="1">
      <c r="A2768" s="5">
        <v>2.0660108545E11</v>
      </c>
      <c r="B2768" s="5" t="s">
        <v>2582</v>
      </c>
      <c r="C2768" s="5">
        <v>5565984066671</v>
      </c>
      <c r="D2768" s="5" t="s">
        <v>13</v>
      </c>
      <c r="E2768" s="5">
        <v>7.9360573E7</v>
      </c>
      <c r="F2768" s="5"/>
      <c r="G2768" s="5"/>
      <c r="H2768" s="5" t="s">
        <v>33</v>
      </c>
      <c r="I2768" s="6"/>
      <c r="J2768" s="7" t="s">
        <v>34</v>
      </c>
      <c r="K2768" s="7"/>
      <c r="L2768" s="8">
        <v>1.772500940463E12</v>
      </c>
      <c r="M2768" s="9"/>
      <c r="N2768" s="10"/>
      <c r="O2768" s="10"/>
      <c r="P2768" s="10"/>
      <c r="Q2768" s="10"/>
      <c r="R2768" s="10"/>
      <c r="S2768" s="10"/>
      <c r="T2768" s="10"/>
      <c r="U2768" s="10"/>
      <c r="V2768" s="10"/>
    </row>
    <row r="2769" ht="22.5" customHeight="1">
      <c r="A2769" s="5">
        <v>2.06601376947E11</v>
      </c>
      <c r="B2769" s="5" t="s">
        <v>2583</v>
      </c>
      <c r="C2769" s="5">
        <v>51972223144</v>
      </c>
      <c r="D2769" s="5" t="s">
        <v>13</v>
      </c>
      <c r="E2769" s="5">
        <v>8.0566583E7</v>
      </c>
      <c r="F2769" s="5" t="s">
        <v>259</v>
      </c>
      <c r="G2769" s="5" t="s">
        <v>15</v>
      </c>
      <c r="H2769" s="5" t="s">
        <v>51</v>
      </c>
      <c r="I2769" s="6" t="s">
        <v>17</v>
      </c>
      <c r="J2769" s="7" t="s">
        <v>25</v>
      </c>
      <c r="K2769" s="7" t="s">
        <v>501</v>
      </c>
      <c r="L2769" s="8">
        <v>1.772502139416E12</v>
      </c>
      <c r="M2769" s="9"/>
      <c r="N2769" s="10"/>
      <c r="O2769" s="10"/>
      <c r="P2769" s="10"/>
      <c r="Q2769" s="10"/>
      <c r="R2769" s="10"/>
      <c r="S2769" s="10"/>
      <c r="T2769" s="10"/>
      <c r="U2769" s="10"/>
      <c r="V2769" s="10"/>
    </row>
    <row r="2770" ht="22.5" customHeight="1">
      <c r="A2770" s="5">
        <v>2.06600687277E11</v>
      </c>
      <c r="B2770" s="5" t="s">
        <v>2584</v>
      </c>
      <c r="C2770" s="5">
        <v>5521972833345</v>
      </c>
      <c r="D2770" s="5" t="s">
        <v>13</v>
      </c>
      <c r="E2770" s="5">
        <v>7.9360573E7</v>
      </c>
      <c r="F2770" s="5" t="s">
        <v>93</v>
      </c>
      <c r="G2770" s="5" t="s">
        <v>15</v>
      </c>
      <c r="H2770" s="5" t="s">
        <v>24</v>
      </c>
      <c r="I2770" s="6" t="s">
        <v>17</v>
      </c>
      <c r="J2770" s="7" t="s">
        <v>34</v>
      </c>
      <c r="K2770" s="7"/>
      <c r="L2770" s="8">
        <v>1.772502357237E12</v>
      </c>
      <c r="M2770" s="9"/>
      <c r="N2770" s="10"/>
      <c r="O2770" s="10"/>
      <c r="P2770" s="10"/>
      <c r="Q2770" s="10"/>
      <c r="R2770" s="10"/>
      <c r="S2770" s="10"/>
      <c r="T2770" s="10"/>
      <c r="U2770" s="10"/>
      <c r="V2770" s="10"/>
    </row>
    <row r="2771" ht="22.5" customHeight="1">
      <c r="A2771" s="5">
        <v>2.06621483673E11</v>
      </c>
      <c r="B2771" s="5" t="s">
        <v>2585</v>
      </c>
      <c r="C2771" s="5">
        <v>51974059899</v>
      </c>
      <c r="D2771" s="5" t="s">
        <v>22</v>
      </c>
      <c r="E2771" s="5">
        <v>8.0566583E7</v>
      </c>
      <c r="F2771" s="5" t="s">
        <v>14</v>
      </c>
      <c r="G2771" s="5" t="s">
        <v>79</v>
      </c>
      <c r="H2771" s="5" t="s">
        <v>66</v>
      </c>
      <c r="I2771" s="6"/>
      <c r="J2771" s="7" t="s">
        <v>18</v>
      </c>
      <c r="K2771" s="7" t="s">
        <v>19</v>
      </c>
      <c r="L2771" s="8">
        <v>1.772502875915E12</v>
      </c>
      <c r="M2771" s="9"/>
      <c r="N2771" s="10"/>
      <c r="O2771" s="10"/>
      <c r="P2771" s="10"/>
      <c r="Q2771" s="10"/>
      <c r="R2771" s="10"/>
      <c r="S2771" s="10"/>
      <c r="T2771" s="10"/>
      <c r="U2771" s="10"/>
      <c r="V2771" s="10"/>
    </row>
    <row r="2772" ht="22.5" customHeight="1">
      <c r="A2772" s="5">
        <v>2.06620605568E11</v>
      </c>
      <c r="B2772" s="5" t="s">
        <v>2586</v>
      </c>
      <c r="C2772" s="5">
        <v>51960214731</v>
      </c>
      <c r="D2772" s="5" t="s">
        <v>13</v>
      </c>
      <c r="E2772" s="5">
        <v>8.7547393E7</v>
      </c>
      <c r="F2772" s="5"/>
      <c r="G2772" s="5" t="s">
        <v>104</v>
      </c>
      <c r="H2772" s="5" t="s">
        <v>16</v>
      </c>
      <c r="I2772" s="6" t="s">
        <v>148</v>
      </c>
      <c r="J2772" s="7" t="s">
        <v>34</v>
      </c>
      <c r="K2772" s="7"/>
      <c r="L2772" s="8">
        <v>1.77250315391E12</v>
      </c>
      <c r="M2772" s="9"/>
      <c r="N2772" s="10"/>
      <c r="O2772" s="10"/>
      <c r="P2772" s="10"/>
      <c r="Q2772" s="10"/>
      <c r="R2772" s="10"/>
      <c r="S2772" s="10"/>
      <c r="T2772" s="10"/>
      <c r="U2772" s="10"/>
      <c r="V2772" s="10"/>
    </row>
    <row r="2773" ht="22.5" customHeight="1">
      <c r="A2773" s="5">
        <v>2.06623373089E11</v>
      </c>
      <c r="B2773" s="5" t="s">
        <v>2587</v>
      </c>
      <c r="C2773" s="5">
        <v>51913547780</v>
      </c>
      <c r="D2773" s="5" t="s">
        <v>13</v>
      </c>
      <c r="E2773" s="5">
        <v>8.7547393E7</v>
      </c>
      <c r="F2773" s="5" t="s">
        <v>42</v>
      </c>
      <c r="G2773" s="5" t="s">
        <v>15</v>
      </c>
      <c r="H2773" s="5" t="s">
        <v>55</v>
      </c>
      <c r="I2773" s="6" t="s">
        <v>17</v>
      </c>
      <c r="J2773" s="7" t="s">
        <v>34</v>
      </c>
      <c r="K2773" s="7"/>
      <c r="L2773" s="8">
        <v>1.772503660058E12</v>
      </c>
      <c r="M2773" s="9"/>
      <c r="N2773" s="10"/>
      <c r="O2773" s="10"/>
      <c r="P2773" s="10"/>
      <c r="Q2773" s="10"/>
      <c r="R2773" s="10"/>
      <c r="S2773" s="10"/>
      <c r="T2773" s="10"/>
      <c r="U2773" s="10"/>
      <c r="V2773" s="10"/>
    </row>
    <row r="2774" ht="22.5" customHeight="1">
      <c r="A2774" s="5">
        <v>2.06603793249E11</v>
      </c>
      <c r="B2774" s="5" t="s">
        <v>2588</v>
      </c>
      <c r="C2774" s="5">
        <v>5565984746556</v>
      </c>
      <c r="D2774" s="5" t="s">
        <v>13</v>
      </c>
      <c r="E2774" s="5">
        <v>7.9360573E7</v>
      </c>
      <c r="F2774" s="5" t="s">
        <v>93</v>
      </c>
      <c r="G2774" s="5" t="s">
        <v>15</v>
      </c>
      <c r="H2774" s="5" t="s">
        <v>16</v>
      </c>
      <c r="I2774" s="6" t="s">
        <v>17</v>
      </c>
      <c r="J2774" s="7" t="s">
        <v>34</v>
      </c>
      <c r="K2774" s="7"/>
      <c r="L2774" s="8">
        <v>1.772503995806E12</v>
      </c>
      <c r="M2774" s="9"/>
      <c r="N2774" s="10"/>
      <c r="O2774" s="10"/>
      <c r="P2774" s="10"/>
      <c r="Q2774" s="10"/>
      <c r="R2774" s="10"/>
      <c r="S2774" s="10"/>
      <c r="T2774" s="10"/>
      <c r="U2774" s="10"/>
      <c r="V2774" s="10"/>
    </row>
    <row r="2775" ht="22.5" customHeight="1">
      <c r="A2775" s="5">
        <v>2.06625658522E11</v>
      </c>
      <c r="B2775" s="5" t="s">
        <v>2589</v>
      </c>
      <c r="C2775" s="5">
        <v>5577998349012</v>
      </c>
      <c r="D2775" s="5" t="s">
        <v>38</v>
      </c>
      <c r="E2775" s="5">
        <v>7.9360573E7</v>
      </c>
      <c r="F2775" s="5" t="s">
        <v>28</v>
      </c>
      <c r="G2775" s="5" t="s">
        <v>15</v>
      </c>
      <c r="H2775" s="5" t="s">
        <v>16</v>
      </c>
      <c r="I2775" s="6" t="s">
        <v>17</v>
      </c>
      <c r="J2775" s="7" t="s">
        <v>34</v>
      </c>
      <c r="K2775" s="7"/>
      <c r="L2775" s="8">
        <v>1.772504278984E12</v>
      </c>
      <c r="M2775" s="9"/>
      <c r="N2775" s="10"/>
      <c r="O2775" s="10"/>
      <c r="P2775" s="10"/>
      <c r="Q2775" s="10"/>
      <c r="R2775" s="10"/>
      <c r="S2775" s="10"/>
      <c r="T2775" s="10"/>
      <c r="U2775" s="10"/>
      <c r="V2775" s="10"/>
    </row>
    <row r="2776" ht="22.5" customHeight="1">
      <c r="A2776" s="5">
        <v>2.06625730928E11</v>
      </c>
      <c r="B2776" s="5" t="s">
        <v>2590</v>
      </c>
      <c r="C2776" s="5">
        <v>51948127609</v>
      </c>
      <c r="D2776" s="5" t="s">
        <v>13</v>
      </c>
      <c r="E2776" s="5">
        <v>8.0566583E7</v>
      </c>
      <c r="F2776" s="5" t="s">
        <v>259</v>
      </c>
      <c r="G2776" s="5" t="s">
        <v>32</v>
      </c>
      <c r="H2776" s="5" t="s">
        <v>51</v>
      </c>
      <c r="I2776" s="6" t="s">
        <v>17</v>
      </c>
      <c r="J2776" s="7" t="s">
        <v>34</v>
      </c>
      <c r="K2776" s="7"/>
      <c r="L2776" s="8">
        <v>1.77250478568E12</v>
      </c>
      <c r="M2776" s="9"/>
      <c r="N2776" s="10"/>
      <c r="O2776" s="10"/>
      <c r="P2776" s="10"/>
      <c r="Q2776" s="10"/>
      <c r="R2776" s="10"/>
      <c r="S2776" s="10"/>
      <c r="T2776" s="10"/>
      <c r="U2776" s="10"/>
      <c r="V2776" s="10"/>
    </row>
    <row r="2777" ht="22.5" customHeight="1">
      <c r="A2777" s="5">
        <v>2.06605593211E11</v>
      </c>
      <c r="B2777" s="5" t="s">
        <v>2591</v>
      </c>
      <c r="C2777" s="5">
        <v>51982768172</v>
      </c>
      <c r="D2777" s="5" t="s">
        <v>13</v>
      </c>
      <c r="E2777" s="5">
        <v>8.0566583E7</v>
      </c>
      <c r="F2777" s="5" t="s">
        <v>42</v>
      </c>
      <c r="G2777" s="5" t="s">
        <v>15</v>
      </c>
      <c r="H2777" s="5" t="s">
        <v>33</v>
      </c>
      <c r="I2777" s="6" t="s">
        <v>17</v>
      </c>
      <c r="J2777" s="7" t="s">
        <v>18</v>
      </c>
      <c r="K2777" s="7" t="s">
        <v>19</v>
      </c>
      <c r="L2777" s="8">
        <v>1.772506030266E12</v>
      </c>
      <c r="M2777" s="9"/>
      <c r="N2777" s="10"/>
      <c r="O2777" s="10"/>
      <c r="P2777" s="10"/>
      <c r="Q2777" s="10"/>
      <c r="R2777" s="10"/>
      <c r="S2777" s="10"/>
      <c r="T2777" s="10"/>
      <c r="U2777" s="10"/>
      <c r="V2777" s="10"/>
    </row>
    <row r="2778" ht="22.5" customHeight="1">
      <c r="A2778" s="5">
        <v>2.06626123424E11</v>
      </c>
      <c r="B2778" s="5" t="s">
        <v>2592</v>
      </c>
      <c r="C2778" s="5">
        <v>51918322209</v>
      </c>
      <c r="D2778" s="5" t="s">
        <v>13</v>
      </c>
      <c r="E2778" s="5">
        <v>8.7547393E7</v>
      </c>
      <c r="F2778" s="5" t="s">
        <v>259</v>
      </c>
      <c r="G2778" s="5" t="s">
        <v>15</v>
      </c>
      <c r="H2778" s="5" t="s">
        <v>51</v>
      </c>
      <c r="I2778" s="6" t="s">
        <v>17</v>
      </c>
      <c r="J2778" s="7" t="s">
        <v>18</v>
      </c>
      <c r="K2778" s="7" t="s">
        <v>19</v>
      </c>
      <c r="L2778" s="8">
        <v>1.772507000837E12</v>
      </c>
      <c r="M2778" s="9"/>
      <c r="N2778" s="10"/>
      <c r="O2778" s="10"/>
      <c r="P2778" s="10"/>
      <c r="Q2778" s="10"/>
      <c r="R2778" s="10"/>
      <c r="S2778" s="10"/>
      <c r="T2778" s="10"/>
      <c r="U2778" s="10"/>
      <c r="V2778" s="10"/>
    </row>
    <row r="2779" ht="22.5" customHeight="1">
      <c r="A2779" s="5">
        <v>2.06625658522E11</v>
      </c>
      <c r="B2779" s="5" t="s">
        <v>2589</v>
      </c>
      <c r="C2779" s="5">
        <v>5577998349012</v>
      </c>
      <c r="D2779" s="5" t="s">
        <v>38</v>
      </c>
      <c r="E2779" s="5">
        <v>7.9360573E7</v>
      </c>
      <c r="F2779" s="5" t="s">
        <v>28</v>
      </c>
      <c r="G2779" s="5" t="s">
        <v>15</v>
      </c>
      <c r="H2779" s="5" t="s">
        <v>16</v>
      </c>
      <c r="I2779" s="6" t="s">
        <v>17</v>
      </c>
      <c r="J2779" s="7" t="s">
        <v>34</v>
      </c>
      <c r="K2779" s="7"/>
      <c r="L2779" s="8">
        <v>1.772507898217E12</v>
      </c>
      <c r="M2779" s="9"/>
      <c r="N2779" s="10"/>
      <c r="O2779" s="10"/>
      <c r="P2779" s="10"/>
      <c r="Q2779" s="10"/>
      <c r="R2779" s="10"/>
      <c r="S2779" s="10"/>
      <c r="T2779" s="10"/>
      <c r="U2779" s="10"/>
      <c r="V2779" s="10"/>
    </row>
    <row r="2780" ht="22.5" customHeight="1">
      <c r="A2780" s="5">
        <v>2.0660555599E11</v>
      </c>
      <c r="B2780" s="5" t="s">
        <v>2593</v>
      </c>
      <c r="C2780" s="5">
        <v>51912320861</v>
      </c>
      <c r="D2780" s="5" t="s">
        <v>13</v>
      </c>
      <c r="E2780" s="5">
        <v>8.0566583E7</v>
      </c>
      <c r="F2780" s="5" t="s">
        <v>259</v>
      </c>
      <c r="G2780" s="5" t="s">
        <v>15</v>
      </c>
      <c r="H2780" s="5" t="s">
        <v>66</v>
      </c>
      <c r="I2780" s="6" t="s">
        <v>17</v>
      </c>
      <c r="J2780" s="7" t="s">
        <v>18</v>
      </c>
      <c r="K2780" s="7" t="s">
        <v>19</v>
      </c>
      <c r="L2780" s="8">
        <v>1.772508029261E12</v>
      </c>
      <c r="M2780" s="9"/>
      <c r="N2780" s="10"/>
      <c r="O2780" s="10"/>
      <c r="P2780" s="10"/>
      <c r="Q2780" s="10"/>
      <c r="R2780" s="10"/>
      <c r="S2780" s="10"/>
      <c r="T2780" s="10"/>
      <c r="U2780" s="10"/>
      <c r="V2780" s="10"/>
    </row>
    <row r="2781" ht="22.5" customHeight="1">
      <c r="A2781" s="5">
        <v>2.06627165714E11</v>
      </c>
      <c r="B2781" s="5" t="s">
        <v>2594</v>
      </c>
      <c r="C2781" s="5">
        <v>51962552198</v>
      </c>
      <c r="D2781" s="5" t="s">
        <v>13</v>
      </c>
      <c r="E2781" s="5">
        <v>8.7547393E7</v>
      </c>
      <c r="F2781" s="5" t="s">
        <v>510</v>
      </c>
      <c r="G2781" s="5" t="s">
        <v>15</v>
      </c>
      <c r="H2781" s="5" t="s">
        <v>51</v>
      </c>
      <c r="I2781" s="6" t="s">
        <v>17</v>
      </c>
      <c r="J2781" s="7" t="s">
        <v>18</v>
      </c>
      <c r="K2781" s="7" t="s">
        <v>19</v>
      </c>
      <c r="L2781" s="8">
        <v>1.772508167088E12</v>
      </c>
      <c r="M2781" s="9"/>
      <c r="N2781" s="10"/>
      <c r="O2781" s="10"/>
      <c r="P2781" s="10"/>
      <c r="Q2781" s="10"/>
      <c r="R2781" s="10"/>
      <c r="S2781" s="10"/>
      <c r="T2781" s="10"/>
      <c r="U2781" s="10"/>
      <c r="V2781" s="10"/>
    </row>
    <row r="2782" ht="22.5" customHeight="1">
      <c r="A2782" s="5">
        <v>2.06627443722E11</v>
      </c>
      <c r="B2782" s="5" t="s">
        <v>2595</v>
      </c>
      <c r="C2782" s="5">
        <v>5547988734228</v>
      </c>
      <c r="D2782" s="5" t="s">
        <v>38</v>
      </c>
      <c r="E2782" s="5">
        <v>7.9360573E7</v>
      </c>
      <c r="F2782" s="5"/>
      <c r="G2782" s="5"/>
      <c r="H2782" s="5"/>
      <c r="I2782" s="6"/>
      <c r="J2782" s="7" t="s">
        <v>34</v>
      </c>
      <c r="K2782" s="7"/>
      <c r="L2782" s="8">
        <v>1.772508809881E12</v>
      </c>
      <c r="M2782" s="9"/>
      <c r="N2782" s="10"/>
      <c r="O2782" s="10"/>
      <c r="P2782" s="10"/>
      <c r="Q2782" s="10"/>
      <c r="R2782" s="10"/>
      <c r="S2782" s="10"/>
      <c r="T2782" s="10"/>
      <c r="U2782" s="10"/>
      <c r="V2782" s="10"/>
    </row>
    <row r="2783" ht="22.5" customHeight="1">
      <c r="A2783" s="5">
        <v>2.06623735137E11</v>
      </c>
      <c r="B2783" s="5" t="s">
        <v>2596</v>
      </c>
      <c r="C2783" s="5">
        <v>51974496753</v>
      </c>
      <c r="D2783" s="5" t="s">
        <v>13</v>
      </c>
      <c r="E2783" s="5">
        <v>8.0566583E7</v>
      </c>
      <c r="F2783" s="5" t="s">
        <v>714</v>
      </c>
      <c r="G2783" s="5" t="s">
        <v>104</v>
      </c>
      <c r="H2783" s="5" t="s">
        <v>24</v>
      </c>
      <c r="I2783" s="6" t="s">
        <v>17</v>
      </c>
      <c r="J2783" s="7" t="s">
        <v>18</v>
      </c>
      <c r="K2783" s="7" t="s">
        <v>19</v>
      </c>
      <c r="L2783" s="8">
        <v>1.772509269095E12</v>
      </c>
      <c r="M2783" s="9"/>
      <c r="N2783" s="10"/>
      <c r="O2783" s="10"/>
      <c r="P2783" s="10"/>
      <c r="Q2783" s="10"/>
      <c r="R2783" s="10"/>
      <c r="S2783" s="10"/>
      <c r="T2783" s="10"/>
      <c r="U2783" s="10"/>
      <c r="V2783" s="10"/>
    </row>
    <row r="2784" ht="22.5" customHeight="1">
      <c r="A2784" s="5">
        <v>2.0660555599E11</v>
      </c>
      <c r="B2784" s="5" t="s">
        <v>2593</v>
      </c>
      <c r="C2784" s="5">
        <v>51912320861</v>
      </c>
      <c r="D2784" s="5" t="s">
        <v>13</v>
      </c>
      <c r="E2784" s="5">
        <v>8.0566583E7</v>
      </c>
      <c r="F2784" s="5" t="s">
        <v>259</v>
      </c>
      <c r="G2784" s="5" t="s">
        <v>15</v>
      </c>
      <c r="H2784" s="5" t="s">
        <v>66</v>
      </c>
      <c r="I2784" s="6" t="s">
        <v>17</v>
      </c>
      <c r="J2784" s="7" t="s">
        <v>18</v>
      </c>
      <c r="K2784" s="7" t="s">
        <v>19</v>
      </c>
      <c r="L2784" s="8">
        <v>1.772509423817E12</v>
      </c>
      <c r="M2784" s="9"/>
      <c r="N2784" s="10"/>
      <c r="O2784" s="10"/>
      <c r="P2784" s="10"/>
      <c r="Q2784" s="10"/>
      <c r="R2784" s="10"/>
      <c r="S2784" s="10"/>
      <c r="T2784" s="10"/>
      <c r="U2784" s="10"/>
      <c r="V2784" s="10"/>
    </row>
    <row r="2785" ht="22.5" customHeight="1">
      <c r="A2785" s="5">
        <v>2.06624553545E11</v>
      </c>
      <c r="B2785" s="5" t="s">
        <v>2597</v>
      </c>
      <c r="C2785" s="5">
        <v>51987813545</v>
      </c>
      <c r="D2785" s="5" t="s">
        <v>13</v>
      </c>
      <c r="E2785" s="5">
        <v>8.7547393E7</v>
      </c>
      <c r="F2785" s="5"/>
      <c r="G2785" s="5" t="s">
        <v>15</v>
      </c>
      <c r="H2785" s="5" t="s">
        <v>51</v>
      </c>
      <c r="I2785" s="6" t="s">
        <v>17</v>
      </c>
      <c r="J2785" s="7" t="s">
        <v>18</v>
      </c>
      <c r="K2785" s="7" t="s">
        <v>19</v>
      </c>
      <c r="L2785" s="8">
        <v>1.772509651864E12</v>
      </c>
      <c r="M2785" s="9"/>
      <c r="N2785" s="10"/>
      <c r="O2785" s="10"/>
      <c r="P2785" s="10"/>
      <c r="Q2785" s="10"/>
      <c r="R2785" s="10"/>
      <c r="S2785" s="10"/>
      <c r="T2785" s="10"/>
      <c r="U2785" s="10"/>
      <c r="V2785" s="10"/>
    </row>
    <row r="2786" ht="22.5" customHeight="1">
      <c r="A2786" s="5">
        <v>2.06608763932E11</v>
      </c>
      <c r="B2786" s="5" t="s">
        <v>2598</v>
      </c>
      <c r="C2786" s="5">
        <v>51927640255</v>
      </c>
      <c r="D2786" s="5" t="s">
        <v>13</v>
      </c>
      <c r="E2786" s="5">
        <v>8.0566583E7</v>
      </c>
      <c r="F2786" s="5" t="s">
        <v>65</v>
      </c>
      <c r="G2786" s="5" t="s">
        <v>15</v>
      </c>
      <c r="H2786" s="5" t="s">
        <v>66</v>
      </c>
      <c r="I2786" s="6" t="s">
        <v>17</v>
      </c>
      <c r="J2786" s="7" t="s">
        <v>34</v>
      </c>
      <c r="K2786" s="7"/>
      <c r="L2786" s="8">
        <v>1.772509847568E12</v>
      </c>
      <c r="M2786" s="9"/>
      <c r="N2786" s="10"/>
      <c r="O2786" s="10"/>
      <c r="P2786" s="10"/>
      <c r="Q2786" s="10"/>
      <c r="R2786" s="10"/>
      <c r="S2786" s="10"/>
      <c r="T2786" s="10"/>
      <c r="U2786" s="10"/>
      <c r="V2786" s="10"/>
    </row>
    <row r="2787" ht="22.5" customHeight="1">
      <c r="A2787" s="5">
        <v>1.99823496202E11</v>
      </c>
      <c r="B2787" s="5" t="s">
        <v>2599</v>
      </c>
      <c r="C2787" s="5">
        <v>51948400796</v>
      </c>
      <c r="D2787" s="5" t="s">
        <v>13</v>
      </c>
      <c r="E2787" s="5">
        <v>8.7547393E7</v>
      </c>
      <c r="F2787" s="5" t="s">
        <v>510</v>
      </c>
      <c r="G2787" s="5" t="s">
        <v>15</v>
      </c>
      <c r="H2787" s="5" t="s">
        <v>24</v>
      </c>
      <c r="I2787" s="6" t="s">
        <v>17</v>
      </c>
      <c r="J2787" s="7" t="s">
        <v>18</v>
      </c>
      <c r="K2787" s="7" t="s">
        <v>19</v>
      </c>
      <c r="L2787" s="8">
        <v>1.772509957815E12</v>
      </c>
      <c r="M2787" s="9"/>
      <c r="N2787" s="10"/>
      <c r="O2787" s="10"/>
      <c r="P2787" s="10"/>
      <c r="Q2787" s="10"/>
      <c r="R2787" s="10"/>
      <c r="S2787" s="10"/>
      <c r="T2787" s="10"/>
      <c r="U2787" s="10"/>
      <c r="V2787" s="10"/>
    </row>
    <row r="2788" ht="22.5" customHeight="1">
      <c r="A2788" s="5">
        <v>2.06609548363E11</v>
      </c>
      <c r="B2788" s="5" t="s">
        <v>2600</v>
      </c>
      <c r="C2788" s="5">
        <v>51989791876</v>
      </c>
      <c r="D2788" s="5" t="s">
        <v>13</v>
      </c>
      <c r="E2788" s="5">
        <v>8.7547393E7</v>
      </c>
      <c r="F2788" s="5" t="s">
        <v>28</v>
      </c>
      <c r="G2788" s="5" t="s">
        <v>15</v>
      </c>
      <c r="H2788" s="5" t="s">
        <v>66</v>
      </c>
      <c r="I2788" s="6" t="s">
        <v>17</v>
      </c>
      <c r="J2788" s="7" t="s">
        <v>18</v>
      </c>
      <c r="K2788" s="7" t="s">
        <v>19</v>
      </c>
      <c r="L2788" s="8">
        <v>1.772510418388E12</v>
      </c>
      <c r="M2788" s="9"/>
      <c r="N2788" s="10"/>
      <c r="O2788" s="10"/>
      <c r="P2788" s="10"/>
      <c r="Q2788" s="10"/>
      <c r="R2788" s="10"/>
      <c r="S2788" s="10"/>
      <c r="T2788" s="10"/>
      <c r="U2788" s="10"/>
      <c r="V2788" s="10"/>
    </row>
    <row r="2789" ht="22.5" customHeight="1">
      <c r="A2789" s="5">
        <v>2.06609142601E11</v>
      </c>
      <c r="B2789" s="5" t="s">
        <v>2601</v>
      </c>
      <c r="C2789" s="5">
        <v>51902857408</v>
      </c>
      <c r="D2789" s="5" t="s">
        <v>38</v>
      </c>
      <c r="E2789" s="5">
        <v>8.7547393E7</v>
      </c>
      <c r="F2789" s="5"/>
      <c r="G2789" s="5"/>
      <c r="H2789" s="5"/>
      <c r="I2789" s="6"/>
      <c r="J2789" s="7" t="s">
        <v>18</v>
      </c>
      <c r="K2789" s="7" t="s">
        <v>19</v>
      </c>
      <c r="L2789" s="8">
        <v>1.772510817457E12</v>
      </c>
      <c r="M2789" s="9"/>
      <c r="N2789" s="10"/>
      <c r="O2789" s="10"/>
      <c r="P2789" s="10"/>
      <c r="Q2789" s="10"/>
      <c r="R2789" s="10"/>
      <c r="S2789" s="10"/>
      <c r="T2789" s="10"/>
      <c r="U2789" s="10"/>
      <c r="V2789" s="10"/>
    </row>
    <row r="2790" ht="22.5" customHeight="1">
      <c r="A2790" s="5">
        <v>2.0661030715E11</v>
      </c>
      <c r="B2790" s="5" t="s">
        <v>2602</v>
      </c>
      <c r="C2790" s="5">
        <v>5547984913847</v>
      </c>
      <c r="D2790" s="5" t="s">
        <v>13</v>
      </c>
      <c r="E2790" s="5">
        <v>7.9360573E7</v>
      </c>
      <c r="F2790" s="5" t="s">
        <v>28</v>
      </c>
      <c r="G2790" s="5" t="s">
        <v>32</v>
      </c>
      <c r="H2790" s="5" t="s">
        <v>128</v>
      </c>
      <c r="I2790" s="6" t="s">
        <v>17</v>
      </c>
      <c r="J2790" s="7" t="s">
        <v>58</v>
      </c>
      <c r="K2790" s="11" t="s">
        <v>59</v>
      </c>
      <c r="L2790" s="8">
        <v>1.772511792454E12</v>
      </c>
      <c r="M2790" s="9"/>
      <c r="N2790" s="10"/>
      <c r="O2790" s="10"/>
      <c r="P2790" s="10"/>
      <c r="Q2790" s="10"/>
      <c r="R2790" s="10"/>
      <c r="S2790" s="10"/>
      <c r="T2790" s="10"/>
      <c r="U2790" s="10"/>
      <c r="V2790" s="10"/>
    </row>
    <row r="2791" ht="22.5" customHeight="1">
      <c r="A2791" s="5">
        <v>2.06610762337E11</v>
      </c>
      <c r="B2791" s="5" t="s">
        <v>2603</v>
      </c>
      <c r="C2791" s="5">
        <v>51971168790</v>
      </c>
      <c r="D2791" s="5" t="s">
        <v>13</v>
      </c>
      <c r="E2791" s="5">
        <v>8.7547393E7</v>
      </c>
      <c r="F2791" s="5" t="s">
        <v>28</v>
      </c>
      <c r="G2791" s="5" t="s">
        <v>15</v>
      </c>
      <c r="H2791" s="5" t="s">
        <v>24</v>
      </c>
      <c r="I2791" s="6" t="s">
        <v>17</v>
      </c>
      <c r="J2791" s="7" t="s">
        <v>18</v>
      </c>
      <c r="K2791" s="7" t="s">
        <v>19</v>
      </c>
      <c r="L2791" s="8">
        <v>1.772512212623E12</v>
      </c>
      <c r="M2791" s="9"/>
      <c r="N2791" s="10"/>
      <c r="O2791" s="10"/>
      <c r="P2791" s="10"/>
      <c r="Q2791" s="10"/>
      <c r="R2791" s="10"/>
      <c r="S2791" s="10"/>
      <c r="T2791" s="10"/>
      <c r="U2791" s="10"/>
      <c r="V2791" s="10"/>
    </row>
    <row r="2792" ht="22.5" customHeight="1">
      <c r="A2792" s="5">
        <v>2.06632543086E11</v>
      </c>
      <c r="B2792" s="5" t="s">
        <v>2604</v>
      </c>
      <c r="C2792" s="5">
        <v>51928225559</v>
      </c>
      <c r="D2792" s="5" t="s">
        <v>13</v>
      </c>
      <c r="E2792" s="5">
        <v>8.7547393E7</v>
      </c>
      <c r="F2792" s="5" t="s">
        <v>259</v>
      </c>
      <c r="G2792" s="5" t="s">
        <v>32</v>
      </c>
      <c r="H2792" s="5" t="s">
        <v>16</v>
      </c>
      <c r="I2792" s="6" t="s">
        <v>17</v>
      </c>
      <c r="J2792" s="7" t="s">
        <v>18</v>
      </c>
      <c r="K2792" s="7" t="s">
        <v>19</v>
      </c>
      <c r="L2792" s="8">
        <v>1.772513393978E12</v>
      </c>
      <c r="M2792" s="9"/>
      <c r="N2792" s="10"/>
      <c r="O2792" s="10"/>
      <c r="P2792" s="10"/>
      <c r="Q2792" s="10"/>
      <c r="R2792" s="10"/>
      <c r="S2792" s="10"/>
      <c r="T2792" s="10"/>
      <c r="U2792" s="10"/>
      <c r="V2792" s="10"/>
    </row>
    <row r="2793" ht="22.5" customHeight="1">
      <c r="A2793" s="5">
        <v>2.06612427898E11</v>
      </c>
      <c r="B2793" s="5" t="s">
        <v>2605</v>
      </c>
      <c r="C2793" s="5">
        <v>5591980839975</v>
      </c>
      <c r="D2793" s="5" t="s">
        <v>13</v>
      </c>
      <c r="E2793" s="5">
        <v>7.9360573E7</v>
      </c>
      <c r="F2793" s="5" t="s">
        <v>510</v>
      </c>
      <c r="G2793" s="5" t="s">
        <v>32</v>
      </c>
      <c r="H2793" s="5" t="s">
        <v>16</v>
      </c>
      <c r="I2793" s="6" t="s">
        <v>17</v>
      </c>
      <c r="J2793" s="7" t="s">
        <v>34</v>
      </c>
      <c r="K2793" s="7"/>
      <c r="L2793" s="8">
        <v>1.772513599617E12</v>
      </c>
      <c r="M2793" s="9"/>
      <c r="N2793" s="10"/>
      <c r="O2793" s="10"/>
      <c r="P2793" s="10"/>
      <c r="Q2793" s="10"/>
      <c r="R2793" s="10"/>
      <c r="S2793" s="10"/>
      <c r="T2793" s="10"/>
      <c r="U2793" s="10"/>
      <c r="V2793" s="10"/>
    </row>
    <row r="2794" ht="22.5" customHeight="1">
      <c r="A2794" s="5">
        <v>2.0663357786E11</v>
      </c>
      <c r="B2794" s="5" t="s">
        <v>2606</v>
      </c>
      <c r="C2794" s="5">
        <v>51982934225</v>
      </c>
      <c r="D2794" s="5" t="s">
        <v>13</v>
      </c>
      <c r="E2794" s="5">
        <v>8.0566583E7</v>
      </c>
      <c r="F2794" s="5" t="s">
        <v>14</v>
      </c>
      <c r="G2794" s="5" t="s">
        <v>15</v>
      </c>
      <c r="H2794" s="5" t="s">
        <v>24</v>
      </c>
      <c r="I2794" s="6" t="s">
        <v>17</v>
      </c>
      <c r="J2794" s="7" t="s">
        <v>34</v>
      </c>
      <c r="K2794" s="7"/>
      <c r="L2794" s="8">
        <v>1.772513955512E12</v>
      </c>
      <c r="M2794" s="9"/>
      <c r="N2794" s="10"/>
      <c r="O2794" s="10"/>
      <c r="P2794" s="10"/>
      <c r="Q2794" s="10"/>
      <c r="R2794" s="10"/>
      <c r="S2794" s="10"/>
      <c r="T2794" s="10"/>
      <c r="U2794" s="10"/>
      <c r="V2794" s="10"/>
    </row>
    <row r="2795" ht="22.5" customHeight="1">
      <c r="A2795" s="5">
        <v>2.06632990028E11</v>
      </c>
      <c r="B2795" s="5" t="s">
        <v>2607</v>
      </c>
      <c r="C2795" s="5">
        <v>51914370272</v>
      </c>
      <c r="D2795" s="5" t="s">
        <v>13</v>
      </c>
      <c r="E2795" s="5">
        <v>8.0566583E7</v>
      </c>
      <c r="F2795" s="5"/>
      <c r="G2795" s="5" t="s">
        <v>15</v>
      </c>
      <c r="H2795" s="5" t="s">
        <v>128</v>
      </c>
      <c r="I2795" s="6" t="s">
        <v>17</v>
      </c>
      <c r="J2795" s="7" t="s">
        <v>18</v>
      </c>
      <c r="K2795" s="7" t="s">
        <v>19</v>
      </c>
      <c r="L2795" s="8">
        <v>1.772515910709E12</v>
      </c>
      <c r="M2795" s="9"/>
      <c r="N2795" s="10"/>
      <c r="O2795" s="10"/>
      <c r="P2795" s="10"/>
      <c r="Q2795" s="10"/>
      <c r="R2795" s="10"/>
      <c r="S2795" s="10"/>
      <c r="T2795" s="10"/>
      <c r="U2795" s="10"/>
      <c r="V2795" s="10"/>
    </row>
    <row r="2796" ht="22.5" customHeight="1">
      <c r="A2796" s="5">
        <v>2.06613949994E11</v>
      </c>
      <c r="B2796" s="5" t="s">
        <v>2608</v>
      </c>
      <c r="C2796" s="5">
        <v>51932427861</v>
      </c>
      <c r="D2796" s="5" t="s">
        <v>13</v>
      </c>
      <c r="E2796" s="5">
        <v>8.7547393E7</v>
      </c>
      <c r="F2796" s="5" t="s">
        <v>39</v>
      </c>
      <c r="G2796" s="5" t="s">
        <v>15</v>
      </c>
      <c r="H2796" s="5" t="s">
        <v>51</v>
      </c>
      <c r="I2796" s="6"/>
      <c r="J2796" s="7" t="s">
        <v>18</v>
      </c>
      <c r="K2796" s="7" t="s">
        <v>19</v>
      </c>
      <c r="L2796" s="8">
        <v>1.772516419762E12</v>
      </c>
      <c r="M2796" s="9"/>
      <c r="N2796" s="10"/>
      <c r="O2796" s="10"/>
      <c r="P2796" s="10"/>
      <c r="Q2796" s="10"/>
      <c r="R2796" s="10"/>
      <c r="S2796" s="10"/>
      <c r="T2796" s="10"/>
      <c r="U2796" s="10"/>
      <c r="V2796" s="10"/>
    </row>
    <row r="2797" ht="22.5" customHeight="1">
      <c r="A2797" s="5">
        <v>2.06614166179E11</v>
      </c>
      <c r="B2797" s="5" t="s">
        <v>2609</v>
      </c>
      <c r="C2797" s="5">
        <v>51994914082</v>
      </c>
      <c r="D2797" s="5" t="s">
        <v>22</v>
      </c>
      <c r="E2797" s="5">
        <v>8.0566583E7</v>
      </c>
      <c r="F2797" s="5" t="s">
        <v>39</v>
      </c>
      <c r="G2797" s="5" t="s">
        <v>44</v>
      </c>
      <c r="H2797" s="5" t="s">
        <v>66</v>
      </c>
      <c r="I2797" s="6" t="s">
        <v>17</v>
      </c>
      <c r="J2797" s="7" t="s">
        <v>18</v>
      </c>
      <c r="K2797" s="7" t="s">
        <v>19</v>
      </c>
      <c r="L2797" s="8">
        <v>1.772516655144E12</v>
      </c>
      <c r="M2797" s="9"/>
      <c r="N2797" s="10"/>
      <c r="O2797" s="10"/>
      <c r="P2797" s="10"/>
      <c r="Q2797" s="10"/>
      <c r="R2797" s="10"/>
      <c r="S2797" s="10"/>
      <c r="T2797" s="10"/>
      <c r="U2797" s="10"/>
      <c r="V2797" s="10"/>
    </row>
    <row r="2798" ht="22.5" customHeight="1">
      <c r="A2798" s="5">
        <v>2.06660576396E11</v>
      </c>
      <c r="B2798" s="5" t="s">
        <v>2610</v>
      </c>
      <c r="C2798" s="5">
        <v>51999910089</v>
      </c>
      <c r="D2798" s="5" t="s">
        <v>38</v>
      </c>
      <c r="E2798" s="5">
        <v>8.7547393E7</v>
      </c>
      <c r="F2798" s="5" t="s">
        <v>259</v>
      </c>
      <c r="G2798" s="5" t="s">
        <v>15</v>
      </c>
      <c r="H2798" s="5" t="s">
        <v>69</v>
      </c>
      <c r="I2798" s="6" t="s">
        <v>17</v>
      </c>
      <c r="J2798" s="7" t="s">
        <v>18</v>
      </c>
      <c r="K2798" s="7" t="s">
        <v>19</v>
      </c>
      <c r="L2798" s="8">
        <v>1.772518221544E12</v>
      </c>
      <c r="M2798" s="9"/>
      <c r="N2798" s="10"/>
      <c r="O2798" s="10"/>
      <c r="P2798" s="10"/>
      <c r="Q2798" s="10"/>
      <c r="R2798" s="10"/>
      <c r="S2798" s="10"/>
      <c r="T2798" s="10"/>
      <c r="U2798" s="10"/>
      <c r="V2798" s="10"/>
    </row>
    <row r="2799" ht="22.5" customHeight="1">
      <c r="A2799" s="5">
        <v>2.06634677248E11</v>
      </c>
      <c r="B2799" s="5" t="s">
        <v>2611</v>
      </c>
      <c r="C2799" s="5">
        <v>51945745385</v>
      </c>
      <c r="D2799" s="5" t="s">
        <v>13</v>
      </c>
      <c r="E2799" s="5">
        <v>8.7547393E7</v>
      </c>
      <c r="F2799" s="5" t="s">
        <v>714</v>
      </c>
      <c r="G2799" s="5" t="s">
        <v>15</v>
      </c>
      <c r="H2799" s="5"/>
      <c r="I2799" s="6"/>
      <c r="J2799" s="7" t="s">
        <v>18</v>
      </c>
      <c r="K2799" s="7" t="s">
        <v>19</v>
      </c>
      <c r="L2799" s="8">
        <v>1.772519242635E12</v>
      </c>
      <c r="M2799" s="9"/>
      <c r="N2799" s="10"/>
      <c r="O2799" s="10"/>
      <c r="P2799" s="10"/>
      <c r="Q2799" s="10"/>
      <c r="R2799" s="10"/>
      <c r="S2799" s="10"/>
      <c r="T2799" s="10"/>
      <c r="U2799" s="10"/>
      <c r="V2799" s="10"/>
    </row>
    <row r="2800" ht="22.5" customHeight="1">
      <c r="A2800" s="5">
        <v>2.06639470475E11</v>
      </c>
      <c r="B2800" s="5" t="s">
        <v>2612</v>
      </c>
      <c r="C2800" s="5">
        <v>51981000494</v>
      </c>
      <c r="D2800" s="5" t="s">
        <v>38</v>
      </c>
      <c r="E2800" s="5">
        <v>8.0566583E7</v>
      </c>
      <c r="F2800" s="5"/>
      <c r="G2800" s="5"/>
      <c r="H2800" s="5"/>
      <c r="I2800" s="6"/>
      <c r="J2800" s="7" t="s">
        <v>34</v>
      </c>
      <c r="K2800" s="7"/>
      <c r="L2800" s="8">
        <v>1.772522844877E12</v>
      </c>
      <c r="M2800" s="9"/>
      <c r="N2800" s="10"/>
      <c r="O2800" s="10"/>
      <c r="P2800" s="10"/>
      <c r="Q2800" s="10"/>
      <c r="R2800" s="10"/>
      <c r="S2800" s="10"/>
      <c r="T2800" s="10"/>
      <c r="U2800" s="10"/>
      <c r="V2800" s="10"/>
    </row>
    <row r="2801" ht="22.5" customHeight="1">
      <c r="A2801" s="5">
        <v>2.06641975555E11</v>
      </c>
      <c r="B2801" s="5" t="s">
        <v>2613</v>
      </c>
      <c r="C2801" s="5">
        <v>51945457447</v>
      </c>
      <c r="D2801" s="5" t="s">
        <v>13</v>
      </c>
      <c r="E2801" s="5">
        <v>8.0566583E7</v>
      </c>
      <c r="F2801" s="5" t="s">
        <v>28</v>
      </c>
      <c r="G2801" s="5" t="s">
        <v>15</v>
      </c>
      <c r="H2801" s="5" t="s">
        <v>51</v>
      </c>
      <c r="I2801" s="6" t="s">
        <v>63</v>
      </c>
      <c r="J2801" s="7" t="s">
        <v>18</v>
      </c>
      <c r="K2801" s="7" t="s">
        <v>19</v>
      </c>
      <c r="L2801" s="8">
        <v>1.772525322459E12</v>
      </c>
      <c r="M2801" s="9"/>
      <c r="N2801" s="10"/>
      <c r="O2801" s="10"/>
      <c r="P2801" s="10"/>
      <c r="Q2801" s="10"/>
      <c r="R2801" s="10"/>
      <c r="S2801" s="10"/>
      <c r="T2801" s="10"/>
      <c r="U2801" s="10"/>
      <c r="V2801" s="10"/>
    </row>
    <row r="2802" ht="22.5" customHeight="1">
      <c r="A2802" s="5">
        <v>2.0664520329E11</v>
      </c>
      <c r="B2802" s="5" t="s">
        <v>2614</v>
      </c>
      <c r="C2802" s="5">
        <v>51922521758</v>
      </c>
      <c r="D2802" s="5" t="s">
        <v>13</v>
      </c>
      <c r="E2802" s="5">
        <v>8.0566583E7</v>
      </c>
      <c r="F2802" s="5" t="s">
        <v>42</v>
      </c>
      <c r="G2802" s="5" t="s">
        <v>32</v>
      </c>
      <c r="H2802" s="5" t="s">
        <v>66</v>
      </c>
      <c r="I2802" s="6" t="s">
        <v>17</v>
      </c>
      <c r="J2802" s="7" t="s">
        <v>18</v>
      </c>
      <c r="K2802" s="7" t="s">
        <v>19</v>
      </c>
      <c r="L2802" s="8">
        <v>1.772529860519E12</v>
      </c>
      <c r="M2802" s="9"/>
      <c r="N2802" s="10"/>
      <c r="O2802" s="10"/>
      <c r="P2802" s="10"/>
      <c r="Q2802" s="10"/>
      <c r="R2802" s="10"/>
      <c r="S2802" s="10"/>
      <c r="T2802" s="10"/>
      <c r="U2802" s="10"/>
      <c r="V2802" s="10"/>
    </row>
    <row r="2803" ht="22.5" customHeight="1">
      <c r="A2803" s="5">
        <v>2.0664473106E11</v>
      </c>
      <c r="B2803" s="5" t="s">
        <v>2615</v>
      </c>
      <c r="C2803" s="5">
        <v>51971355241</v>
      </c>
      <c r="D2803" s="5" t="s">
        <v>13</v>
      </c>
      <c r="E2803" s="5">
        <v>8.7547393E7</v>
      </c>
      <c r="F2803" s="5" t="s">
        <v>14</v>
      </c>
      <c r="G2803" s="5" t="s">
        <v>15</v>
      </c>
      <c r="H2803" s="5" t="s">
        <v>66</v>
      </c>
      <c r="I2803" s="6" t="s">
        <v>17</v>
      </c>
      <c r="J2803" s="7" t="s">
        <v>18</v>
      </c>
      <c r="K2803" s="7" t="s">
        <v>19</v>
      </c>
      <c r="L2803" s="8">
        <v>1.772530772316E12</v>
      </c>
      <c r="M2803" s="9"/>
      <c r="N2803" s="10"/>
      <c r="O2803" s="10"/>
      <c r="P2803" s="10"/>
      <c r="Q2803" s="10"/>
      <c r="R2803" s="10"/>
      <c r="S2803" s="10"/>
      <c r="T2803" s="10"/>
      <c r="U2803" s="10"/>
      <c r="V2803" s="10"/>
    </row>
    <row r="2804" ht="22.5" customHeight="1">
      <c r="A2804" s="5">
        <v>1.88385601822E11</v>
      </c>
      <c r="B2804" s="5" t="s">
        <v>2616</v>
      </c>
      <c r="C2804" s="5">
        <v>5598985002255</v>
      </c>
      <c r="D2804" s="5" t="s">
        <v>13</v>
      </c>
      <c r="E2804" s="5">
        <v>7.9360573E7</v>
      </c>
      <c r="F2804" s="5" t="s">
        <v>510</v>
      </c>
      <c r="G2804" s="5" t="s">
        <v>15</v>
      </c>
      <c r="H2804" s="5" t="s">
        <v>997</v>
      </c>
      <c r="I2804" s="6" t="s">
        <v>17</v>
      </c>
      <c r="J2804" s="7" t="s">
        <v>18</v>
      </c>
      <c r="K2804" s="7" t="s">
        <v>45</v>
      </c>
      <c r="L2804" s="8">
        <v>1.772532771338E12</v>
      </c>
      <c r="M2804" s="9"/>
      <c r="N2804" s="10"/>
      <c r="O2804" s="10"/>
      <c r="P2804" s="10"/>
      <c r="Q2804" s="10"/>
      <c r="R2804" s="10"/>
      <c r="S2804" s="10"/>
      <c r="T2804" s="10"/>
      <c r="U2804" s="10"/>
      <c r="V2804" s="10"/>
    </row>
    <row r="2805" ht="22.5" customHeight="1">
      <c r="A2805" s="5">
        <v>1.44234813825E11</v>
      </c>
      <c r="B2805" s="5" t="s">
        <v>2617</v>
      </c>
      <c r="C2805" s="5">
        <v>51973358032</v>
      </c>
      <c r="D2805" s="5" t="s">
        <v>13</v>
      </c>
      <c r="E2805" s="5">
        <v>8.7547393E7</v>
      </c>
      <c r="F2805" s="5" t="s">
        <v>259</v>
      </c>
      <c r="G2805" s="5" t="s">
        <v>15</v>
      </c>
      <c r="H2805" s="5" t="s">
        <v>16</v>
      </c>
      <c r="I2805" s="6" t="s">
        <v>63</v>
      </c>
      <c r="J2805" s="7" t="s">
        <v>34</v>
      </c>
      <c r="K2805" s="7"/>
      <c r="L2805" s="8">
        <v>1.772536166241E12</v>
      </c>
      <c r="M2805" s="9"/>
      <c r="N2805" s="10"/>
      <c r="O2805" s="10"/>
      <c r="P2805" s="10"/>
      <c r="Q2805" s="10"/>
      <c r="R2805" s="10"/>
      <c r="S2805" s="10"/>
      <c r="T2805" s="10"/>
      <c r="U2805" s="10"/>
      <c r="V2805" s="10"/>
    </row>
    <row r="2806" ht="22.5" customHeight="1">
      <c r="A2806" s="5">
        <v>2.0664962928E11</v>
      </c>
      <c r="B2806" s="5" t="s">
        <v>2618</v>
      </c>
      <c r="C2806" s="5">
        <v>5516992190405</v>
      </c>
      <c r="D2806" s="5" t="s">
        <v>13</v>
      </c>
      <c r="E2806" s="5">
        <v>7.9360573E7</v>
      </c>
      <c r="F2806" s="5" t="s">
        <v>714</v>
      </c>
      <c r="G2806" s="5" t="s">
        <v>15</v>
      </c>
      <c r="H2806" s="5" t="s">
        <v>16</v>
      </c>
      <c r="I2806" s="6" t="s">
        <v>17</v>
      </c>
      <c r="J2806" s="7" t="s">
        <v>34</v>
      </c>
      <c r="K2806" s="7"/>
      <c r="L2806" s="8">
        <v>1.77253724699E12</v>
      </c>
      <c r="M2806" s="9"/>
      <c r="N2806" s="10"/>
      <c r="O2806" s="10"/>
      <c r="P2806" s="10"/>
      <c r="Q2806" s="10"/>
      <c r="R2806" s="10"/>
      <c r="S2806" s="10"/>
      <c r="T2806" s="10"/>
      <c r="U2806" s="10"/>
      <c r="V2806" s="10"/>
    </row>
    <row r="2807" ht="22.5" customHeight="1">
      <c r="A2807" s="5">
        <v>2.06673673595E11</v>
      </c>
      <c r="B2807" s="5" t="s">
        <v>2619</v>
      </c>
      <c r="C2807" s="5">
        <v>5521965618130</v>
      </c>
      <c r="D2807" s="5" t="s">
        <v>13</v>
      </c>
      <c r="E2807" s="5">
        <v>7.9360573E7</v>
      </c>
      <c r="F2807" s="5" t="s">
        <v>93</v>
      </c>
      <c r="G2807" s="5" t="s">
        <v>15</v>
      </c>
      <c r="H2807" s="5" t="s">
        <v>128</v>
      </c>
      <c r="I2807" s="6" t="s">
        <v>17</v>
      </c>
      <c r="J2807" s="7" t="s">
        <v>124</v>
      </c>
      <c r="K2807" s="7" t="s">
        <v>1256</v>
      </c>
      <c r="L2807" s="8">
        <v>1.772537816856E12</v>
      </c>
      <c r="M2807" s="9"/>
      <c r="N2807" s="10"/>
      <c r="O2807" s="10"/>
      <c r="P2807" s="10"/>
      <c r="Q2807" s="10"/>
      <c r="R2807" s="10"/>
      <c r="S2807" s="10"/>
      <c r="T2807" s="10"/>
      <c r="U2807" s="10"/>
      <c r="V2807" s="10"/>
    </row>
    <row r="2808" ht="22.5" customHeight="1">
      <c r="A2808" s="5">
        <v>2.06673106345E11</v>
      </c>
      <c r="B2808" s="5" t="s">
        <v>2620</v>
      </c>
      <c r="C2808" s="5">
        <v>51944980054</v>
      </c>
      <c r="D2808" s="5" t="s">
        <v>13</v>
      </c>
      <c r="E2808" s="5">
        <v>8.7547393E7</v>
      </c>
      <c r="F2808" s="5" t="s">
        <v>259</v>
      </c>
      <c r="G2808" s="5" t="s">
        <v>15</v>
      </c>
      <c r="H2808" s="5" t="s">
        <v>66</v>
      </c>
      <c r="I2808" s="6" t="s">
        <v>17</v>
      </c>
      <c r="J2808" s="7" t="s">
        <v>18</v>
      </c>
      <c r="K2808" s="7" t="s">
        <v>19</v>
      </c>
      <c r="L2808" s="8">
        <v>1.772537860712E12</v>
      </c>
      <c r="M2808" s="9"/>
      <c r="N2808" s="10"/>
      <c r="O2808" s="10"/>
      <c r="P2808" s="10"/>
      <c r="Q2808" s="10"/>
      <c r="R2808" s="10"/>
      <c r="S2808" s="10"/>
      <c r="T2808" s="10"/>
      <c r="U2808" s="10"/>
      <c r="V2808" s="10"/>
    </row>
    <row r="2809" ht="22.5" customHeight="1">
      <c r="A2809" s="5">
        <v>2.0664844447E11</v>
      </c>
      <c r="B2809" s="5" t="s">
        <v>2621</v>
      </c>
      <c r="C2809" s="5">
        <v>51959666066</v>
      </c>
      <c r="D2809" s="5" t="s">
        <v>22</v>
      </c>
      <c r="E2809" s="5">
        <v>8.7547393E7</v>
      </c>
      <c r="F2809" s="5" t="s">
        <v>28</v>
      </c>
      <c r="G2809" s="5">
        <v>50</v>
      </c>
      <c r="H2809" s="5" t="s">
        <v>24</v>
      </c>
      <c r="I2809" s="6"/>
      <c r="J2809" s="7" t="s">
        <v>34</v>
      </c>
      <c r="K2809" s="7"/>
      <c r="L2809" s="8">
        <v>1.772537964271E12</v>
      </c>
      <c r="M2809" s="9"/>
      <c r="N2809" s="10"/>
      <c r="O2809" s="10"/>
      <c r="P2809" s="10"/>
      <c r="Q2809" s="10"/>
      <c r="R2809" s="10"/>
      <c r="S2809" s="10"/>
      <c r="T2809" s="10"/>
      <c r="U2809" s="10"/>
      <c r="V2809" s="10"/>
    </row>
    <row r="2810" ht="22.5" customHeight="1">
      <c r="A2810" s="5">
        <v>1.34932240433E11</v>
      </c>
      <c r="B2810" s="5" t="s">
        <v>2622</v>
      </c>
      <c r="C2810" s="5">
        <v>51941057028</v>
      </c>
      <c r="D2810" s="5" t="s">
        <v>13</v>
      </c>
      <c r="E2810" s="5">
        <v>8.7547393E7</v>
      </c>
      <c r="F2810" s="5" t="s">
        <v>510</v>
      </c>
      <c r="G2810" s="5" t="s">
        <v>44</v>
      </c>
      <c r="H2810" s="5" t="s">
        <v>29</v>
      </c>
      <c r="I2810" s="6" t="s">
        <v>17</v>
      </c>
      <c r="J2810" s="7" t="s">
        <v>18</v>
      </c>
      <c r="K2810" s="7" t="s">
        <v>2623</v>
      </c>
      <c r="L2810" s="8">
        <v>1.772538603958E12</v>
      </c>
      <c r="M2810" s="9"/>
      <c r="N2810" s="10"/>
      <c r="O2810" s="10"/>
      <c r="P2810" s="10"/>
      <c r="Q2810" s="10"/>
      <c r="R2810" s="10"/>
      <c r="S2810" s="10"/>
      <c r="T2810" s="10"/>
      <c r="U2810" s="10"/>
      <c r="V2810" s="10"/>
    </row>
    <row r="2811" ht="22.5" customHeight="1">
      <c r="A2811" s="5">
        <v>2.06202341903E11</v>
      </c>
      <c r="B2811" s="5" t="s">
        <v>2457</v>
      </c>
      <c r="C2811" s="5">
        <v>51967368911</v>
      </c>
      <c r="D2811" s="5" t="s">
        <v>13</v>
      </c>
      <c r="E2811" s="5">
        <v>8.0566583E7</v>
      </c>
      <c r="F2811" s="5" t="s">
        <v>714</v>
      </c>
      <c r="G2811" s="5" t="s">
        <v>15</v>
      </c>
      <c r="H2811" s="5" t="s">
        <v>24</v>
      </c>
      <c r="I2811" s="6" t="s">
        <v>36</v>
      </c>
      <c r="J2811" s="7" t="s">
        <v>34</v>
      </c>
      <c r="K2811" s="7"/>
      <c r="L2811" s="8">
        <v>1.772539550606E12</v>
      </c>
      <c r="M2811" s="9"/>
      <c r="N2811" s="10"/>
      <c r="O2811" s="10"/>
      <c r="P2811" s="10"/>
      <c r="Q2811" s="10"/>
      <c r="R2811" s="10"/>
      <c r="S2811" s="10"/>
      <c r="T2811" s="10"/>
      <c r="U2811" s="10"/>
      <c r="V2811" s="10"/>
    </row>
    <row r="2812" ht="22.5" customHeight="1">
      <c r="A2812" s="5">
        <v>1.88596784946E11</v>
      </c>
      <c r="B2812" s="5" t="s">
        <v>2624</v>
      </c>
      <c r="C2812" s="5">
        <v>51971369417</v>
      </c>
      <c r="D2812" s="5" t="s">
        <v>13</v>
      </c>
      <c r="E2812" s="5">
        <v>8.0566583E7</v>
      </c>
      <c r="F2812" s="5" t="s">
        <v>259</v>
      </c>
      <c r="G2812" s="5" t="s">
        <v>15</v>
      </c>
      <c r="H2812" s="5" t="s">
        <v>24</v>
      </c>
      <c r="I2812" s="6" t="s">
        <v>49</v>
      </c>
      <c r="J2812" s="7" t="s">
        <v>18</v>
      </c>
      <c r="K2812" s="7" t="s">
        <v>19</v>
      </c>
      <c r="L2812" s="8">
        <v>1.772539655213E12</v>
      </c>
      <c r="M2812" s="9"/>
      <c r="N2812" s="10"/>
      <c r="O2812" s="10"/>
      <c r="P2812" s="10"/>
      <c r="Q2812" s="10"/>
      <c r="R2812" s="10"/>
      <c r="S2812" s="10"/>
      <c r="T2812" s="10"/>
      <c r="U2812" s="10"/>
      <c r="V2812" s="10"/>
    </row>
    <row r="2813" ht="22.5" customHeight="1">
      <c r="A2813" s="5">
        <v>2.06683792966E11</v>
      </c>
      <c r="B2813" s="5" t="s">
        <v>2625</v>
      </c>
      <c r="C2813" s="5">
        <v>51943848772</v>
      </c>
      <c r="D2813" s="5" t="s">
        <v>13</v>
      </c>
      <c r="E2813" s="5">
        <v>8.0566583E7</v>
      </c>
      <c r="F2813" s="5" t="s">
        <v>510</v>
      </c>
      <c r="G2813" s="5" t="s">
        <v>15</v>
      </c>
      <c r="H2813" s="5" t="s">
        <v>24</v>
      </c>
      <c r="I2813" s="6" t="s">
        <v>17</v>
      </c>
      <c r="J2813" s="7" t="s">
        <v>18</v>
      </c>
      <c r="K2813" s="7" t="s">
        <v>19</v>
      </c>
      <c r="L2813" s="8">
        <v>1.772539797008E12</v>
      </c>
      <c r="M2813" s="9"/>
      <c r="N2813" s="10"/>
      <c r="O2813" s="10"/>
      <c r="P2813" s="10"/>
      <c r="Q2813" s="10"/>
      <c r="R2813" s="10"/>
      <c r="S2813" s="10"/>
      <c r="T2813" s="10"/>
      <c r="U2813" s="10"/>
      <c r="V2813" s="10"/>
    </row>
    <row r="2814" ht="22.5" customHeight="1">
      <c r="A2814" s="5">
        <v>2.06682124956E11</v>
      </c>
      <c r="B2814" s="5" t="s">
        <v>2626</v>
      </c>
      <c r="C2814" s="5">
        <v>5544998416998</v>
      </c>
      <c r="D2814" s="5" t="s">
        <v>13</v>
      </c>
      <c r="E2814" s="5">
        <v>7.9360573E7</v>
      </c>
      <c r="F2814" s="5" t="s">
        <v>259</v>
      </c>
      <c r="G2814" s="5" t="s">
        <v>15</v>
      </c>
      <c r="H2814" s="5" t="s">
        <v>66</v>
      </c>
      <c r="I2814" s="6" t="s">
        <v>17</v>
      </c>
      <c r="J2814" s="7" t="s">
        <v>124</v>
      </c>
      <c r="K2814" s="7" t="s">
        <v>1256</v>
      </c>
      <c r="L2814" s="8">
        <v>1.772540055611E12</v>
      </c>
      <c r="M2814" s="9"/>
      <c r="N2814" s="10"/>
      <c r="O2814" s="10"/>
      <c r="P2814" s="10"/>
      <c r="Q2814" s="10"/>
      <c r="R2814" s="10"/>
      <c r="S2814" s="10"/>
      <c r="T2814" s="10"/>
      <c r="U2814" s="10"/>
      <c r="V2814" s="10"/>
    </row>
    <row r="2815" ht="22.5" customHeight="1">
      <c r="A2815" s="5">
        <v>2.06682824841E11</v>
      </c>
      <c r="B2815" s="5" t="s">
        <v>2627</v>
      </c>
      <c r="C2815" s="5">
        <v>51939705382</v>
      </c>
      <c r="D2815" s="5" t="s">
        <v>103</v>
      </c>
      <c r="E2815" s="5">
        <v>8.0566583E7</v>
      </c>
      <c r="F2815" s="5" t="s">
        <v>39</v>
      </c>
      <c r="G2815" s="5" t="s">
        <v>104</v>
      </c>
      <c r="H2815" s="5" t="s">
        <v>16</v>
      </c>
      <c r="I2815" s="6" t="s">
        <v>17</v>
      </c>
      <c r="J2815" s="7" t="s">
        <v>18</v>
      </c>
      <c r="K2815" s="7" t="s">
        <v>19</v>
      </c>
      <c r="L2815" s="8">
        <v>1.77254070575E12</v>
      </c>
      <c r="M2815" s="9"/>
      <c r="N2815" s="10"/>
      <c r="O2815" s="10"/>
      <c r="P2815" s="10"/>
      <c r="Q2815" s="10"/>
      <c r="R2815" s="10"/>
      <c r="S2815" s="10"/>
      <c r="T2815" s="10"/>
      <c r="U2815" s="10"/>
      <c r="V2815" s="10"/>
    </row>
    <row r="2816" ht="22.5" customHeight="1">
      <c r="A2816" s="5">
        <v>2.06684593304E11</v>
      </c>
      <c r="B2816" s="5" t="s">
        <v>2628</v>
      </c>
      <c r="C2816" s="5">
        <v>5581997040825</v>
      </c>
      <c r="D2816" s="5" t="s">
        <v>13</v>
      </c>
      <c r="E2816" s="5">
        <v>7.9360573E7</v>
      </c>
      <c r="F2816" s="5" t="s">
        <v>28</v>
      </c>
      <c r="G2816" s="5" t="s">
        <v>32</v>
      </c>
      <c r="H2816" s="5" t="s">
        <v>55</v>
      </c>
      <c r="I2816" s="6" t="s">
        <v>36</v>
      </c>
      <c r="J2816" s="7" t="s">
        <v>34</v>
      </c>
      <c r="K2816" s="7"/>
      <c r="L2816" s="8">
        <v>1.772541762912E12</v>
      </c>
      <c r="M2816" s="9"/>
      <c r="N2816" s="10"/>
      <c r="O2816" s="10"/>
      <c r="P2816" s="10"/>
      <c r="Q2816" s="10"/>
      <c r="R2816" s="10"/>
      <c r="S2816" s="10"/>
      <c r="T2816" s="10"/>
      <c r="U2816" s="10"/>
      <c r="V2816" s="10"/>
    </row>
    <row r="2817" ht="22.5" customHeight="1">
      <c r="A2817" s="5">
        <v>2.06686500672E11</v>
      </c>
      <c r="B2817" s="5" t="s">
        <v>2629</v>
      </c>
      <c r="C2817" s="5">
        <v>5562991372684</v>
      </c>
      <c r="D2817" s="5" t="s">
        <v>38</v>
      </c>
      <c r="E2817" s="5">
        <v>7.9360573E7</v>
      </c>
      <c r="F2817" s="5"/>
      <c r="G2817" s="5"/>
      <c r="H2817" s="5"/>
      <c r="I2817" s="6" t="s">
        <v>17</v>
      </c>
      <c r="J2817" s="7" t="s">
        <v>124</v>
      </c>
      <c r="K2817" s="7" t="s">
        <v>1002</v>
      </c>
      <c r="L2817" s="8">
        <v>1.77254306311E12</v>
      </c>
      <c r="M2817" s="9"/>
      <c r="N2817" s="10"/>
      <c r="O2817" s="10"/>
      <c r="P2817" s="10"/>
      <c r="Q2817" s="10"/>
      <c r="R2817" s="10"/>
      <c r="S2817" s="10"/>
      <c r="T2817" s="10"/>
      <c r="U2817" s="10"/>
      <c r="V2817" s="10"/>
    </row>
    <row r="2818" ht="22.5" customHeight="1">
      <c r="A2818" s="5">
        <v>1.88385601822E11</v>
      </c>
      <c r="B2818" s="5" t="s">
        <v>2616</v>
      </c>
      <c r="C2818" s="5">
        <v>5598985002255</v>
      </c>
      <c r="D2818" s="5" t="s">
        <v>13</v>
      </c>
      <c r="E2818" s="5">
        <v>7.9360573E7</v>
      </c>
      <c r="F2818" s="5" t="s">
        <v>510</v>
      </c>
      <c r="G2818" s="5" t="s">
        <v>15</v>
      </c>
      <c r="H2818" s="5" t="s">
        <v>997</v>
      </c>
      <c r="I2818" s="6" t="s">
        <v>17</v>
      </c>
      <c r="J2818" s="7" t="s">
        <v>34</v>
      </c>
      <c r="K2818" s="7"/>
      <c r="L2818" s="8">
        <v>1.772543116569E12</v>
      </c>
      <c r="M2818" s="9"/>
      <c r="N2818" s="10"/>
      <c r="O2818" s="10"/>
      <c r="P2818" s="10"/>
      <c r="Q2818" s="10"/>
      <c r="R2818" s="10"/>
      <c r="S2818" s="10"/>
      <c r="T2818" s="10"/>
      <c r="U2818" s="10"/>
      <c r="V2818" s="10"/>
    </row>
    <row r="2819" ht="22.5" customHeight="1">
      <c r="A2819" s="5">
        <v>2.06689322353E11</v>
      </c>
      <c r="B2819" s="5" t="s">
        <v>2630</v>
      </c>
      <c r="C2819" s="5">
        <v>51930600531</v>
      </c>
      <c r="D2819" s="5" t="s">
        <v>38</v>
      </c>
      <c r="E2819" s="5">
        <v>8.0566583E7</v>
      </c>
      <c r="F2819" s="5"/>
      <c r="G2819" s="5"/>
      <c r="H2819" s="5"/>
      <c r="I2819" s="6"/>
      <c r="J2819" s="7" t="s">
        <v>18</v>
      </c>
      <c r="K2819" s="7" t="s">
        <v>19</v>
      </c>
      <c r="L2819" s="8">
        <v>1.772543330916E12</v>
      </c>
      <c r="M2819" s="9"/>
      <c r="N2819" s="10"/>
      <c r="O2819" s="10"/>
      <c r="P2819" s="10"/>
      <c r="Q2819" s="10"/>
      <c r="R2819" s="10"/>
      <c r="S2819" s="10"/>
      <c r="T2819" s="10"/>
      <c r="U2819" s="10"/>
      <c r="V2819" s="10"/>
    </row>
    <row r="2820" ht="22.5" customHeight="1">
      <c r="A2820" s="5">
        <v>2.06693276054E11</v>
      </c>
      <c r="B2820" s="5" t="s">
        <v>2631</v>
      </c>
      <c r="C2820" s="5">
        <v>51924252414</v>
      </c>
      <c r="D2820" s="5" t="s">
        <v>38</v>
      </c>
      <c r="E2820" s="5">
        <v>8.0566583E7</v>
      </c>
      <c r="F2820" s="5" t="s">
        <v>28</v>
      </c>
      <c r="G2820" s="5" t="s">
        <v>79</v>
      </c>
      <c r="H2820" s="5" t="s">
        <v>66</v>
      </c>
      <c r="I2820" s="6" t="s">
        <v>17</v>
      </c>
      <c r="J2820" s="7" t="s">
        <v>18</v>
      </c>
      <c r="K2820" s="7" t="s">
        <v>19</v>
      </c>
      <c r="L2820" s="8">
        <v>1.772543542735E12</v>
      </c>
      <c r="M2820" s="9"/>
      <c r="N2820" s="10"/>
      <c r="O2820" s="10"/>
      <c r="P2820" s="10"/>
      <c r="Q2820" s="10"/>
      <c r="R2820" s="10"/>
      <c r="S2820" s="10"/>
      <c r="T2820" s="10"/>
      <c r="U2820" s="10"/>
      <c r="V2820" s="10"/>
    </row>
    <row r="2821" ht="22.5" customHeight="1">
      <c r="A2821" s="5">
        <v>2.06690894391E11</v>
      </c>
      <c r="B2821" s="5" t="s">
        <v>2632</v>
      </c>
      <c r="C2821" s="5">
        <v>51943165497</v>
      </c>
      <c r="D2821" s="5" t="s">
        <v>13</v>
      </c>
      <c r="E2821" s="5">
        <v>8.7547393E7</v>
      </c>
      <c r="F2821" s="5" t="s">
        <v>714</v>
      </c>
      <c r="G2821" s="5" t="s">
        <v>32</v>
      </c>
      <c r="H2821" s="5" t="s">
        <v>51</v>
      </c>
      <c r="I2821" s="6" t="s">
        <v>17</v>
      </c>
      <c r="J2821" s="7" t="s">
        <v>18</v>
      </c>
      <c r="K2821" s="7" t="s">
        <v>19</v>
      </c>
      <c r="L2821" s="8">
        <v>1.772543693781E12</v>
      </c>
      <c r="M2821" s="9"/>
      <c r="N2821" s="10"/>
      <c r="O2821" s="10"/>
      <c r="P2821" s="10"/>
      <c r="Q2821" s="10"/>
      <c r="R2821" s="10"/>
      <c r="S2821" s="10"/>
      <c r="T2821" s="10"/>
      <c r="U2821" s="10"/>
      <c r="V2821" s="10"/>
    </row>
    <row r="2822" ht="22.5" customHeight="1">
      <c r="A2822" s="5">
        <v>2.06690338174E11</v>
      </c>
      <c r="B2822" s="5" t="s">
        <v>2633</v>
      </c>
      <c r="C2822" s="5">
        <v>51928682945</v>
      </c>
      <c r="D2822" s="5" t="s">
        <v>22</v>
      </c>
      <c r="E2822" s="5">
        <v>8.7547393E7</v>
      </c>
      <c r="F2822" s="5" t="s">
        <v>65</v>
      </c>
      <c r="G2822" s="5">
        <v>50</v>
      </c>
      <c r="H2822" s="5" t="s">
        <v>66</v>
      </c>
      <c r="I2822" s="6"/>
      <c r="J2822" s="7" t="s">
        <v>18</v>
      </c>
      <c r="K2822" s="7" t="s">
        <v>19</v>
      </c>
      <c r="L2822" s="8">
        <v>1.772544218472E12</v>
      </c>
      <c r="M2822" s="9"/>
      <c r="N2822" s="10"/>
      <c r="O2822" s="10"/>
      <c r="P2822" s="10"/>
      <c r="Q2822" s="10"/>
      <c r="R2822" s="10"/>
      <c r="S2822" s="10"/>
      <c r="T2822" s="10"/>
      <c r="U2822" s="10"/>
      <c r="V2822" s="10"/>
    </row>
    <row r="2823" ht="22.5" customHeight="1">
      <c r="A2823" s="5">
        <v>2.06691113824E11</v>
      </c>
      <c r="B2823" s="5" t="s">
        <v>2634</v>
      </c>
      <c r="C2823" s="5">
        <v>51947165153</v>
      </c>
      <c r="D2823" s="5" t="s">
        <v>13</v>
      </c>
      <c r="E2823" s="5">
        <v>8.0566583E7</v>
      </c>
      <c r="F2823" s="5" t="s">
        <v>259</v>
      </c>
      <c r="G2823" s="5" t="s">
        <v>15</v>
      </c>
      <c r="H2823" s="5" t="s">
        <v>29</v>
      </c>
      <c r="I2823" s="6" t="s">
        <v>17</v>
      </c>
      <c r="J2823" s="7" t="s">
        <v>18</v>
      </c>
      <c r="K2823" s="7" t="s">
        <v>19</v>
      </c>
      <c r="L2823" s="8">
        <v>1.772545183539E12</v>
      </c>
      <c r="M2823" s="9"/>
      <c r="N2823" s="10"/>
      <c r="O2823" s="10"/>
      <c r="P2823" s="10"/>
      <c r="Q2823" s="10"/>
      <c r="R2823" s="10"/>
      <c r="S2823" s="10"/>
      <c r="T2823" s="10"/>
      <c r="U2823" s="10"/>
      <c r="V2823" s="10"/>
    </row>
    <row r="2824" ht="22.5" customHeight="1">
      <c r="A2824" s="5">
        <v>2.06693825951E11</v>
      </c>
      <c r="B2824" s="5" t="s">
        <v>2635</v>
      </c>
      <c r="C2824" s="5">
        <v>51908736256</v>
      </c>
      <c r="D2824" s="5" t="s">
        <v>13</v>
      </c>
      <c r="E2824" s="5">
        <v>8.7547393E7</v>
      </c>
      <c r="F2824" s="5" t="s">
        <v>259</v>
      </c>
      <c r="G2824" s="5" t="s">
        <v>32</v>
      </c>
      <c r="H2824" s="5" t="s">
        <v>24</v>
      </c>
      <c r="I2824" s="6" t="s">
        <v>17</v>
      </c>
      <c r="J2824" s="7" t="s">
        <v>18</v>
      </c>
      <c r="K2824" s="7" t="s">
        <v>19</v>
      </c>
      <c r="L2824" s="8">
        <v>1.77254545217E12</v>
      </c>
      <c r="M2824" s="9"/>
      <c r="N2824" s="10"/>
      <c r="O2824" s="10"/>
      <c r="P2824" s="10"/>
      <c r="Q2824" s="10"/>
      <c r="R2824" s="10"/>
      <c r="S2824" s="10"/>
      <c r="T2824" s="10"/>
      <c r="U2824" s="10"/>
      <c r="V2824" s="10"/>
    </row>
    <row r="2825" ht="22.5" customHeight="1">
      <c r="A2825" s="5">
        <v>2.06698912513E11</v>
      </c>
      <c r="B2825" s="5" t="s">
        <v>2636</v>
      </c>
      <c r="C2825" s="5">
        <v>51956733318</v>
      </c>
      <c r="D2825" s="5" t="s">
        <v>13</v>
      </c>
      <c r="E2825" s="5">
        <v>8.7547393E7</v>
      </c>
      <c r="F2825" s="5" t="s">
        <v>39</v>
      </c>
      <c r="G2825" s="5" t="s">
        <v>15</v>
      </c>
      <c r="H2825" s="5" t="s">
        <v>66</v>
      </c>
      <c r="I2825" s="6" t="s">
        <v>17</v>
      </c>
      <c r="J2825" s="7" t="s">
        <v>18</v>
      </c>
      <c r="K2825" s="7" t="s">
        <v>19</v>
      </c>
      <c r="L2825" s="8">
        <v>1.772545720796E12</v>
      </c>
      <c r="M2825" s="9"/>
      <c r="N2825" s="10"/>
      <c r="O2825" s="10"/>
      <c r="P2825" s="10"/>
      <c r="Q2825" s="10"/>
      <c r="R2825" s="10"/>
      <c r="S2825" s="10"/>
      <c r="T2825" s="10"/>
      <c r="U2825" s="10"/>
      <c r="V2825" s="10"/>
    </row>
    <row r="2826" ht="22.5" customHeight="1">
      <c r="A2826" s="5">
        <v>2.06702120592E11</v>
      </c>
      <c r="B2826" s="5" t="s">
        <v>2637</v>
      </c>
      <c r="C2826" s="5">
        <v>51925534814</v>
      </c>
      <c r="D2826" s="5" t="s">
        <v>13</v>
      </c>
      <c r="E2826" s="5">
        <v>8.0566583E7</v>
      </c>
      <c r="F2826" s="5" t="s">
        <v>39</v>
      </c>
      <c r="G2826" s="5" t="s">
        <v>15</v>
      </c>
      <c r="H2826" s="5" t="s">
        <v>24</v>
      </c>
      <c r="I2826" s="6" t="s">
        <v>17</v>
      </c>
      <c r="J2826" s="7" t="s">
        <v>18</v>
      </c>
      <c r="K2826" s="7" t="s">
        <v>19</v>
      </c>
      <c r="L2826" s="8">
        <v>1.772545806915E12</v>
      </c>
      <c r="M2826" s="9"/>
      <c r="N2826" s="10"/>
      <c r="O2826" s="10"/>
      <c r="P2826" s="10"/>
      <c r="Q2826" s="10"/>
      <c r="R2826" s="10"/>
      <c r="S2826" s="10"/>
      <c r="T2826" s="10"/>
      <c r="U2826" s="10"/>
      <c r="V2826" s="10"/>
    </row>
    <row r="2827" ht="22.5" customHeight="1">
      <c r="A2827" s="5">
        <v>2.06698832215E11</v>
      </c>
      <c r="B2827" s="5" t="s">
        <v>2638</v>
      </c>
      <c r="C2827" s="5">
        <v>5594991572449</v>
      </c>
      <c r="D2827" s="5" t="s">
        <v>13</v>
      </c>
      <c r="E2827" s="5">
        <v>7.9360573E7</v>
      </c>
      <c r="F2827" s="5" t="s">
        <v>39</v>
      </c>
      <c r="G2827" s="5" t="s">
        <v>15</v>
      </c>
      <c r="H2827" s="5" t="s">
        <v>114</v>
      </c>
      <c r="I2827" s="6" t="s">
        <v>148</v>
      </c>
      <c r="J2827" s="7" t="s">
        <v>34</v>
      </c>
      <c r="K2827" s="7"/>
      <c r="L2827" s="8">
        <v>1.772546671292E12</v>
      </c>
      <c r="M2827" s="9"/>
      <c r="N2827" s="10"/>
      <c r="O2827" s="10"/>
      <c r="P2827" s="10"/>
      <c r="Q2827" s="10"/>
      <c r="R2827" s="10"/>
      <c r="S2827" s="10"/>
      <c r="T2827" s="10"/>
      <c r="U2827" s="10"/>
      <c r="V2827" s="10"/>
    </row>
    <row r="2828" ht="22.5" customHeight="1">
      <c r="A2828" s="5">
        <v>1.6432425987E11</v>
      </c>
      <c r="B2828" s="5" t="s">
        <v>2639</v>
      </c>
      <c r="C2828" s="5">
        <v>51940882354</v>
      </c>
      <c r="D2828" s="5" t="s">
        <v>13</v>
      </c>
      <c r="E2828" s="5">
        <v>8.7547393E7</v>
      </c>
      <c r="F2828" s="5" t="s">
        <v>28</v>
      </c>
      <c r="G2828" s="5" t="s">
        <v>15</v>
      </c>
      <c r="H2828" s="5" t="s">
        <v>16</v>
      </c>
      <c r="I2828" s="6" t="s">
        <v>17</v>
      </c>
      <c r="J2828" s="7" t="s">
        <v>18</v>
      </c>
      <c r="K2828" s="7" t="s">
        <v>116</v>
      </c>
      <c r="L2828" s="8">
        <v>1.772546823834E12</v>
      </c>
      <c r="M2828" s="9"/>
      <c r="N2828" s="10"/>
      <c r="O2828" s="10"/>
      <c r="P2828" s="10"/>
      <c r="Q2828" s="10"/>
      <c r="R2828" s="10"/>
      <c r="S2828" s="10"/>
      <c r="T2828" s="10"/>
      <c r="U2828" s="10"/>
      <c r="V2828" s="10"/>
    </row>
    <row r="2829" ht="22.5" customHeight="1">
      <c r="A2829" s="5">
        <v>2.06709832482E11</v>
      </c>
      <c r="B2829" s="5" t="s">
        <v>2640</v>
      </c>
      <c r="C2829" s="5">
        <v>51917157078</v>
      </c>
      <c r="D2829" s="5" t="s">
        <v>13</v>
      </c>
      <c r="E2829" s="5">
        <v>8.0566583E7</v>
      </c>
      <c r="F2829" s="5" t="s">
        <v>65</v>
      </c>
      <c r="G2829" s="5" t="s">
        <v>32</v>
      </c>
      <c r="H2829" s="5" t="s">
        <v>24</v>
      </c>
      <c r="I2829" s="6" t="s">
        <v>17</v>
      </c>
      <c r="J2829" s="7" t="s">
        <v>34</v>
      </c>
      <c r="K2829" s="7"/>
      <c r="L2829" s="8">
        <v>1.77255163802E12</v>
      </c>
      <c r="M2829" s="9"/>
      <c r="N2829" s="10"/>
      <c r="O2829" s="10"/>
      <c r="P2829" s="10"/>
      <c r="Q2829" s="10"/>
      <c r="R2829" s="10"/>
      <c r="S2829" s="10"/>
      <c r="T2829" s="10"/>
      <c r="U2829" s="10"/>
      <c r="V2829" s="10"/>
    </row>
    <row r="2830" ht="22.5" customHeight="1">
      <c r="A2830" s="5">
        <v>2.06766020519E11</v>
      </c>
      <c r="B2830" s="5" t="s">
        <v>2641</v>
      </c>
      <c r="C2830" s="5">
        <v>51966149287</v>
      </c>
      <c r="D2830" s="5" t="s">
        <v>13</v>
      </c>
      <c r="E2830" s="5">
        <v>8.0566583E7</v>
      </c>
      <c r="F2830" s="5" t="s">
        <v>42</v>
      </c>
      <c r="G2830" s="5" t="s">
        <v>15</v>
      </c>
      <c r="H2830" s="5" t="s">
        <v>114</v>
      </c>
      <c r="I2830" s="6" t="s">
        <v>17</v>
      </c>
      <c r="J2830" s="7" t="s">
        <v>18</v>
      </c>
      <c r="K2830" s="7" t="s">
        <v>19</v>
      </c>
      <c r="L2830" s="8">
        <v>1.77255172509E12</v>
      </c>
      <c r="M2830" s="9"/>
      <c r="N2830" s="10"/>
      <c r="O2830" s="10"/>
      <c r="P2830" s="10"/>
      <c r="Q2830" s="10"/>
      <c r="R2830" s="10"/>
      <c r="S2830" s="10"/>
      <c r="T2830" s="10"/>
      <c r="U2830" s="10"/>
      <c r="V2830" s="10"/>
    </row>
    <row r="2831" ht="22.5" customHeight="1">
      <c r="A2831" s="5">
        <v>2.06716459378E11</v>
      </c>
      <c r="B2831" s="5" t="s">
        <v>2642</v>
      </c>
      <c r="C2831" s="5">
        <v>51943748123</v>
      </c>
      <c r="D2831" s="5" t="s">
        <v>103</v>
      </c>
      <c r="E2831" s="5">
        <v>8.0566583E7</v>
      </c>
      <c r="F2831" s="5" t="s">
        <v>28</v>
      </c>
      <c r="G2831" s="5" t="s">
        <v>104</v>
      </c>
      <c r="H2831" s="5" t="s">
        <v>16</v>
      </c>
      <c r="I2831" s="6" t="s">
        <v>17</v>
      </c>
      <c r="J2831" s="7" t="s">
        <v>34</v>
      </c>
      <c r="K2831" s="7"/>
      <c r="L2831" s="8">
        <v>1.772552236576E12</v>
      </c>
      <c r="M2831" s="9"/>
      <c r="N2831" s="10"/>
      <c r="O2831" s="10"/>
      <c r="P2831" s="10"/>
      <c r="Q2831" s="10"/>
      <c r="R2831" s="10"/>
      <c r="S2831" s="10"/>
      <c r="T2831" s="10"/>
      <c r="U2831" s="10"/>
      <c r="V2831" s="10"/>
    </row>
    <row r="2832" ht="22.5" customHeight="1">
      <c r="A2832" s="5">
        <v>2.06744408115E11</v>
      </c>
      <c r="B2832" s="5" t="s">
        <v>2643</v>
      </c>
      <c r="C2832" s="5">
        <v>51908018668</v>
      </c>
      <c r="D2832" s="5" t="s">
        <v>13</v>
      </c>
      <c r="E2832" s="5">
        <v>8.0566583E7</v>
      </c>
      <c r="F2832" s="5" t="s">
        <v>28</v>
      </c>
      <c r="G2832" s="5" t="s">
        <v>15</v>
      </c>
      <c r="H2832" s="5" t="s">
        <v>16</v>
      </c>
      <c r="I2832" s="6" t="s">
        <v>17</v>
      </c>
      <c r="J2832" s="7" t="s">
        <v>18</v>
      </c>
      <c r="K2832" s="7" t="s">
        <v>19</v>
      </c>
      <c r="L2832" s="8">
        <v>1.772552857867E12</v>
      </c>
      <c r="M2832" s="9"/>
      <c r="N2832" s="10"/>
      <c r="O2832" s="10"/>
      <c r="P2832" s="10"/>
      <c r="Q2832" s="10"/>
      <c r="R2832" s="10"/>
      <c r="S2832" s="10"/>
      <c r="T2832" s="10"/>
      <c r="U2832" s="10"/>
      <c r="V2832" s="10"/>
    </row>
    <row r="2833" ht="22.5" customHeight="1">
      <c r="A2833" s="5">
        <v>2.06769469742E11</v>
      </c>
      <c r="B2833" s="5" t="s">
        <v>2644</v>
      </c>
      <c r="C2833" s="5">
        <v>51923531953</v>
      </c>
      <c r="D2833" s="5" t="s">
        <v>13</v>
      </c>
      <c r="E2833" s="5">
        <v>8.0566583E7</v>
      </c>
      <c r="F2833" s="5" t="s">
        <v>259</v>
      </c>
      <c r="G2833" s="5" t="s">
        <v>15</v>
      </c>
      <c r="H2833" s="5" t="s">
        <v>69</v>
      </c>
      <c r="I2833" s="6" t="s">
        <v>17</v>
      </c>
      <c r="J2833" s="7" t="s">
        <v>18</v>
      </c>
      <c r="K2833" s="7" t="s">
        <v>19</v>
      </c>
      <c r="L2833" s="8">
        <v>1.772554393722E12</v>
      </c>
      <c r="M2833" s="9"/>
      <c r="N2833" s="10"/>
      <c r="O2833" s="10"/>
      <c r="P2833" s="10"/>
      <c r="Q2833" s="10"/>
      <c r="R2833" s="10"/>
      <c r="S2833" s="10"/>
      <c r="T2833" s="10"/>
      <c r="U2833" s="10"/>
      <c r="V2833" s="10"/>
    </row>
    <row r="2834" ht="22.5" customHeight="1">
      <c r="A2834" s="5">
        <v>2.06769874462E11</v>
      </c>
      <c r="B2834" s="5" t="s">
        <v>2645</v>
      </c>
      <c r="C2834" s="5">
        <v>5571984195006</v>
      </c>
      <c r="D2834" s="5" t="s">
        <v>13</v>
      </c>
      <c r="E2834" s="5">
        <v>7.9360573E7</v>
      </c>
      <c r="F2834" s="5" t="s">
        <v>42</v>
      </c>
      <c r="G2834" s="5" t="s">
        <v>15</v>
      </c>
      <c r="H2834" s="5" t="s">
        <v>66</v>
      </c>
      <c r="I2834" s="6" t="s">
        <v>63</v>
      </c>
      <c r="J2834" s="7" t="s">
        <v>124</v>
      </c>
      <c r="K2834" s="7" t="s">
        <v>1256</v>
      </c>
      <c r="L2834" s="8">
        <v>1.772554677325E12</v>
      </c>
      <c r="M2834" s="9"/>
      <c r="N2834" s="10"/>
      <c r="O2834" s="10"/>
      <c r="P2834" s="10"/>
      <c r="Q2834" s="10"/>
      <c r="R2834" s="10"/>
      <c r="S2834" s="10"/>
      <c r="T2834" s="10"/>
      <c r="U2834" s="10"/>
      <c r="V2834" s="10"/>
    </row>
    <row r="2835" ht="22.5" customHeight="1">
      <c r="A2835" s="5">
        <v>2.06748722604E11</v>
      </c>
      <c r="B2835" s="5" t="s">
        <v>2646</v>
      </c>
      <c r="C2835" s="5">
        <v>5582999253893</v>
      </c>
      <c r="D2835" s="5" t="s">
        <v>103</v>
      </c>
      <c r="E2835" s="5">
        <v>7.9360573E7</v>
      </c>
      <c r="F2835" s="5" t="s">
        <v>259</v>
      </c>
      <c r="G2835" s="5" t="s">
        <v>79</v>
      </c>
      <c r="H2835" s="5" t="s">
        <v>114</v>
      </c>
      <c r="I2835" s="6" t="s">
        <v>148</v>
      </c>
      <c r="J2835" s="7" t="s">
        <v>124</v>
      </c>
      <c r="K2835" s="7" t="s">
        <v>2478</v>
      </c>
      <c r="L2835" s="8">
        <v>1.772555467631E12</v>
      </c>
      <c r="M2835" s="9"/>
      <c r="N2835" s="10"/>
      <c r="O2835" s="10"/>
      <c r="P2835" s="10"/>
      <c r="Q2835" s="10"/>
      <c r="R2835" s="10"/>
      <c r="S2835" s="10"/>
      <c r="T2835" s="10"/>
      <c r="U2835" s="10"/>
      <c r="V2835" s="10"/>
    </row>
    <row r="2836" ht="22.5" customHeight="1">
      <c r="A2836" s="5">
        <v>2.06749913458E11</v>
      </c>
      <c r="B2836" s="5" t="s">
        <v>2647</v>
      </c>
      <c r="C2836" s="5">
        <v>5551998467657</v>
      </c>
      <c r="D2836" s="5" t="s">
        <v>13</v>
      </c>
      <c r="E2836" s="5">
        <v>7.9360573E7</v>
      </c>
      <c r="F2836" s="5" t="s">
        <v>93</v>
      </c>
      <c r="G2836" s="5" t="s">
        <v>15</v>
      </c>
      <c r="H2836" s="5" t="s">
        <v>16</v>
      </c>
      <c r="I2836" s="6" t="s">
        <v>17</v>
      </c>
      <c r="J2836" s="7" t="s">
        <v>124</v>
      </c>
      <c r="K2836" s="7" t="s">
        <v>1256</v>
      </c>
      <c r="L2836" s="8">
        <v>1.772555948747E12</v>
      </c>
      <c r="M2836" s="9"/>
      <c r="N2836" s="10"/>
      <c r="O2836" s="10"/>
      <c r="P2836" s="10"/>
      <c r="Q2836" s="10"/>
      <c r="R2836" s="10"/>
      <c r="S2836" s="10"/>
      <c r="T2836" s="10"/>
      <c r="U2836" s="10"/>
      <c r="V2836" s="10"/>
    </row>
    <row r="2837" ht="22.5" customHeight="1">
      <c r="A2837" s="5">
        <v>2.06769249866E11</v>
      </c>
      <c r="B2837" s="5" t="s">
        <v>2648</v>
      </c>
      <c r="C2837" s="5">
        <v>51925471623</v>
      </c>
      <c r="D2837" s="5" t="s">
        <v>13</v>
      </c>
      <c r="E2837" s="5">
        <v>8.0566583E7</v>
      </c>
      <c r="F2837" s="5" t="s">
        <v>259</v>
      </c>
      <c r="G2837" s="5" t="s">
        <v>15</v>
      </c>
      <c r="H2837" s="5" t="s">
        <v>51</v>
      </c>
      <c r="I2837" s="6" t="s">
        <v>17</v>
      </c>
      <c r="J2837" s="7" t="s">
        <v>34</v>
      </c>
      <c r="K2837" s="7"/>
      <c r="L2837" s="8">
        <v>1.77255676283E12</v>
      </c>
      <c r="M2837" s="9"/>
      <c r="N2837" s="10"/>
      <c r="O2837" s="10"/>
      <c r="P2837" s="10"/>
      <c r="Q2837" s="10"/>
      <c r="R2837" s="10"/>
      <c r="S2837" s="10"/>
      <c r="T2837" s="10"/>
      <c r="U2837" s="10"/>
      <c r="V2837" s="10"/>
    </row>
    <row r="2838" ht="22.5" customHeight="1">
      <c r="A2838" s="5">
        <v>2.06750021377E11</v>
      </c>
      <c r="B2838" s="5" t="s">
        <v>2649</v>
      </c>
      <c r="C2838" s="5">
        <v>51997188675</v>
      </c>
      <c r="D2838" s="5" t="s">
        <v>22</v>
      </c>
      <c r="E2838" s="5">
        <v>8.7547393E7</v>
      </c>
      <c r="F2838" s="5" t="s">
        <v>28</v>
      </c>
      <c r="G2838" s="5" t="s">
        <v>44</v>
      </c>
      <c r="H2838" s="5" t="s">
        <v>55</v>
      </c>
      <c r="I2838" s="6" t="s">
        <v>17</v>
      </c>
      <c r="J2838" s="7" t="s">
        <v>18</v>
      </c>
      <c r="K2838" s="7" t="s">
        <v>19</v>
      </c>
      <c r="L2838" s="8">
        <v>1.772557227232E12</v>
      </c>
      <c r="M2838" s="9"/>
      <c r="N2838" s="10"/>
      <c r="O2838" s="10"/>
      <c r="P2838" s="10"/>
      <c r="Q2838" s="10"/>
      <c r="R2838" s="10"/>
      <c r="S2838" s="10"/>
      <c r="T2838" s="10"/>
      <c r="U2838" s="10"/>
      <c r="V2838" s="10"/>
    </row>
    <row r="2839" ht="22.5" customHeight="1">
      <c r="A2839" s="5">
        <v>2.06751720248E11</v>
      </c>
      <c r="B2839" s="5" t="s">
        <v>2650</v>
      </c>
      <c r="C2839" s="5">
        <v>51932333354</v>
      </c>
      <c r="D2839" s="5" t="s">
        <v>22</v>
      </c>
      <c r="E2839" s="5">
        <v>8.7547393E7</v>
      </c>
      <c r="F2839" s="5" t="s">
        <v>14</v>
      </c>
      <c r="G2839" s="5" t="s">
        <v>79</v>
      </c>
      <c r="H2839" s="5" t="s">
        <v>24</v>
      </c>
      <c r="I2839" s="6" t="s">
        <v>49</v>
      </c>
      <c r="J2839" s="7" t="s">
        <v>34</v>
      </c>
      <c r="K2839" s="7"/>
      <c r="L2839" s="8">
        <v>1.772558190972E12</v>
      </c>
      <c r="M2839" s="9"/>
      <c r="N2839" s="10"/>
      <c r="O2839" s="10"/>
      <c r="P2839" s="10"/>
      <c r="Q2839" s="10"/>
      <c r="R2839" s="10"/>
      <c r="S2839" s="10"/>
      <c r="T2839" s="10"/>
      <c r="U2839" s="10"/>
      <c r="V2839" s="10"/>
    </row>
    <row r="2840" ht="22.5" customHeight="1">
      <c r="A2840" s="5">
        <v>2.06610706447E11</v>
      </c>
      <c r="B2840" s="5" t="s">
        <v>2651</v>
      </c>
      <c r="C2840" s="5">
        <v>5569993301741</v>
      </c>
      <c r="D2840" s="5" t="s">
        <v>22</v>
      </c>
      <c r="E2840" s="5">
        <v>7.9360573E7</v>
      </c>
      <c r="F2840" s="5" t="s">
        <v>93</v>
      </c>
      <c r="G2840" s="5" t="s">
        <v>32</v>
      </c>
      <c r="H2840" s="5" t="s">
        <v>188</v>
      </c>
      <c r="I2840" s="6" t="s">
        <v>17</v>
      </c>
      <c r="J2840" s="7" t="s">
        <v>25</v>
      </c>
      <c r="K2840" s="7"/>
      <c r="L2840" s="8">
        <v>1.7725585013E12</v>
      </c>
      <c r="M2840" s="9"/>
      <c r="N2840" s="10"/>
      <c r="O2840" s="10"/>
      <c r="P2840" s="10"/>
      <c r="Q2840" s="10"/>
      <c r="R2840" s="10"/>
      <c r="S2840" s="10"/>
      <c r="T2840" s="10"/>
      <c r="U2840" s="10"/>
      <c r="V2840" s="10"/>
    </row>
    <row r="2841" ht="22.5" customHeight="1">
      <c r="A2841" s="5">
        <v>2.06796356359E11</v>
      </c>
      <c r="B2841" s="5" t="s">
        <v>2652</v>
      </c>
      <c r="C2841" s="5">
        <v>51966437860</v>
      </c>
      <c r="D2841" s="5" t="s">
        <v>13</v>
      </c>
      <c r="E2841" s="5">
        <v>8.0566583E7</v>
      </c>
      <c r="F2841" s="5" t="s">
        <v>65</v>
      </c>
      <c r="G2841" s="5" t="s">
        <v>15</v>
      </c>
      <c r="H2841" s="5" t="s">
        <v>86</v>
      </c>
      <c r="I2841" s="6" t="s">
        <v>17</v>
      </c>
      <c r="J2841" s="7" t="s">
        <v>25</v>
      </c>
      <c r="K2841" s="7" t="s">
        <v>501</v>
      </c>
      <c r="L2841" s="8">
        <v>1.77256138074E12</v>
      </c>
      <c r="M2841" s="9"/>
      <c r="N2841" s="10"/>
      <c r="O2841" s="10"/>
      <c r="P2841" s="10"/>
      <c r="Q2841" s="10"/>
      <c r="R2841" s="10"/>
      <c r="S2841" s="10"/>
      <c r="T2841" s="10"/>
      <c r="U2841" s="10"/>
      <c r="V2841" s="10"/>
    </row>
    <row r="2842" ht="22.5" customHeight="1">
      <c r="A2842" s="5">
        <v>2.06795189577E11</v>
      </c>
      <c r="B2842" s="5" t="s">
        <v>2653</v>
      </c>
      <c r="C2842" s="5">
        <v>51921186719</v>
      </c>
      <c r="D2842" s="5" t="s">
        <v>13</v>
      </c>
      <c r="E2842" s="5">
        <v>8.0566583E7</v>
      </c>
      <c r="F2842" s="5" t="s">
        <v>510</v>
      </c>
      <c r="G2842" s="5" t="s">
        <v>15</v>
      </c>
      <c r="H2842" s="5" t="s">
        <v>16</v>
      </c>
      <c r="I2842" s="6" t="s">
        <v>17</v>
      </c>
      <c r="J2842" s="7" t="s">
        <v>18</v>
      </c>
      <c r="K2842" s="7" t="s">
        <v>19</v>
      </c>
      <c r="L2842" s="8">
        <v>1.772561409163E12</v>
      </c>
      <c r="M2842" s="9"/>
      <c r="N2842" s="10"/>
      <c r="O2842" s="10"/>
      <c r="P2842" s="10"/>
      <c r="Q2842" s="10"/>
      <c r="R2842" s="10"/>
      <c r="S2842" s="10"/>
      <c r="T2842" s="10"/>
      <c r="U2842" s="10"/>
      <c r="V2842" s="10"/>
    </row>
    <row r="2843" ht="22.5" customHeight="1">
      <c r="A2843" s="5">
        <v>1.88151378803E11</v>
      </c>
      <c r="B2843" s="5" t="s">
        <v>2654</v>
      </c>
      <c r="C2843" s="5">
        <v>51940280161</v>
      </c>
      <c r="D2843" s="5" t="s">
        <v>22</v>
      </c>
      <c r="E2843" s="5">
        <v>8.0566583E7</v>
      </c>
      <c r="F2843" s="5" t="s">
        <v>14</v>
      </c>
      <c r="G2843" s="5" t="s">
        <v>79</v>
      </c>
      <c r="H2843" s="5" t="s">
        <v>497</v>
      </c>
      <c r="I2843" s="6" t="s">
        <v>17</v>
      </c>
      <c r="J2843" s="7" t="s">
        <v>58</v>
      </c>
      <c r="K2843" s="11" t="s">
        <v>59</v>
      </c>
      <c r="L2843" s="8">
        <v>1.772563429218E12</v>
      </c>
      <c r="M2843" s="9"/>
      <c r="N2843" s="10"/>
      <c r="O2843" s="10"/>
      <c r="P2843" s="10"/>
      <c r="Q2843" s="10"/>
      <c r="R2843" s="10"/>
      <c r="S2843" s="10"/>
      <c r="T2843" s="10"/>
      <c r="U2843" s="10"/>
      <c r="V2843" s="10"/>
    </row>
    <row r="2844" ht="22.5" customHeight="1">
      <c r="A2844" s="5">
        <v>2.06823764281E11</v>
      </c>
      <c r="B2844" s="5" t="s">
        <v>2655</v>
      </c>
      <c r="C2844" s="5">
        <v>5516997834570</v>
      </c>
      <c r="D2844" s="5" t="s">
        <v>22</v>
      </c>
      <c r="E2844" s="5">
        <v>7.9360573E7</v>
      </c>
      <c r="F2844" s="5" t="s">
        <v>65</v>
      </c>
      <c r="G2844" s="5" t="s">
        <v>44</v>
      </c>
      <c r="H2844" s="5" t="s">
        <v>100</v>
      </c>
      <c r="I2844" s="6" t="s">
        <v>36</v>
      </c>
      <c r="J2844" s="7" t="s">
        <v>34</v>
      </c>
      <c r="K2844" s="7"/>
      <c r="L2844" s="8">
        <v>1.772563886463E12</v>
      </c>
      <c r="M2844" s="9"/>
      <c r="N2844" s="10"/>
      <c r="O2844" s="10"/>
      <c r="P2844" s="10"/>
      <c r="Q2844" s="10"/>
      <c r="R2844" s="10"/>
      <c r="S2844" s="10"/>
      <c r="T2844" s="10"/>
      <c r="U2844" s="10"/>
      <c r="V2844" s="10"/>
    </row>
    <row r="2845" ht="22.5" customHeight="1">
      <c r="A2845" s="5">
        <v>2.06802154594E11</v>
      </c>
      <c r="B2845" s="5" t="s">
        <v>2656</v>
      </c>
      <c r="C2845" s="5">
        <v>51935990062</v>
      </c>
      <c r="D2845" s="5" t="s">
        <v>103</v>
      </c>
      <c r="E2845" s="5">
        <v>8.0566583E7</v>
      </c>
      <c r="F2845" s="5" t="s">
        <v>93</v>
      </c>
      <c r="G2845" s="5" t="s">
        <v>44</v>
      </c>
      <c r="H2845" s="5" t="s">
        <v>29</v>
      </c>
      <c r="I2845" s="6" t="s">
        <v>17</v>
      </c>
      <c r="J2845" s="7" t="s">
        <v>18</v>
      </c>
      <c r="K2845" s="7" t="s">
        <v>19</v>
      </c>
      <c r="L2845" s="8">
        <v>1.772563968808E12</v>
      </c>
      <c r="M2845" s="9"/>
      <c r="N2845" s="10"/>
      <c r="O2845" s="10"/>
      <c r="P2845" s="10"/>
      <c r="Q2845" s="10"/>
      <c r="R2845" s="10"/>
      <c r="S2845" s="10"/>
      <c r="T2845" s="10"/>
      <c r="U2845" s="10"/>
      <c r="V2845" s="10"/>
    </row>
    <row r="2846" ht="22.5" customHeight="1">
      <c r="A2846" s="5">
        <v>2.06803223693E11</v>
      </c>
      <c r="B2846" s="5" t="s">
        <v>2657</v>
      </c>
      <c r="C2846" s="5">
        <v>5564999068595</v>
      </c>
      <c r="D2846" s="5" t="s">
        <v>22</v>
      </c>
      <c r="E2846" s="5">
        <v>7.9360573E7</v>
      </c>
      <c r="F2846" s="5" t="s">
        <v>39</v>
      </c>
      <c r="G2846" s="5" t="s">
        <v>44</v>
      </c>
      <c r="H2846" s="5" t="s">
        <v>1160</v>
      </c>
      <c r="I2846" s="6" t="s">
        <v>17</v>
      </c>
      <c r="J2846" s="7" t="s">
        <v>34</v>
      </c>
      <c r="K2846" s="7"/>
      <c r="L2846" s="8">
        <v>1.772564962217E12</v>
      </c>
      <c r="M2846" s="9"/>
      <c r="N2846" s="10"/>
      <c r="O2846" s="10"/>
      <c r="P2846" s="10"/>
      <c r="Q2846" s="10"/>
      <c r="R2846" s="10"/>
      <c r="S2846" s="10"/>
      <c r="T2846" s="10"/>
      <c r="U2846" s="10"/>
      <c r="V2846" s="10"/>
    </row>
    <row r="2847" ht="22.5" customHeight="1">
      <c r="A2847" s="5">
        <v>2.06829063213E11</v>
      </c>
      <c r="B2847" s="5" t="s">
        <v>2658</v>
      </c>
      <c r="C2847" s="5">
        <v>51982760534</v>
      </c>
      <c r="D2847" s="5" t="s">
        <v>13</v>
      </c>
      <c r="E2847" s="5">
        <v>8.7547393E7</v>
      </c>
      <c r="F2847" s="5" t="s">
        <v>93</v>
      </c>
      <c r="G2847" s="5" t="s">
        <v>15</v>
      </c>
      <c r="H2847" s="5" t="s">
        <v>66</v>
      </c>
      <c r="I2847" s="6" t="s">
        <v>17</v>
      </c>
      <c r="J2847" s="7" t="s">
        <v>34</v>
      </c>
      <c r="K2847" s="7"/>
      <c r="L2847" s="8">
        <v>1.772567110726E12</v>
      </c>
      <c r="M2847" s="9"/>
      <c r="N2847" s="10"/>
      <c r="O2847" s="10"/>
      <c r="P2847" s="10"/>
      <c r="Q2847" s="10"/>
      <c r="R2847" s="10"/>
      <c r="S2847" s="10"/>
      <c r="T2847" s="10"/>
      <c r="U2847" s="10"/>
      <c r="V2847" s="10"/>
    </row>
    <row r="2848" ht="22.5" customHeight="1">
      <c r="A2848" s="5">
        <v>2.06806627928E11</v>
      </c>
      <c r="B2848" s="5" t="s">
        <v>2659</v>
      </c>
      <c r="C2848" s="5">
        <v>51966175288</v>
      </c>
      <c r="D2848" s="5" t="s">
        <v>13</v>
      </c>
      <c r="E2848" s="5">
        <v>8.7547393E7</v>
      </c>
      <c r="F2848" s="5" t="s">
        <v>714</v>
      </c>
      <c r="G2848" s="5" t="s">
        <v>15</v>
      </c>
      <c r="H2848" s="5" t="s">
        <v>16</v>
      </c>
      <c r="I2848" s="6" t="s">
        <v>17</v>
      </c>
      <c r="J2848" s="7" t="s">
        <v>18</v>
      </c>
      <c r="K2848" s="7" t="s">
        <v>19</v>
      </c>
      <c r="L2848" s="8">
        <v>1.772567481641E12</v>
      </c>
      <c r="M2848" s="9"/>
      <c r="N2848" s="10"/>
      <c r="O2848" s="10"/>
      <c r="P2848" s="10"/>
      <c r="Q2848" s="10"/>
      <c r="R2848" s="10"/>
      <c r="S2848" s="10"/>
      <c r="T2848" s="10"/>
      <c r="U2848" s="10"/>
      <c r="V2848" s="10"/>
    </row>
    <row r="2849" ht="22.5" customHeight="1">
      <c r="A2849" s="5">
        <v>2.06832299823E11</v>
      </c>
      <c r="B2849" s="5" t="s">
        <v>2660</v>
      </c>
      <c r="C2849" s="5">
        <v>51930406247</v>
      </c>
      <c r="D2849" s="5" t="s">
        <v>13</v>
      </c>
      <c r="E2849" s="5">
        <v>8.0566583E7</v>
      </c>
      <c r="F2849" s="5" t="s">
        <v>510</v>
      </c>
      <c r="G2849" s="5" t="s">
        <v>15</v>
      </c>
      <c r="H2849" s="5" t="s">
        <v>33</v>
      </c>
      <c r="I2849" s="6" t="s">
        <v>17</v>
      </c>
      <c r="J2849" s="7" t="s">
        <v>18</v>
      </c>
      <c r="K2849" s="7" t="s">
        <v>19</v>
      </c>
      <c r="L2849" s="8">
        <v>1.772569999397E12</v>
      </c>
      <c r="M2849" s="9"/>
      <c r="N2849" s="10"/>
      <c r="O2849" s="10"/>
      <c r="P2849" s="10"/>
      <c r="Q2849" s="10"/>
      <c r="R2849" s="10"/>
      <c r="S2849" s="10"/>
      <c r="T2849" s="10"/>
      <c r="U2849" s="10"/>
      <c r="V2849" s="10"/>
    </row>
    <row r="2850" ht="22.5" customHeight="1">
      <c r="A2850" s="5">
        <v>2.06833940817E11</v>
      </c>
      <c r="B2850" s="5" t="s">
        <v>2661</v>
      </c>
      <c r="C2850" s="5">
        <v>5519994790735</v>
      </c>
      <c r="D2850" s="5" t="s">
        <v>13</v>
      </c>
      <c r="E2850" s="5">
        <v>7.9360573E7</v>
      </c>
      <c r="F2850" s="5" t="s">
        <v>65</v>
      </c>
      <c r="G2850" s="5" t="s">
        <v>32</v>
      </c>
      <c r="H2850" s="5" t="s">
        <v>69</v>
      </c>
      <c r="I2850" s="6" t="s">
        <v>36</v>
      </c>
      <c r="J2850" s="7" t="s">
        <v>34</v>
      </c>
      <c r="K2850" s="7"/>
      <c r="L2850" s="8">
        <v>1.772571336939E12</v>
      </c>
      <c r="M2850" s="9"/>
      <c r="N2850" s="10"/>
      <c r="O2850" s="10"/>
      <c r="P2850" s="10"/>
      <c r="Q2850" s="10"/>
      <c r="R2850" s="10"/>
      <c r="S2850" s="10"/>
      <c r="T2850" s="10"/>
      <c r="U2850" s="10"/>
      <c r="V2850" s="10"/>
    </row>
    <row r="2851" ht="22.5" customHeight="1">
      <c r="A2851" s="5">
        <v>2.06855566748E11</v>
      </c>
      <c r="B2851" s="5" t="s">
        <v>2662</v>
      </c>
      <c r="C2851" s="5">
        <v>51900542130</v>
      </c>
      <c r="D2851" s="5" t="s">
        <v>13</v>
      </c>
      <c r="E2851" s="5">
        <v>8.0566583E7</v>
      </c>
      <c r="F2851" s="5" t="s">
        <v>510</v>
      </c>
      <c r="G2851" s="5" t="s">
        <v>15</v>
      </c>
      <c r="H2851" s="5" t="s">
        <v>16</v>
      </c>
      <c r="I2851" s="6" t="s">
        <v>17</v>
      </c>
      <c r="J2851" s="7" t="s">
        <v>18</v>
      </c>
      <c r="K2851" s="7" t="s">
        <v>19</v>
      </c>
      <c r="L2851" s="8">
        <v>1.772571648358E12</v>
      </c>
      <c r="M2851" s="9"/>
      <c r="N2851" s="10"/>
      <c r="O2851" s="10"/>
      <c r="P2851" s="10"/>
      <c r="Q2851" s="10"/>
      <c r="R2851" s="10"/>
      <c r="S2851" s="10"/>
      <c r="T2851" s="10"/>
      <c r="U2851" s="10"/>
      <c r="V2851" s="10"/>
    </row>
    <row r="2852" ht="22.5" customHeight="1">
      <c r="A2852" s="5">
        <v>2.06856138774E11</v>
      </c>
      <c r="B2852" s="5" t="s">
        <v>2663</v>
      </c>
      <c r="C2852" s="5">
        <v>51922221574</v>
      </c>
      <c r="D2852" s="5" t="s">
        <v>38</v>
      </c>
      <c r="E2852" s="5">
        <v>8.7547393E7</v>
      </c>
      <c r="F2852" s="5" t="s">
        <v>259</v>
      </c>
      <c r="G2852" s="5" t="s">
        <v>15</v>
      </c>
      <c r="H2852" s="5" t="s">
        <v>66</v>
      </c>
      <c r="I2852" s="6" t="s">
        <v>36</v>
      </c>
      <c r="J2852" s="7" t="s">
        <v>18</v>
      </c>
      <c r="K2852" s="7" t="s">
        <v>19</v>
      </c>
      <c r="L2852" s="8">
        <v>1.772571771286E12</v>
      </c>
      <c r="M2852" s="9"/>
      <c r="N2852" s="10"/>
      <c r="O2852" s="10"/>
      <c r="P2852" s="10"/>
      <c r="Q2852" s="10"/>
      <c r="R2852" s="10"/>
      <c r="S2852" s="10"/>
      <c r="T2852" s="10"/>
      <c r="U2852" s="10"/>
      <c r="V2852" s="10"/>
    </row>
    <row r="2853" ht="22.5" customHeight="1">
      <c r="A2853" s="5">
        <v>2.06856175772E11</v>
      </c>
      <c r="B2853" s="5" t="s">
        <v>2664</v>
      </c>
      <c r="C2853" s="5">
        <v>51988441416</v>
      </c>
      <c r="D2853" s="5" t="s">
        <v>13</v>
      </c>
      <c r="E2853" s="5">
        <v>8.7547393E7</v>
      </c>
      <c r="F2853" s="5" t="s">
        <v>65</v>
      </c>
      <c r="G2853" s="5" t="s">
        <v>15</v>
      </c>
      <c r="H2853" s="5" t="s">
        <v>69</v>
      </c>
      <c r="I2853" s="6" t="s">
        <v>17</v>
      </c>
      <c r="J2853" s="7" t="s">
        <v>34</v>
      </c>
      <c r="K2853" s="7"/>
      <c r="L2853" s="8">
        <v>1.772571851361E12</v>
      </c>
      <c r="M2853" s="9"/>
      <c r="N2853" s="10"/>
      <c r="O2853" s="10"/>
      <c r="P2853" s="10"/>
      <c r="Q2853" s="10"/>
      <c r="R2853" s="10"/>
      <c r="S2853" s="10"/>
      <c r="T2853" s="10"/>
      <c r="U2853" s="10"/>
      <c r="V2853" s="10"/>
    </row>
    <row r="2854" ht="22.5" customHeight="1">
      <c r="A2854" s="5">
        <v>2.06855435816E11</v>
      </c>
      <c r="B2854" s="5" t="s">
        <v>2665</v>
      </c>
      <c r="C2854" s="5">
        <v>5561992137431</v>
      </c>
      <c r="D2854" s="5" t="s">
        <v>13</v>
      </c>
      <c r="E2854" s="5">
        <v>7.9360573E7</v>
      </c>
      <c r="F2854" s="5" t="s">
        <v>510</v>
      </c>
      <c r="G2854" s="5" t="s">
        <v>15</v>
      </c>
      <c r="H2854" s="5" t="s">
        <v>16</v>
      </c>
      <c r="I2854" s="6" t="s">
        <v>17</v>
      </c>
      <c r="J2854" s="7" t="s">
        <v>34</v>
      </c>
      <c r="K2854" s="7"/>
      <c r="L2854" s="8">
        <v>1.772572010711E12</v>
      </c>
      <c r="M2854" s="9"/>
      <c r="N2854" s="10"/>
      <c r="O2854" s="10"/>
      <c r="P2854" s="10"/>
      <c r="Q2854" s="10"/>
      <c r="R2854" s="10"/>
      <c r="S2854" s="10"/>
      <c r="T2854" s="10"/>
      <c r="U2854" s="10"/>
      <c r="V2854" s="10"/>
    </row>
    <row r="2855" ht="22.5" customHeight="1">
      <c r="A2855" s="5">
        <v>2.06853333811E11</v>
      </c>
      <c r="B2855" s="5" t="s">
        <v>2666</v>
      </c>
      <c r="C2855" s="5">
        <v>5522988104258</v>
      </c>
      <c r="D2855" s="5" t="s">
        <v>13</v>
      </c>
      <c r="E2855" s="5">
        <v>7.9360573E7</v>
      </c>
      <c r="F2855" s="5" t="s">
        <v>259</v>
      </c>
      <c r="G2855" s="5" t="s">
        <v>15</v>
      </c>
      <c r="H2855" s="5" t="s">
        <v>29</v>
      </c>
      <c r="I2855" s="6" t="s">
        <v>17</v>
      </c>
      <c r="J2855" s="7" t="s">
        <v>18</v>
      </c>
      <c r="K2855" s="7" t="s">
        <v>45</v>
      </c>
      <c r="L2855" s="8">
        <v>1.772572297047E12</v>
      </c>
      <c r="M2855" s="9"/>
      <c r="N2855" s="10"/>
      <c r="O2855" s="10"/>
      <c r="P2855" s="10"/>
      <c r="Q2855" s="10"/>
      <c r="R2855" s="10"/>
      <c r="S2855" s="10"/>
      <c r="T2855" s="10"/>
      <c r="U2855" s="10"/>
      <c r="V2855" s="10"/>
    </row>
    <row r="2856" ht="22.5" customHeight="1">
      <c r="A2856" s="5">
        <v>2.04371417487E11</v>
      </c>
      <c r="B2856" s="5" t="s">
        <v>1758</v>
      </c>
      <c r="C2856" s="5">
        <v>51906535208</v>
      </c>
      <c r="D2856" s="5" t="s">
        <v>13</v>
      </c>
      <c r="E2856" s="5">
        <v>8.7547393E7</v>
      </c>
      <c r="F2856" s="5" t="s">
        <v>14</v>
      </c>
      <c r="G2856" s="5" t="s">
        <v>15</v>
      </c>
      <c r="H2856" s="5" t="s">
        <v>51</v>
      </c>
      <c r="I2856" s="6" t="s">
        <v>63</v>
      </c>
      <c r="J2856" s="7" t="s">
        <v>34</v>
      </c>
      <c r="K2856" s="7"/>
      <c r="L2856" s="8">
        <v>1.772572313111E12</v>
      </c>
      <c r="M2856" s="9"/>
      <c r="N2856" s="10"/>
      <c r="O2856" s="10"/>
      <c r="P2856" s="10"/>
      <c r="Q2856" s="10"/>
      <c r="R2856" s="10"/>
      <c r="S2856" s="10"/>
      <c r="T2856" s="10"/>
      <c r="U2856" s="10"/>
      <c r="V2856" s="10"/>
    </row>
    <row r="2857" ht="22.5" customHeight="1">
      <c r="A2857" s="5">
        <v>1.866664784E11</v>
      </c>
      <c r="B2857" s="5" t="s">
        <v>2667</v>
      </c>
      <c r="C2857" s="5">
        <v>51924687482</v>
      </c>
      <c r="D2857" s="5" t="s">
        <v>13</v>
      </c>
      <c r="E2857" s="5">
        <v>8.7547393E7</v>
      </c>
      <c r="F2857" s="5" t="s">
        <v>39</v>
      </c>
      <c r="G2857" s="5" t="s">
        <v>15</v>
      </c>
      <c r="H2857" s="5" t="s">
        <v>51</v>
      </c>
      <c r="I2857" s="6" t="s">
        <v>17</v>
      </c>
      <c r="J2857" s="7" t="s">
        <v>18</v>
      </c>
      <c r="K2857" s="7" t="s">
        <v>19</v>
      </c>
      <c r="L2857" s="8">
        <v>1.772572935545E12</v>
      </c>
      <c r="M2857" s="9"/>
      <c r="N2857" s="10"/>
      <c r="O2857" s="10"/>
      <c r="P2857" s="10"/>
      <c r="Q2857" s="10"/>
      <c r="R2857" s="10"/>
      <c r="S2857" s="10"/>
      <c r="T2857" s="10"/>
      <c r="U2857" s="10"/>
      <c r="V2857" s="10"/>
    </row>
    <row r="2858" ht="22.5" customHeight="1">
      <c r="A2858" s="5">
        <v>2.06859581853E11</v>
      </c>
      <c r="B2858" s="5" t="s">
        <v>2668</v>
      </c>
      <c r="C2858" s="5">
        <v>5545999795139</v>
      </c>
      <c r="D2858" s="5" t="s">
        <v>22</v>
      </c>
      <c r="E2858" s="5">
        <v>7.9360573E7</v>
      </c>
      <c r="F2858" s="5" t="s">
        <v>93</v>
      </c>
      <c r="G2858" s="5" t="s">
        <v>32</v>
      </c>
      <c r="H2858" s="5" t="s">
        <v>33</v>
      </c>
      <c r="I2858" s="6" t="s">
        <v>36</v>
      </c>
      <c r="J2858" s="7" t="s">
        <v>124</v>
      </c>
      <c r="K2858" s="7" t="s">
        <v>1256</v>
      </c>
      <c r="L2858" s="8">
        <v>1.772573936717E12</v>
      </c>
      <c r="M2858" s="9"/>
      <c r="N2858" s="10"/>
      <c r="O2858" s="10"/>
      <c r="P2858" s="10"/>
      <c r="Q2858" s="10"/>
      <c r="R2858" s="10"/>
      <c r="S2858" s="10"/>
      <c r="T2858" s="10"/>
      <c r="U2858" s="10"/>
      <c r="V2858" s="10"/>
    </row>
    <row r="2859" ht="22.5" customHeight="1">
      <c r="A2859" s="5">
        <v>2.06834628122E11</v>
      </c>
      <c r="B2859" s="5" t="s">
        <v>2669</v>
      </c>
      <c r="C2859" s="5">
        <v>5581981438951</v>
      </c>
      <c r="D2859" s="5" t="s">
        <v>13</v>
      </c>
      <c r="E2859" s="5">
        <v>7.9360573E7</v>
      </c>
      <c r="F2859" s="5"/>
      <c r="G2859" s="5" t="s">
        <v>15</v>
      </c>
      <c r="H2859" s="5" t="s">
        <v>24</v>
      </c>
      <c r="I2859" s="6" t="s">
        <v>17</v>
      </c>
      <c r="J2859" s="7" t="s">
        <v>34</v>
      </c>
      <c r="K2859" s="7"/>
      <c r="L2859" s="8">
        <v>1.77257396108E12</v>
      </c>
      <c r="M2859" s="9"/>
      <c r="N2859" s="10"/>
      <c r="O2859" s="10"/>
      <c r="P2859" s="10"/>
      <c r="Q2859" s="10"/>
      <c r="R2859" s="10"/>
      <c r="S2859" s="10"/>
      <c r="T2859" s="10"/>
      <c r="U2859" s="10"/>
      <c r="V2859" s="10"/>
    </row>
    <row r="2860" ht="22.5" customHeight="1">
      <c r="A2860" s="5">
        <v>2.06835272775E11</v>
      </c>
      <c r="B2860" s="5" t="s">
        <v>2670</v>
      </c>
      <c r="C2860" s="5">
        <v>5562991218490</v>
      </c>
      <c r="D2860" s="5" t="s">
        <v>13</v>
      </c>
      <c r="E2860" s="5">
        <v>7.9360573E7</v>
      </c>
      <c r="F2860" s="5" t="s">
        <v>93</v>
      </c>
      <c r="G2860" s="5" t="s">
        <v>15</v>
      </c>
      <c r="H2860" s="5" t="s">
        <v>16</v>
      </c>
      <c r="I2860" s="6" t="s">
        <v>17</v>
      </c>
      <c r="J2860" s="7" t="s">
        <v>124</v>
      </c>
      <c r="K2860" s="7" t="s">
        <v>1256</v>
      </c>
      <c r="L2860" s="8">
        <v>1.772574349477E12</v>
      </c>
      <c r="M2860" s="9"/>
      <c r="N2860" s="10"/>
      <c r="O2860" s="10"/>
      <c r="P2860" s="10"/>
      <c r="Q2860" s="10"/>
      <c r="R2860" s="10"/>
      <c r="S2860" s="10"/>
      <c r="T2860" s="10"/>
      <c r="U2860" s="10"/>
      <c r="V2860" s="10"/>
    </row>
    <row r="2861" ht="22.5" customHeight="1">
      <c r="A2861" s="5">
        <v>2.06855725145E11</v>
      </c>
      <c r="B2861" s="5" t="s">
        <v>2671</v>
      </c>
      <c r="C2861" s="5">
        <v>51906333863</v>
      </c>
      <c r="D2861" s="5" t="s">
        <v>38</v>
      </c>
      <c r="E2861" s="5">
        <v>8.0566583E7</v>
      </c>
      <c r="F2861" s="5"/>
      <c r="G2861" s="5"/>
      <c r="H2861" s="5"/>
      <c r="I2861" s="6"/>
      <c r="J2861" s="7" t="s">
        <v>18</v>
      </c>
      <c r="K2861" s="7" t="s">
        <v>19</v>
      </c>
      <c r="L2861" s="8">
        <v>1.772575831697E12</v>
      </c>
      <c r="M2861" s="9"/>
      <c r="N2861" s="10"/>
      <c r="O2861" s="10"/>
      <c r="P2861" s="10"/>
      <c r="Q2861" s="10"/>
      <c r="R2861" s="10"/>
      <c r="S2861" s="10"/>
      <c r="T2861" s="10"/>
      <c r="U2861" s="10"/>
      <c r="V2861" s="10"/>
    </row>
    <row r="2862" ht="22.5" customHeight="1">
      <c r="A2862" s="5">
        <v>2.0686219103E11</v>
      </c>
      <c r="B2862" s="5" t="s">
        <v>2672</v>
      </c>
      <c r="C2862" s="5">
        <v>5569993760419</v>
      </c>
      <c r="D2862" s="5" t="s">
        <v>13</v>
      </c>
      <c r="E2862" s="5">
        <v>7.9360573E7</v>
      </c>
      <c r="F2862" s="5" t="s">
        <v>28</v>
      </c>
      <c r="G2862" s="5" t="s">
        <v>15</v>
      </c>
      <c r="H2862" s="5" t="s">
        <v>66</v>
      </c>
      <c r="I2862" s="6"/>
      <c r="J2862" s="7" t="s">
        <v>34</v>
      </c>
      <c r="K2862" s="7"/>
      <c r="L2862" s="8">
        <v>1.77257626803E12</v>
      </c>
      <c r="M2862" s="9"/>
      <c r="N2862" s="10"/>
      <c r="O2862" s="10"/>
      <c r="P2862" s="10"/>
      <c r="Q2862" s="10"/>
      <c r="R2862" s="10"/>
      <c r="S2862" s="10"/>
      <c r="T2862" s="10"/>
      <c r="U2862" s="10"/>
      <c r="V2862" s="10"/>
    </row>
    <row r="2863" ht="22.5" customHeight="1">
      <c r="A2863" s="5">
        <v>2.06857806183E11</v>
      </c>
      <c r="B2863" s="5" t="s">
        <v>2673</v>
      </c>
      <c r="C2863" s="5">
        <v>51922665713</v>
      </c>
      <c r="D2863" s="5" t="s">
        <v>13</v>
      </c>
      <c r="E2863" s="5">
        <v>8.7547393E7</v>
      </c>
      <c r="F2863" s="5"/>
      <c r="G2863" s="5" t="s">
        <v>15</v>
      </c>
      <c r="H2863" s="5" t="s">
        <v>51</v>
      </c>
      <c r="I2863" s="6" t="s">
        <v>17</v>
      </c>
      <c r="J2863" s="7" t="s">
        <v>18</v>
      </c>
      <c r="K2863" s="7" t="s">
        <v>19</v>
      </c>
      <c r="L2863" s="8">
        <v>1.772577268276E12</v>
      </c>
      <c r="M2863" s="9"/>
      <c r="N2863" s="10"/>
      <c r="O2863" s="10"/>
      <c r="P2863" s="10"/>
      <c r="Q2863" s="10"/>
      <c r="R2863" s="10"/>
      <c r="S2863" s="10"/>
      <c r="T2863" s="10"/>
      <c r="U2863" s="10"/>
      <c r="V2863" s="10"/>
    </row>
    <row r="2864" ht="22.5" customHeight="1">
      <c r="A2864" s="5">
        <v>2.06842944528E11</v>
      </c>
      <c r="B2864" s="5" t="s">
        <v>2674</v>
      </c>
      <c r="C2864" s="5">
        <v>51958552245</v>
      </c>
      <c r="D2864" s="5" t="s">
        <v>13</v>
      </c>
      <c r="E2864" s="5">
        <v>8.0566583E7</v>
      </c>
      <c r="F2864" s="5" t="s">
        <v>65</v>
      </c>
      <c r="G2864" s="5" t="s">
        <v>15</v>
      </c>
      <c r="H2864" s="5" t="s">
        <v>51</v>
      </c>
      <c r="I2864" s="6" t="s">
        <v>17</v>
      </c>
      <c r="J2864" s="7" t="s">
        <v>34</v>
      </c>
      <c r="K2864" s="7"/>
      <c r="L2864" s="8">
        <v>1.772578148274E12</v>
      </c>
      <c r="M2864" s="9"/>
      <c r="N2864" s="10"/>
      <c r="O2864" s="10"/>
      <c r="P2864" s="10"/>
      <c r="Q2864" s="10"/>
      <c r="R2864" s="10"/>
      <c r="S2864" s="10"/>
      <c r="T2864" s="10"/>
      <c r="U2864" s="10"/>
      <c r="V2864" s="10"/>
    </row>
    <row r="2865" ht="22.5" customHeight="1">
      <c r="A2865" s="5">
        <v>2.06842600201E11</v>
      </c>
      <c r="B2865" s="5" t="s">
        <v>2675</v>
      </c>
      <c r="C2865" s="5">
        <v>51998946591</v>
      </c>
      <c r="D2865" s="5" t="s">
        <v>13</v>
      </c>
      <c r="E2865" s="5">
        <v>8.0566583E7</v>
      </c>
      <c r="F2865" s="5" t="s">
        <v>714</v>
      </c>
      <c r="G2865" s="5" t="s">
        <v>15</v>
      </c>
      <c r="H2865" s="5" t="s">
        <v>51</v>
      </c>
      <c r="I2865" s="6" t="s">
        <v>17</v>
      </c>
      <c r="J2865" s="7" t="s">
        <v>58</v>
      </c>
      <c r="K2865" s="11" t="s">
        <v>59</v>
      </c>
      <c r="L2865" s="8">
        <v>1.772578614207E12</v>
      </c>
      <c r="M2865" s="9"/>
      <c r="N2865" s="10"/>
      <c r="O2865" s="10"/>
      <c r="P2865" s="10"/>
      <c r="Q2865" s="10"/>
      <c r="R2865" s="10"/>
      <c r="S2865" s="10"/>
      <c r="T2865" s="10"/>
      <c r="U2865" s="10"/>
      <c r="V2865" s="10"/>
    </row>
    <row r="2866" ht="22.5" customHeight="1">
      <c r="A2866" s="5">
        <v>2.06844220732E11</v>
      </c>
      <c r="B2866" s="5" t="s">
        <v>2676</v>
      </c>
      <c r="C2866" s="5">
        <v>51928787063</v>
      </c>
      <c r="D2866" s="5" t="s">
        <v>22</v>
      </c>
      <c r="E2866" s="5">
        <v>8.7547393E7</v>
      </c>
      <c r="F2866" s="5" t="s">
        <v>259</v>
      </c>
      <c r="G2866" s="5" t="s">
        <v>44</v>
      </c>
      <c r="H2866" s="5" t="s">
        <v>66</v>
      </c>
      <c r="I2866" s="6" t="s">
        <v>17</v>
      </c>
      <c r="J2866" s="7" t="s">
        <v>18</v>
      </c>
      <c r="K2866" s="7" t="s">
        <v>19</v>
      </c>
      <c r="L2866" s="8">
        <v>1.772579259735E12</v>
      </c>
      <c r="M2866" s="9"/>
      <c r="N2866" s="10"/>
      <c r="O2866" s="10"/>
      <c r="P2866" s="10"/>
      <c r="Q2866" s="10"/>
      <c r="R2866" s="10"/>
      <c r="S2866" s="10"/>
      <c r="T2866" s="10"/>
      <c r="U2866" s="10"/>
      <c r="V2866" s="10"/>
    </row>
    <row r="2867" ht="22.5" customHeight="1">
      <c r="A2867" s="5">
        <v>2.06843887173E11</v>
      </c>
      <c r="B2867" s="5" t="s">
        <v>2677</v>
      </c>
      <c r="C2867" s="5">
        <v>51965723275</v>
      </c>
      <c r="D2867" s="5" t="s">
        <v>22</v>
      </c>
      <c r="E2867" s="5">
        <v>8.7547393E7</v>
      </c>
      <c r="F2867" s="5" t="s">
        <v>28</v>
      </c>
      <c r="G2867" s="5" t="s">
        <v>44</v>
      </c>
      <c r="H2867" s="5" t="s">
        <v>24</v>
      </c>
      <c r="I2867" s="6" t="s">
        <v>17</v>
      </c>
      <c r="J2867" s="7" t="s">
        <v>18</v>
      </c>
      <c r="K2867" s="7" t="s">
        <v>19</v>
      </c>
      <c r="L2867" s="8">
        <v>1.77257990955E12</v>
      </c>
      <c r="M2867" s="9"/>
      <c r="N2867" s="10"/>
      <c r="O2867" s="10"/>
      <c r="P2867" s="10"/>
      <c r="Q2867" s="10"/>
      <c r="R2867" s="10"/>
      <c r="S2867" s="10"/>
      <c r="T2867" s="10"/>
      <c r="U2867" s="10"/>
      <c r="V2867" s="10"/>
    </row>
    <row r="2868" ht="22.5" customHeight="1">
      <c r="A2868" s="5">
        <v>2.06866766618E11</v>
      </c>
      <c r="B2868" s="5" t="s">
        <v>2678</v>
      </c>
      <c r="C2868" s="5">
        <v>51925436579</v>
      </c>
      <c r="D2868" s="5" t="s">
        <v>13</v>
      </c>
      <c r="E2868" s="5">
        <v>8.0566583E7</v>
      </c>
      <c r="F2868" s="5" t="s">
        <v>259</v>
      </c>
      <c r="G2868" s="5" t="s">
        <v>15</v>
      </c>
      <c r="H2868" s="5" t="s">
        <v>16</v>
      </c>
      <c r="I2868" s="6" t="s">
        <v>36</v>
      </c>
      <c r="J2868" s="7" t="s">
        <v>18</v>
      </c>
      <c r="K2868" s="7" t="s">
        <v>19</v>
      </c>
      <c r="L2868" s="8">
        <v>1.772580346587E12</v>
      </c>
      <c r="M2868" s="9"/>
      <c r="N2868" s="10"/>
      <c r="O2868" s="10"/>
      <c r="P2868" s="10"/>
      <c r="Q2868" s="10"/>
      <c r="R2868" s="10"/>
      <c r="S2868" s="10"/>
      <c r="T2868" s="10"/>
      <c r="U2868" s="10"/>
      <c r="V2868" s="10"/>
    </row>
    <row r="2869" ht="22.5" customHeight="1">
      <c r="A2869" s="5">
        <v>1.45163262602E11</v>
      </c>
      <c r="B2869" s="5" t="s">
        <v>2679</v>
      </c>
      <c r="C2869" s="5">
        <v>51972010791</v>
      </c>
      <c r="D2869" s="5" t="s">
        <v>103</v>
      </c>
      <c r="E2869" s="5">
        <v>8.0566583E7</v>
      </c>
      <c r="F2869" s="5" t="s">
        <v>28</v>
      </c>
      <c r="G2869" s="5" t="s">
        <v>79</v>
      </c>
      <c r="H2869" s="5" t="s">
        <v>188</v>
      </c>
      <c r="I2869" s="6" t="s">
        <v>17</v>
      </c>
      <c r="J2869" s="7" t="s">
        <v>124</v>
      </c>
      <c r="K2869" s="7" t="s">
        <v>2680</v>
      </c>
      <c r="L2869" s="8">
        <v>1.772582328138E12</v>
      </c>
      <c r="M2869" s="9"/>
      <c r="N2869" s="10"/>
      <c r="O2869" s="10"/>
      <c r="P2869" s="10"/>
      <c r="Q2869" s="10"/>
      <c r="R2869" s="10"/>
      <c r="S2869" s="10"/>
      <c r="T2869" s="10"/>
      <c r="U2869" s="10"/>
      <c r="V2869" s="10"/>
    </row>
    <row r="2870" ht="22.5" customHeight="1">
      <c r="A2870" s="5">
        <v>2.06868467544E11</v>
      </c>
      <c r="B2870" s="5" t="s">
        <v>2681</v>
      </c>
      <c r="C2870" s="5">
        <v>51907898217</v>
      </c>
      <c r="D2870" s="5" t="s">
        <v>13</v>
      </c>
      <c r="E2870" s="5">
        <v>8.0566583E7</v>
      </c>
      <c r="F2870" s="5" t="s">
        <v>39</v>
      </c>
      <c r="G2870" s="5" t="s">
        <v>15</v>
      </c>
      <c r="H2870" s="5" t="s">
        <v>16</v>
      </c>
      <c r="I2870" s="6" t="s">
        <v>17</v>
      </c>
      <c r="J2870" s="7" t="s">
        <v>58</v>
      </c>
      <c r="K2870" s="11" t="s">
        <v>59</v>
      </c>
      <c r="L2870" s="8">
        <v>1.772582645384E12</v>
      </c>
      <c r="M2870" s="9"/>
      <c r="N2870" s="10"/>
      <c r="O2870" s="10"/>
      <c r="P2870" s="10"/>
      <c r="Q2870" s="10"/>
      <c r="R2870" s="10"/>
      <c r="S2870" s="10"/>
      <c r="T2870" s="10"/>
      <c r="U2870" s="10"/>
      <c r="V2870" s="10"/>
    </row>
    <row r="2871" ht="22.5" customHeight="1">
      <c r="A2871" s="5">
        <v>2.06870190695E11</v>
      </c>
      <c r="B2871" s="5" t="s">
        <v>2682</v>
      </c>
      <c r="C2871" s="5">
        <v>51931522748</v>
      </c>
      <c r="D2871" s="5" t="s">
        <v>13</v>
      </c>
      <c r="E2871" s="5">
        <v>8.7547393E7</v>
      </c>
      <c r="F2871" s="5" t="s">
        <v>65</v>
      </c>
      <c r="G2871" s="5" t="s">
        <v>15</v>
      </c>
      <c r="H2871" s="5" t="s">
        <v>29</v>
      </c>
      <c r="I2871" s="6"/>
      <c r="J2871" s="7" t="s">
        <v>18</v>
      </c>
      <c r="K2871" s="7" t="s">
        <v>19</v>
      </c>
      <c r="L2871" s="8">
        <v>1.772582916691E12</v>
      </c>
      <c r="M2871" s="9"/>
      <c r="N2871" s="10"/>
      <c r="O2871" s="10"/>
      <c r="P2871" s="10"/>
      <c r="Q2871" s="10"/>
      <c r="R2871" s="10"/>
      <c r="S2871" s="10"/>
      <c r="T2871" s="10"/>
      <c r="U2871" s="10"/>
      <c r="V2871" s="10"/>
    </row>
    <row r="2872" ht="22.5" customHeight="1">
      <c r="A2872" s="5">
        <v>2.06850762889E11</v>
      </c>
      <c r="B2872" s="5" t="s">
        <v>2683</v>
      </c>
      <c r="C2872" s="5">
        <v>51917259045</v>
      </c>
      <c r="D2872" s="5" t="s">
        <v>13</v>
      </c>
      <c r="E2872" s="5">
        <v>8.7547393E7</v>
      </c>
      <c r="F2872" s="5" t="s">
        <v>28</v>
      </c>
      <c r="G2872" s="5" t="s">
        <v>32</v>
      </c>
      <c r="H2872" s="5" t="s">
        <v>114</v>
      </c>
      <c r="I2872" s="6" t="s">
        <v>63</v>
      </c>
      <c r="J2872" s="7" t="s">
        <v>124</v>
      </c>
      <c r="K2872" s="7" t="s">
        <v>125</v>
      </c>
      <c r="L2872" s="8">
        <v>1.772584315391E12</v>
      </c>
      <c r="M2872" s="9"/>
      <c r="N2872" s="10"/>
      <c r="O2872" s="10"/>
      <c r="P2872" s="10"/>
      <c r="Q2872" s="10"/>
      <c r="R2872" s="10"/>
      <c r="S2872" s="10"/>
      <c r="T2872" s="10"/>
      <c r="U2872" s="10"/>
      <c r="V2872" s="10"/>
    </row>
    <row r="2873" ht="22.5" customHeight="1">
      <c r="A2873" s="5">
        <v>2.06851363122E11</v>
      </c>
      <c r="B2873" s="5" t="s">
        <v>2684</v>
      </c>
      <c r="C2873" s="5">
        <v>573012463004</v>
      </c>
      <c r="D2873" s="5" t="s">
        <v>22</v>
      </c>
      <c r="E2873" s="5">
        <v>8.0566583E7</v>
      </c>
      <c r="F2873" s="5" t="s">
        <v>39</v>
      </c>
      <c r="G2873" s="5" t="s">
        <v>44</v>
      </c>
      <c r="H2873" s="5" t="s">
        <v>114</v>
      </c>
      <c r="I2873" s="6" t="s">
        <v>36</v>
      </c>
      <c r="J2873" s="7" t="s">
        <v>34</v>
      </c>
      <c r="K2873" s="7"/>
      <c r="L2873" s="8">
        <v>1.772584603172E12</v>
      </c>
      <c r="M2873" s="9"/>
      <c r="N2873" s="10"/>
      <c r="O2873" s="10"/>
      <c r="P2873" s="10"/>
      <c r="Q2873" s="10"/>
      <c r="R2873" s="10"/>
      <c r="S2873" s="10"/>
      <c r="T2873" s="10"/>
      <c r="U2873" s="10"/>
      <c r="V2873" s="10"/>
    </row>
    <row r="2874" ht="22.5" customHeight="1">
      <c r="A2874" s="5">
        <v>1.9809923723E11</v>
      </c>
      <c r="B2874" s="5" t="s">
        <v>2685</v>
      </c>
      <c r="C2874" s="5">
        <v>51938995740</v>
      </c>
      <c r="D2874" s="5"/>
      <c r="E2874" s="5"/>
      <c r="F2874" s="5" t="s">
        <v>28</v>
      </c>
      <c r="G2874" s="5"/>
      <c r="H2874" s="5"/>
      <c r="I2874" s="6"/>
      <c r="J2874" s="7" t="s">
        <v>58</v>
      </c>
      <c r="K2874" s="11" t="s">
        <v>59</v>
      </c>
      <c r="L2874" s="8">
        <v>1.772584797956E12</v>
      </c>
      <c r="M2874" s="9"/>
      <c r="N2874" s="10"/>
      <c r="O2874" s="10"/>
      <c r="P2874" s="10"/>
      <c r="Q2874" s="10"/>
      <c r="R2874" s="10"/>
      <c r="S2874" s="10"/>
      <c r="T2874" s="10"/>
      <c r="U2874" s="10"/>
      <c r="V2874" s="10"/>
    </row>
    <row r="2875" ht="22.5" customHeight="1">
      <c r="A2875" s="5">
        <v>2.06852857729E11</v>
      </c>
      <c r="B2875" s="5" t="s">
        <v>2686</v>
      </c>
      <c r="C2875" s="5">
        <v>51910380648</v>
      </c>
      <c r="D2875" s="5" t="s">
        <v>13</v>
      </c>
      <c r="E2875" s="5">
        <v>8.0566583E7</v>
      </c>
      <c r="F2875" s="5" t="s">
        <v>39</v>
      </c>
      <c r="G2875" s="5" t="s">
        <v>15</v>
      </c>
      <c r="H2875" s="5" t="s">
        <v>51</v>
      </c>
      <c r="I2875" s="6" t="s">
        <v>17</v>
      </c>
      <c r="J2875" s="7" t="s">
        <v>18</v>
      </c>
      <c r="K2875" s="7" t="s">
        <v>19</v>
      </c>
      <c r="L2875" s="8">
        <v>1.772586124024E12</v>
      </c>
      <c r="M2875" s="9"/>
      <c r="N2875" s="10"/>
      <c r="O2875" s="10"/>
      <c r="P2875" s="10"/>
      <c r="Q2875" s="10"/>
      <c r="R2875" s="10"/>
      <c r="S2875" s="10"/>
      <c r="T2875" s="10"/>
      <c r="U2875" s="10"/>
      <c r="V2875" s="10"/>
    </row>
    <row r="2876" ht="22.5" customHeight="1">
      <c r="A2876" s="5">
        <v>2.06882415198E11</v>
      </c>
      <c r="B2876" s="5" t="s">
        <v>2687</v>
      </c>
      <c r="C2876" s="5">
        <v>51916269474</v>
      </c>
      <c r="D2876" s="5" t="s">
        <v>13</v>
      </c>
      <c r="E2876" s="5">
        <v>8.7547393E7</v>
      </c>
      <c r="F2876" s="5" t="s">
        <v>28</v>
      </c>
      <c r="G2876" s="5" t="s">
        <v>32</v>
      </c>
      <c r="H2876" s="5" t="s">
        <v>24</v>
      </c>
      <c r="I2876" s="6" t="s">
        <v>63</v>
      </c>
      <c r="J2876" s="7" t="s">
        <v>18</v>
      </c>
      <c r="K2876" s="7" t="s">
        <v>19</v>
      </c>
      <c r="L2876" s="8">
        <v>1.772586815236E12</v>
      </c>
      <c r="M2876" s="9"/>
      <c r="N2876" s="10"/>
      <c r="O2876" s="10"/>
      <c r="P2876" s="10"/>
      <c r="Q2876" s="10"/>
      <c r="R2876" s="10"/>
      <c r="S2876" s="10"/>
      <c r="T2876" s="10"/>
      <c r="U2876" s="10"/>
      <c r="V2876" s="10"/>
    </row>
    <row r="2877" ht="22.5" customHeight="1">
      <c r="A2877" s="5">
        <v>1.43695399206E11</v>
      </c>
      <c r="B2877" s="5" t="s">
        <v>2688</v>
      </c>
      <c r="C2877" s="5">
        <v>51937319391</v>
      </c>
      <c r="D2877" s="5" t="s">
        <v>13</v>
      </c>
      <c r="E2877" s="5"/>
      <c r="F2877" s="5" t="s">
        <v>259</v>
      </c>
      <c r="G2877" s="5" t="s">
        <v>32</v>
      </c>
      <c r="H2877" s="5" t="s">
        <v>16</v>
      </c>
      <c r="I2877" s="6" t="s">
        <v>17</v>
      </c>
      <c r="J2877" s="7" t="s">
        <v>124</v>
      </c>
      <c r="K2877" s="7" t="s">
        <v>1002</v>
      </c>
      <c r="L2877" s="8">
        <v>1.772587896402E12</v>
      </c>
      <c r="M2877" s="9"/>
      <c r="N2877" s="10"/>
      <c r="O2877" s="10"/>
      <c r="P2877" s="10"/>
      <c r="Q2877" s="10"/>
      <c r="R2877" s="10"/>
      <c r="S2877" s="10"/>
      <c r="T2877" s="10"/>
      <c r="U2877" s="10"/>
      <c r="V2877" s="10"/>
    </row>
    <row r="2878" ht="22.5" customHeight="1">
      <c r="A2878" s="5">
        <v>1.42188761262E11</v>
      </c>
      <c r="B2878" s="5" t="s">
        <v>2689</v>
      </c>
      <c r="C2878" s="5">
        <v>5548988077109</v>
      </c>
      <c r="D2878" s="5" t="s">
        <v>13</v>
      </c>
      <c r="E2878" s="5">
        <v>7.9360573E7</v>
      </c>
      <c r="F2878" s="5" t="s">
        <v>39</v>
      </c>
      <c r="G2878" s="5" t="s">
        <v>32</v>
      </c>
      <c r="H2878" s="5" t="s">
        <v>69</v>
      </c>
      <c r="I2878" s="6" t="s">
        <v>17</v>
      </c>
      <c r="J2878" s="7" t="s">
        <v>34</v>
      </c>
      <c r="K2878" s="7"/>
      <c r="L2878" s="8">
        <v>1.772588030729E12</v>
      </c>
      <c r="M2878" s="9"/>
      <c r="N2878" s="10"/>
      <c r="O2878" s="10"/>
      <c r="P2878" s="10"/>
      <c r="Q2878" s="10"/>
      <c r="R2878" s="10"/>
      <c r="S2878" s="10"/>
      <c r="T2878" s="10"/>
      <c r="U2878" s="10"/>
      <c r="V2878" s="10"/>
    </row>
    <row r="2879" ht="22.5" customHeight="1">
      <c r="A2879" s="5">
        <v>1.63642349363E11</v>
      </c>
      <c r="B2879" s="5" t="s">
        <v>2690</v>
      </c>
      <c r="C2879" s="5">
        <v>51933562914</v>
      </c>
      <c r="D2879" s="5" t="s">
        <v>13</v>
      </c>
      <c r="E2879" s="5">
        <v>8.0566583E7</v>
      </c>
      <c r="F2879" s="5" t="s">
        <v>28</v>
      </c>
      <c r="G2879" s="5" t="s">
        <v>15</v>
      </c>
      <c r="H2879" s="5" t="s">
        <v>51</v>
      </c>
      <c r="I2879" s="6" t="s">
        <v>17</v>
      </c>
      <c r="J2879" s="7" t="s">
        <v>34</v>
      </c>
      <c r="K2879" s="7"/>
      <c r="L2879" s="8">
        <v>1.772588654335E12</v>
      </c>
      <c r="M2879" s="9"/>
      <c r="N2879" s="10"/>
      <c r="O2879" s="10"/>
      <c r="P2879" s="10"/>
      <c r="Q2879" s="10"/>
      <c r="R2879" s="10"/>
      <c r="S2879" s="10"/>
      <c r="T2879" s="10"/>
      <c r="U2879" s="10"/>
      <c r="V2879" s="10"/>
    </row>
    <row r="2880" ht="22.5" customHeight="1">
      <c r="A2880" s="5">
        <v>2.0687840955E11</v>
      </c>
      <c r="B2880" s="5" t="s">
        <v>2691</v>
      </c>
      <c r="C2880" s="5">
        <v>573233279908</v>
      </c>
      <c r="D2880" s="5" t="s">
        <v>13</v>
      </c>
      <c r="E2880" s="5">
        <v>8.7547393E7</v>
      </c>
      <c r="F2880" s="5" t="s">
        <v>14</v>
      </c>
      <c r="G2880" s="5" t="s">
        <v>15</v>
      </c>
      <c r="H2880" s="5" t="s">
        <v>16</v>
      </c>
      <c r="I2880" s="6" t="s">
        <v>89</v>
      </c>
      <c r="J2880" s="7" t="s">
        <v>34</v>
      </c>
      <c r="K2880" s="7"/>
      <c r="L2880" s="8">
        <v>1.772589264292E12</v>
      </c>
      <c r="M2880" s="9"/>
      <c r="N2880" s="10"/>
      <c r="O2880" s="10"/>
      <c r="P2880" s="10"/>
      <c r="Q2880" s="10"/>
      <c r="R2880" s="10"/>
      <c r="S2880" s="10"/>
      <c r="T2880" s="10"/>
      <c r="U2880" s="10"/>
      <c r="V2880" s="10"/>
    </row>
    <row r="2881" ht="22.5" customHeight="1">
      <c r="A2881" s="5">
        <v>2.06870647656E11</v>
      </c>
      <c r="B2881" s="5" t="s">
        <v>2692</v>
      </c>
      <c r="C2881" s="5">
        <v>51930471129</v>
      </c>
      <c r="D2881" s="5" t="s">
        <v>38</v>
      </c>
      <c r="E2881" s="5">
        <v>8.7547393E7</v>
      </c>
      <c r="F2881" s="5"/>
      <c r="G2881" s="5"/>
      <c r="H2881" s="5"/>
      <c r="I2881" s="6"/>
      <c r="J2881" s="7" t="s">
        <v>18</v>
      </c>
      <c r="K2881" s="7" t="s">
        <v>19</v>
      </c>
      <c r="L2881" s="8">
        <v>1.772590534584E12</v>
      </c>
      <c r="M2881" s="9"/>
      <c r="N2881" s="10"/>
      <c r="O2881" s="10"/>
      <c r="P2881" s="10"/>
      <c r="Q2881" s="10"/>
      <c r="R2881" s="10"/>
      <c r="S2881" s="10"/>
      <c r="T2881" s="10"/>
      <c r="U2881" s="10"/>
      <c r="V2881" s="10"/>
    </row>
    <row r="2882" ht="22.5" customHeight="1">
      <c r="A2882" s="5">
        <v>2.06880817161E11</v>
      </c>
      <c r="B2882" s="5" t="s">
        <v>2693</v>
      </c>
      <c r="C2882" s="5">
        <v>5511967436960</v>
      </c>
      <c r="D2882" s="5" t="s">
        <v>13</v>
      </c>
      <c r="E2882" s="5">
        <v>7.9360573E7</v>
      </c>
      <c r="F2882" s="5" t="s">
        <v>259</v>
      </c>
      <c r="G2882" s="5" t="s">
        <v>32</v>
      </c>
      <c r="H2882" s="5" t="s">
        <v>86</v>
      </c>
      <c r="I2882" s="6" t="s">
        <v>36</v>
      </c>
      <c r="J2882" s="7" t="s">
        <v>124</v>
      </c>
      <c r="K2882" s="7" t="s">
        <v>1256</v>
      </c>
      <c r="L2882" s="8">
        <v>1.772590552951E12</v>
      </c>
      <c r="M2882" s="9"/>
      <c r="N2882" s="10"/>
      <c r="O2882" s="10"/>
      <c r="P2882" s="10"/>
      <c r="Q2882" s="10"/>
      <c r="R2882" s="10"/>
      <c r="S2882" s="10"/>
      <c r="T2882" s="10"/>
      <c r="U2882" s="10"/>
      <c r="V2882" s="10"/>
    </row>
    <row r="2883" ht="22.5" customHeight="1">
      <c r="A2883" s="5">
        <v>2.06885883174E11</v>
      </c>
      <c r="B2883" s="5" t="s">
        <v>2694</v>
      </c>
      <c r="C2883" s="5">
        <v>51977307675</v>
      </c>
      <c r="D2883" s="5" t="s">
        <v>13</v>
      </c>
      <c r="E2883" s="5">
        <v>8.7547393E7</v>
      </c>
      <c r="F2883" s="5" t="s">
        <v>28</v>
      </c>
      <c r="G2883" s="5" t="s">
        <v>15</v>
      </c>
      <c r="H2883" s="5" t="s">
        <v>66</v>
      </c>
      <c r="I2883" s="6" t="s">
        <v>17</v>
      </c>
      <c r="J2883" s="7" t="s">
        <v>18</v>
      </c>
      <c r="K2883" s="7" t="s">
        <v>19</v>
      </c>
      <c r="L2883" s="8">
        <v>1.772590971879E12</v>
      </c>
      <c r="M2883" s="9"/>
      <c r="N2883" s="10"/>
      <c r="O2883" s="10"/>
      <c r="P2883" s="10"/>
      <c r="Q2883" s="10"/>
      <c r="R2883" s="10"/>
      <c r="S2883" s="10"/>
      <c r="T2883" s="10"/>
      <c r="U2883" s="10"/>
      <c r="V2883" s="10"/>
    </row>
    <row r="2884" ht="22.5" customHeight="1">
      <c r="A2884" s="5">
        <v>1.43695399206E11</v>
      </c>
      <c r="B2884" s="5" t="s">
        <v>2688</v>
      </c>
      <c r="C2884" s="5">
        <v>51937319391</v>
      </c>
      <c r="D2884" s="5" t="s">
        <v>13</v>
      </c>
      <c r="E2884" s="5"/>
      <c r="F2884" s="5" t="s">
        <v>259</v>
      </c>
      <c r="G2884" s="5" t="s">
        <v>32</v>
      </c>
      <c r="H2884" s="5" t="s">
        <v>16</v>
      </c>
      <c r="I2884" s="6" t="s">
        <v>17</v>
      </c>
      <c r="J2884" s="7" t="s">
        <v>177</v>
      </c>
      <c r="K2884" s="7" t="s">
        <v>36</v>
      </c>
      <c r="L2884" s="8">
        <v>1.772591673758E12</v>
      </c>
      <c r="M2884" s="9"/>
      <c r="N2884" s="10"/>
      <c r="O2884" s="10"/>
      <c r="P2884" s="10"/>
      <c r="Q2884" s="10"/>
      <c r="R2884" s="10"/>
      <c r="S2884" s="10"/>
      <c r="T2884" s="10"/>
      <c r="U2884" s="10"/>
      <c r="V2884" s="10"/>
    </row>
    <row r="2885" ht="22.5" customHeight="1">
      <c r="A2885" s="5">
        <v>2.06623393655E11</v>
      </c>
      <c r="B2885" s="5" t="s">
        <v>2695</v>
      </c>
      <c r="C2885" s="5">
        <v>5562996417348</v>
      </c>
      <c r="D2885" s="5" t="s">
        <v>13</v>
      </c>
      <c r="E2885" s="5">
        <v>7.9360573E7</v>
      </c>
      <c r="F2885" s="5" t="s">
        <v>39</v>
      </c>
      <c r="G2885" s="5" t="s">
        <v>15</v>
      </c>
      <c r="H2885" s="5" t="s">
        <v>33</v>
      </c>
      <c r="I2885" s="6" t="s">
        <v>17</v>
      </c>
      <c r="J2885" s="7" t="s">
        <v>124</v>
      </c>
      <c r="K2885" s="7" t="s">
        <v>1256</v>
      </c>
      <c r="L2885" s="8">
        <v>1.772591686565E12</v>
      </c>
      <c r="M2885" s="9"/>
      <c r="N2885" s="10"/>
      <c r="O2885" s="10"/>
      <c r="P2885" s="10"/>
      <c r="Q2885" s="10"/>
      <c r="R2885" s="10"/>
      <c r="S2885" s="10"/>
      <c r="T2885" s="10"/>
      <c r="U2885" s="10"/>
      <c r="V2885" s="10"/>
    </row>
    <row r="2886" ht="22.5" customHeight="1">
      <c r="A2886" s="5">
        <v>2.06887895073E11</v>
      </c>
      <c r="B2886" s="5" t="s">
        <v>2696</v>
      </c>
      <c r="C2886" s="5">
        <v>51912485126</v>
      </c>
      <c r="D2886" s="5" t="s">
        <v>13</v>
      </c>
      <c r="E2886" s="5">
        <v>8.7547393E7</v>
      </c>
      <c r="F2886" s="5" t="s">
        <v>14</v>
      </c>
      <c r="G2886" s="5" t="s">
        <v>15</v>
      </c>
      <c r="H2886" s="5" t="s">
        <v>24</v>
      </c>
      <c r="I2886" s="6" t="s">
        <v>17</v>
      </c>
      <c r="J2886" s="7" t="s">
        <v>58</v>
      </c>
      <c r="K2886" s="11" t="s">
        <v>59</v>
      </c>
      <c r="L2886" s="8">
        <v>1.772593004767E12</v>
      </c>
      <c r="M2886" s="9"/>
      <c r="N2886" s="10"/>
      <c r="O2886" s="10"/>
      <c r="P2886" s="10"/>
      <c r="Q2886" s="10"/>
      <c r="R2886" s="10"/>
      <c r="S2886" s="10"/>
      <c r="T2886" s="10"/>
      <c r="U2886" s="10"/>
      <c r="V2886" s="10"/>
    </row>
    <row r="2887" ht="22.5" customHeight="1">
      <c r="A2887" s="5">
        <v>2.06887955716E11</v>
      </c>
      <c r="B2887" s="5" t="s">
        <v>2697</v>
      </c>
      <c r="C2887" s="5">
        <v>51965180323</v>
      </c>
      <c r="D2887" s="5" t="s">
        <v>22</v>
      </c>
      <c r="E2887" s="5">
        <v>8.7547393E7</v>
      </c>
      <c r="F2887" s="5" t="s">
        <v>39</v>
      </c>
      <c r="G2887" s="5" t="s">
        <v>44</v>
      </c>
      <c r="H2887" s="5" t="s">
        <v>24</v>
      </c>
      <c r="I2887" s="6" t="s">
        <v>17</v>
      </c>
      <c r="J2887" s="7" t="s">
        <v>18</v>
      </c>
      <c r="K2887" s="7" t="s">
        <v>19</v>
      </c>
      <c r="L2887" s="8">
        <v>1.772594043156E12</v>
      </c>
      <c r="M2887" s="9"/>
      <c r="N2887" s="10"/>
      <c r="O2887" s="10"/>
      <c r="P2887" s="10"/>
      <c r="Q2887" s="10"/>
      <c r="R2887" s="10"/>
      <c r="S2887" s="10"/>
      <c r="T2887" s="10"/>
      <c r="U2887" s="10"/>
      <c r="V2887" s="10"/>
    </row>
    <row r="2888" ht="22.5" customHeight="1">
      <c r="A2888" s="5">
        <v>2.06904358176E11</v>
      </c>
      <c r="B2888" s="5" t="s">
        <v>2698</v>
      </c>
      <c r="C2888" s="5">
        <v>51924836295</v>
      </c>
      <c r="D2888" s="5" t="s">
        <v>38</v>
      </c>
      <c r="E2888" s="5">
        <v>8.0566583E7</v>
      </c>
      <c r="F2888" s="5" t="s">
        <v>28</v>
      </c>
      <c r="G2888" s="5" t="s">
        <v>15</v>
      </c>
      <c r="H2888" s="5" t="s">
        <v>51</v>
      </c>
      <c r="I2888" s="6" t="s">
        <v>36</v>
      </c>
      <c r="J2888" s="7" t="s">
        <v>18</v>
      </c>
      <c r="K2888" s="7" t="s">
        <v>19</v>
      </c>
      <c r="L2888" s="8">
        <v>1.77259479763E12</v>
      </c>
      <c r="M2888" s="9"/>
      <c r="N2888" s="10"/>
      <c r="O2888" s="10"/>
      <c r="P2888" s="10"/>
      <c r="Q2888" s="10"/>
      <c r="R2888" s="10"/>
      <c r="S2888" s="10"/>
      <c r="T2888" s="10"/>
      <c r="U2888" s="10"/>
      <c r="V2888" s="10"/>
    </row>
    <row r="2889" ht="22.5" customHeight="1">
      <c r="A2889" s="5">
        <v>2.03735216559E11</v>
      </c>
      <c r="B2889" s="5" t="s">
        <v>2699</v>
      </c>
      <c r="C2889" s="5">
        <v>51941202904</v>
      </c>
      <c r="D2889" s="5" t="s">
        <v>13</v>
      </c>
      <c r="E2889" s="5">
        <v>8.7547393E7</v>
      </c>
      <c r="F2889" s="5" t="s">
        <v>93</v>
      </c>
      <c r="G2889" s="5" t="s">
        <v>15</v>
      </c>
      <c r="H2889" s="5" t="s">
        <v>24</v>
      </c>
      <c r="I2889" s="6" t="s">
        <v>36</v>
      </c>
      <c r="J2889" s="7" t="s">
        <v>177</v>
      </c>
      <c r="K2889" s="7" t="s">
        <v>36</v>
      </c>
      <c r="L2889" s="8">
        <v>1.772595228998E12</v>
      </c>
      <c r="M2889" s="9"/>
      <c r="N2889" s="10"/>
      <c r="O2889" s="10"/>
      <c r="P2889" s="10"/>
      <c r="Q2889" s="10"/>
      <c r="R2889" s="10"/>
      <c r="S2889" s="10"/>
      <c r="T2889" s="10"/>
      <c r="U2889" s="10"/>
      <c r="V2889" s="10"/>
    </row>
    <row r="2890" ht="22.5" customHeight="1">
      <c r="A2890" s="5">
        <v>2.06888749112E11</v>
      </c>
      <c r="B2890" s="5" t="s">
        <v>2700</v>
      </c>
      <c r="C2890" s="5">
        <v>51976387711</v>
      </c>
      <c r="D2890" s="5" t="s">
        <v>38</v>
      </c>
      <c r="E2890" s="5">
        <v>8.0566583E7</v>
      </c>
      <c r="F2890" s="5" t="s">
        <v>28</v>
      </c>
      <c r="G2890" s="5"/>
      <c r="H2890" s="5" t="s">
        <v>583</v>
      </c>
      <c r="I2890" s="6" t="s">
        <v>17</v>
      </c>
      <c r="J2890" s="7" t="s">
        <v>124</v>
      </c>
      <c r="K2890" s="7" t="s">
        <v>125</v>
      </c>
      <c r="L2890" s="8">
        <v>1.772595309748E12</v>
      </c>
      <c r="M2890" s="9"/>
      <c r="N2890" s="10"/>
      <c r="O2890" s="10"/>
      <c r="P2890" s="10"/>
      <c r="Q2890" s="10"/>
      <c r="R2890" s="10"/>
      <c r="S2890" s="10"/>
      <c r="T2890" s="10"/>
      <c r="U2890" s="10"/>
      <c r="V2890" s="10"/>
    </row>
    <row r="2891" ht="22.5" customHeight="1">
      <c r="A2891" s="5">
        <v>2.06903549093E11</v>
      </c>
      <c r="B2891" s="5" t="s">
        <v>2701</v>
      </c>
      <c r="C2891" s="5">
        <v>51950184414</v>
      </c>
      <c r="D2891" s="5" t="s">
        <v>13</v>
      </c>
      <c r="E2891" s="5">
        <v>8.0566583E7</v>
      </c>
      <c r="F2891" s="5" t="s">
        <v>259</v>
      </c>
      <c r="G2891" s="5" t="s">
        <v>15</v>
      </c>
      <c r="H2891" s="5" t="s">
        <v>51</v>
      </c>
      <c r="I2891" s="6" t="s">
        <v>63</v>
      </c>
      <c r="J2891" s="7" t="s">
        <v>18</v>
      </c>
      <c r="K2891" s="7" t="s">
        <v>19</v>
      </c>
      <c r="L2891" s="8">
        <v>1.772597280229E12</v>
      </c>
      <c r="M2891" s="9"/>
      <c r="N2891" s="10"/>
      <c r="O2891" s="10"/>
      <c r="P2891" s="10"/>
      <c r="Q2891" s="10"/>
      <c r="R2891" s="10"/>
      <c r="S2891" s="10"/>
      <c r="T2891" s="10"/>
      <c r="U2891" s="10"/>
      <c r="V2891" s="10"/>
    </row>
    <row r="2892" ht="22.5" customHeight="1">
      <c r="A2892" s="5">
        <v>2.06890576811E11</v>
      </c>
      <c r="B2892" s="5" t="s">
        <v>2702</v>
      </c>
      <c r="C2892" s="5">
        <v>51995966044</v>
      </c>
      <c r="D2892" s="5" t="s">
        <v>38</v>
      </c>
      <c r="E2892" s="5">
        <v>8.0566583E7</v>
      </c>
      <c r="F2892" s="5"/>
      <c r="G2892" s="5"/>
      <c r="H2892" s="5"/>
      <c r="I2892" s="6"/>
      <c r="J2892" s="7" t="s">
        <v>18</v>
      </c>
      <c r="K2892" s="7" t="s">
        <v>19</v>
      </c>
      <c r="L2892" s="8">
        <v>1.772597291669E12</v>
      </c>
      <c r="M2892" s="9"/>
      <c r="N2892" s="10"/>
      <c r="O2892" s="10"/>
      <c r="P2892" s="10"/>
      <c r="Q2892" s="10"/>
      <c r="R2892" s="10"/>
      <c r="S2892" s="10"/>
      <c r="T2892" s="10"/>
      <c r="U2892" s="10"/>
      <c r="V2892" s="10"/>
    </row>
    <row r="2893" ht="22.5" customHeight="1">
      <c r="A2893" s="5">
        <v>1.54944473122E11</v>
      </c>
      <c r="B2893" s="5" t="s">
        <v>2703</v>
      </c>
      <c r="C2893" s="5">
        <v>51933468318</v>
      </c>
      <c r="D2893" s="5" t="s">
        <v>38</v>
      </c>
      <c r="E2893" s="5"/>
      <c r="F2893" s="5"/>
      <c r="G2893" s="5"/>
      <c r="H2893" s="5"/>
      <c r="I2893" s="6"/>
      <c r="J2893" s="7" t="s">
        <v>18</v>
      </c>
      <c r="K2893" s="7" t="s">
        <v>116</v>
      </c>
      <c r="L2893" s="8">
        <v>1.772598654896E12</v>
      </c>
      <c r="M2893" s="9"/>
      <c r="N2893" s="10"/>
      <c r="O2893" s="10"/>
      <c r="P2893" s="10"/>
      <c r="Q2893" s="10"/>
      <c r="R2893" s="10"/>
      <c r="S2893" s="10"/>
      <c r="T2893" s="10"/>
      <c r="U2893" s="10"/>
      <c r="V2893" s="10"/>
    </row>
    <row r="2894" ht="22.5" customHeight="1">
      <c r="A2894" s="5">
        <v>2.06904540065E11</v>
      </c>
      <c r="B2894" s="5" t="s">
        <v>2704</v>
      </c>
      <c r="C2894" s="5">
        <v>51934009310</v>
      </c>
      <c r="D2894" s="5" t="s">
        <v>13</v>
      </c>
      <c r="E2894" s="5">
        <v>8.7547393E7</v>
      </c>
      <c r="F2894" s="5" t="s">
        <v>510</v>
      </c>
      <c r="G2894" s="5" t="s">
        <v>15</v>
      </c>
      <c r="H2894" s="5" t="s">
        <v>24</v>
      </c>
      <c r="I2894" s="6" t="s">
        <v>17</v>
      </c>
      <c r="J2894" s="7" t="s">
        <v>25</v>
      </c>
      <c r="K2894" s="7" t="s">
        <v>26</v>
      </c>
      <c r="L2894" s="8">
        <v>1.772598983133E12</v>
      </c>
      <c r="M2894" s="9"/>
      <c r="N2894" s="10"/>
      <c r="O2894" s="10"/>
      <c r="P2894" s="10"/>
      <c r="Q2894" s="10"/>
      <c r="R2894" s="10"/>
      <c r="S2894" s="10"/>
      <c r="T2894" s="10"/>
      <c r="U2894" s="10"/>
      <c r="V2894" s="10"/>
    </row>
    <row r="2895" ht="22.5" customHeight="1">
      <c r="A2895" s="5">
        <v>2.06894633366E11</v>
      </c>
      <c r="B2895" s="5" t="s">
        <v>2705</v>
      </c>
      <c r="C2895" s="5">
        <v>5511962134164</v>
      </c>
      <c r="D2895" s="5" t="s">
        <v>13</v>
      </c>
      <c r="E2895" s="5">
        <v>7.9360573E7</v>
      </c>
      <c r="F2895" s="5" t="s">
        <v>93</v>
      </c>
      <c r="G2895" s="5" t="s">
        <v>15</v>
      </c>
      <c r="H2895" s="5" t="s">
        <v>51</v>
      </c>
      <c r="I2895" s="6" t="s">
        <v>17</v>
      </c>
      <c r="J2895" s="7" t="s">
        <v>34</v>
      </c>
      <c r="K2895" s="7"/>
      <c r="L2895" s="8">
        <v>1.772601597374E12</v>
      </c>
      <c r="M2895" s="9"/>
      <c r="N2895" s="10"/>
      <c r="O2895" s="10"/>
      <c r="P2895" s="10"/>
      <c r="Q2895" s="10"/>
      <c r="R2895" s="10"/>
      <c r="S2895" s="10"/>
      <c r="T2895" s="10"/>
      <c r="U2895" s="10"/>
      <c r="V2895" s="10"/>
    </row>
    <row r="2896" ht="22.5" customHeight="1">
      <c r="A2896" s="5">
        <v>2.04786981664E11</v>
      </c>
      <c r="B2896" s="5" t="s">
        <v>2706</v>
      </c>
      <c r="C2896" s="5">
        <v>51955770466</v>
      </c>
      <c r="D2896" s="5" t="s">
        <v>13</v>
      </c>
      <c r="E2896" s="5">
        <v>8.0566583E7</v>
      </c>
      <c r="F2896" s="5" t="s">
        <v>510</v>
      </c>
      <c r="G2896" s="5" t="s">
        <v>15</v>
      </c>
      <c r="H2896" s="5" t="s">
        <v>51</v>
      </c>
      <c r="I2896" s="6"/>
      <c r="J2896" s="7" t="s">
        <v>34</v>
      </c>
      <c r="K2896" s="7"/>
      <c r="L2896" s="8">
        <v>1.77260445634E12</v>
      </c>
      <c r="M2896" s="9"/>
      <c r="N2896" s="10"/>
      <c r="O2896" s="10"/>
      <c r="P2896" s="10"/>
      <c r="Q2896" s="10"/>
      <c r="R2896" s="10"/>
      <c r="S2896" s="10"/>
      <c r="T2896" s="10"/>
      <c r="U2896" s="10"/>
      <c r="V2896" s="10"/>
    </row>
    <row r="2897" ht="22.5" customHeight="1">
      <c r="A2897" s="5">
        <v>2.06891887019E11</v>
      </c>
      <c r="B2897" s="5" t="s">
        <v>2707</v>
      </c>
      <c r="C2897" s="5">
        <v>51974603858</v>
      </c>
      <c r="D2897" s="5" t="s">
        <v>13</v>
      </c>
      <c r="E2897" s="5">
        <v>8.0566583E7</v>
      </c>
      <c r="F2897" s="5" t="s">
        <v>28</v>
      </c>
      <c r="G2897" s="5" t="s">
        <v>15</v>
      </c>
      <c r="H2897" s="5" t="s">
        <v>24</v>
      </c>
      <c r="I2897" s="6" t="s">
        <v>36</v>
      </c>
      <c r="J2897" s="7" t="s">
        <v>34</v>
      </c>
      <c r="K2897" s="7"/>
      <c r="L2897" s="8">
        <v>1.772604896055E12</v>
      </c>
      <c r="M2897" s="9"/>
      <c r="N2897" s="10"/>
      <c r="O2897" s="10"/>
      <c r="P2897" s="10"/>
      <c r="Q2897" s="10"/>
      <c r="R2897" s="10"/>
      <c r="S2897" s="10"/>
      <c r="T2897" s="10"/>
      <c r="U2897" s="10"/>
      <c r="V2897" s="10"/>
    </row>
    <row r="2898" ht="22.5" customHeight="1">
      <c r="A2898" s="5">
        <v>2.06896788816E11</v>
      </c>
      <c r="B2898" s="5" t="s">
        <v>2708</v>
      </c>
      <c r="C2898" s="5">
        <v>51997892490</v>
      </c>
      <c r="D2898" s="5" t="s">
        <v>13</v>
      </c>
      <c r="E2898" s="5">
        <v>8.0566583E7</v>
      </c>
      <c r="F2898" s="5" t="s">
        <v>714</v>
      </c>
      <c r="G2898" s="5" t="s">
        <v>15</v>
      </c>
      <c r="H2898" s="5" t="s">
        <v>51</v>
      </c>
      <c r="I2898" s="6" t="s">
        <v>17</v>
      </c>
      <c r="J2898" s="7" t="s">
        <v>34</v>
      </c>
      <c r="K2898" s="7"/>
      <c r="L2898" s="8">
        <v>1.772605812365E12</v>
      </c>
      <c r="M2898" s="9"/>
      <c r="N2898" s="10"/>
      <c r="O2898" s="10"/>
      <c r="P2898" s="10"/>
      <c r="Q2898" s="10"/>
      <c r="R2898" s="10"/>
      <c r="S2898" s="10"/>
      <c r="T2898" s="10"/>
      <c r="U2898" s="10"/>
      <c r="V2898" s="10"/>
    </row>
    <row r="2899" ht="22.5" customHeight="1">
      <c r="A2899" s="5">
        <v>2.06896788816E11</v>
      </c>
      <c r="B2899" s="5" t="s">
        <v>2708</v>
      </c>
      <c r="C2899" s="5">
        <v>51997892490</v>
      </c>
      <c r="D2899" s="5" t="s">
        <v>13</v>
      </c>
      <c r="E2899" s="5">
        <v>8.0566583E7</v>
      </c>
      <c r="F2899" s="5" t="s">
        <v>714</v>
      </c>
      <c r="G2899" s="5" t="s">
        <v>15</v>
      </c>
      <c r="H2899" s="5" t="s">
        <v>51</v>
      </c>
      <c r="I2899" s="6" t="s">
        <v>17</v>
      </c>
      <c r="J2899" s="7" t="s">
        <v>34</v>
      </c>
      <c r="K2899" s="7"/>
      <c r="L2899" s="8">
        <v>1.772605828653E12</v>
      </c>
      <c r="M2899" s="9"/>
      <c r="N2899" s="10"/>
      <c r="O2899" s="10"/>
      <c r="P2899" s="10"/>
      <c r="Q2899" s="10"/>
      <c r="R2899" s="10"/>
      <c r="S2899" s="10"/>
      <c r="T2899" s="10"/>
      <c r="U2899" s="10"/>
      <c r="V2899" s="10"/>
    </row>
    <row r="2900" ht="22.5" customHeight="1">
      <c r="A2900" s="5">
        <v>2.06898930565E11</v>
      </c>
      <c r="B2900" s="5" t="s">
        <v>2709</v>
      </c>
      <c r="C2900" s="5">
        <v>51905506680</v>
      </c>
      <c r="D2900" s="5" t="s">
        <v>13</v>
      </c>
      <c r="E2900" s="5">
        <v>8.7547393E7</v>
      </c>
      <c r="F2900" s="5"/>
      <c r="G2900" s="5" t="s">
        <v>15</v>
      </c>
      <c r="H2900" s="5" t="s">
        <v>350</v>
      </c>
      <c r="I2900" s="6"/>
      <c r="J2900" s="7" t="s">
        <v>18</v>
      </c>
      <c r="K2900" s="7" t="s">
        <v>19</v>
      </c>
      <c r="L2900" s="8">
        <v>1.772609960823E12</v>
      </c>
      <c r="M2900" s="9"/>
      <c r="N2900" s="10"/>
      <c r="O2900" s="10"/>
      <c r="P2900" s="10"/>
      <c r="Q2900" s="10"/>
      <c r="R2900" s="10"/>
      <c r="S2900" s="10"/>
      <c r="T2900" s="10"/>
      <c r="U2900" s="10"/>
      <c r="V2900" s="10"/>
    </row>
    <row r="2901" ht="22.5" customHeight="1">
      <c r="A2901" s="5">
        <v>2.06927483689E11</v>
      </c>
      <c r="B2901" s="5" t="s">
        <v>2710</v>
      </c>
      <c r="C2901" s="5">
        <v>5551982352553</v>
      </c>
      <c r="D2901" s="5" t="s">
        <v>13</v>
      </c>
      <c r="E2901" s="5">
        <v>7.9360573E7</v>
      </c>
      <c r="F2901" s="5" t="s">
        <v>714</v>
      </c>
      <c r="G2901" s="5" t="s">
        <v>79</v>
      </c>
      <c r="H2901" s="5" t="s">
        <v>16</v>
      </c>
      <c r="I2901" s="6" t="s">
        <v>17</v>
      </c>
      <c r="J2901" s="7" t="s">
        <v>34</v>
      </c>
      <c r="K2901" s="7"/>
      <c r="L2901" s="8">
        <v>1.772620000092E12</v>
      </c>
      <c r="M2901" s="9"/>
      <c r="N2901" s="10"/>
      <c r="O2901" s="10"/>
      <c r="P2901" s="10"/>
      <c r="Q2901" s="10"/>
      <c r="R2901" s="10"/>
      <c r="S2901" s="10"/>
      <c r="T2901" s="10"/>
      <c r="U2901" s="10"/>
      <c r="V2901" s="10"/>
    </row>
    <row r="2902" ht="22.5" customHeight="1">
      <c r="A2902" s="5">
        <v>2.06931947159E11</v>
      </c>
      <c r="B2902" s="5" t="s">
        <v>2711</v>
      </c>
      <c r="C2902" s="5">
        <v>5581998088435</v>
      </c>
      <c r="D2902" s="5" t="s">
        <v>13</v>
      </c>
      <c r="E2902" s="5">
        <v>7.9360573E7</v>
      </c>
      <c r="F2902" s="5" t="s">
        <v>28</v>
      </c>
      <c r="G2902" s="5" t="s">
        <v>15</v>
      </c>
      <c r="H2902" s="5" t="s">
        <v>100</v>
      </c>
      <c r="I2902" s="6" t="s">
        <v>17</v>
      </c>
      <c r="J2902" s="7" t="s">
        <v>34</v>
      </c>
      <c r="K2902" s="7"/>
      <c r="L2902" s="8">
        <v>1.772621752791E12</v>
      </c>
      <c r="M2902" s="9"/>
      <c r="N2902" s="10"/>
      <c r="O2902" s="10"/>
      <c r="P2902" s="10"/>
      <c r="Q2902" s="10"/>
      <c r="R2902" s="10"/>
      <c r="S2902" s="10"/>
      <c r="T2902" s="10"/>
      <c r="U2902" s="10"/>
      <c r="V2902" s="10"/>
    </row>
    <row r="2903" ht="22.5" customHeight="1">
      <c r="A2903" s="5">
        <v>2.0692958728E11</v>
      </c>
      <c r="B2903" s="5" t="s">
        <v>2712</v>
      </c>
      <c r="C2903" s="5">
        <v>5585994477386</v>
      </c>
      <c r="D2903" s="5" t="s">
        <v>13</v>
      </c>
      <c r="E2903" s="5">
        <v>7.9360573E7</v>
      </c>
      <c r="F2903" s="5" t="s">
        <v>28</v>
      </c>
      <c r="G2903" s="5" t="s">
        <v>15</v>
      </c>
      <c r="H2903" s="5" t="s">
        <v>16</v>
      </c>
      <c r="I2903" s="6" t="s">
        <v>17</v>
      </c>
      <c r="J2903" s="7" t="s">
        <v>18</v>
      </c>
      <c r="K2903" s="7" t="s">
        <v>45</v>
      </c>
      <c r="L2903" s="8">
        <v>1.77262222882E12</v>
      </c>
      <c r="M2903" s="9"/>
      <c r="N2903" s="10"/>
      <c r="O2903" s="10"/>
      <c r="P2903" s="10"/>
      <c r="Q2903" s="10"/>
      <c r="R2903" s="10"/>
      <c r="S2903" s="10"/>
      <c r="T2903" s="10"/>
      <c r="U2903" s="10"/>
      <c r="V2903" s="10"/>
    </row>
    <row r="2904" ht="22.5" customHeight="1">
      <c r="A2904" s="5">
        <v>2.06932635421E11</v>
      </c>
      <c r="B2904" s="5" t="s">
        <v>2713</v>
      </c>
      <c r="C2904" s="5">
        <v>5514997487923</v>
      </c>
      <c r="D2904" s="5" t="s">
        <v>22</v>
      </c>
      <c r="E2904" s="5">
        <v>7.9360573E7</v>
      </c>
      <c r="F2904" s="5" t="s">
        <v>42</v>
      </c>
      <c r="G2904" s="5" t="s">
        <v>32</v>
      </c>
      <c r="H2904" s="5" t="s">
        <v>16</v>
      </c>
      <c r="I2904" s="6" t="s">
        <v>148</v>
      </c>
      <c r="J2904" s="7" t="s">
        <v>34</v>
      </c>
      <c r="K2904" s="7"/>
      <c r="L2904" s="8">
        <v>1.772622249998E12</v>
      </c>
      <c r="M2904" s="9"/>
      <c r="N2904" s="10"/>
      <c r="O2904" s="10"/>
      <c r="P2904" s="10"/>
      <c r="Q2904" s="10"/>
      <c r="R2904" s="10"/>
      <c r="S2904" s="10"/>
      <c r="T2904" s="10"/>
      <c r="U2904" s="10"/>
      <c r="V2904" s="10"/>
    </row>
    <row r="2905" ht="22.5" customHeight="1">
      <c r="A2905" s="5">
        <v>2.06926545749E11</v>
      </c>
      <c r="B2905" s="5" t="s">
        <v>2714</v>
      </c>
      <c r="C2905" s="5">
        <v>51935306416</v>
      </c>
      <c r="D2905" s="5" t="s">
        <v>13</v>
      </c>
      <c r="E2905" s="5">
        <v>8.7547393E7</v>
      </c>
      <c r="F2905" s="5" t="s">
        <v>39</v>
      </c>
      <c r="G2905" s="5" t="s">
        <v>15</v>
      </c>
      <c r="H2905" s="5" t="s">
        <v>16</v>
      </c>
      <c r="I2905" s="6" t="s">
        <v>17</v>
      </c>
      <c r="J2905" s="7" t="s">
        <v>18</v>
      </c>
      <c r="K2905" s="7" t="s">
        <v>19</v>
      </c>
      <c r="L2905" s="8">
        <v>1.772622731915E12</v>
      </c>
      <c r="M2905" s="9"/>
      <c r="N2905" s="10"/>
      <c r="O2905" s="10"/>
      <c r="P2905" s="10"/>
      <c r="Q2905" s="10"/>
      <c r="R2905" s="10"/>
      <c r="S2905" s="10"/>
      <c r="T2905" s="10"/>
      <c r="U2905" s="10"/>
      <c r="V2905" s="10"/>
    </row>
    <row r="2906" ht="22.5" customHeight="1">
      <c r="A2906" s="5">
        <v>2.06201097811E11</v>
      </c>
      <c r="B2906" s="5" t="s">
        <v>2715</v>
      </c>
      <c r="C2906" s="5">
        <v>51915102030</v>
      </c>
      <c r="D2906" s="5" t="s">
        <v>13</v>
      </c>
      <c r="E2906" s="5">
        <v>8.7547393E7</v>
      </c>
      <c r="F2906" s="5" t="s">
        <v>714</v>
      </c>
      <c r="G2906" s="5" t="s">
        <v>15</v>
      </c>
      <c r="H2906" s="5" t="s">
        <v>24</v>
      </c>
      <c r="I2906" s="6" t="s">
        <v>17</v>
      </c>
      <c r="J2906" s="7" t="s">
        <v>34</v>
      </c>
      <c r="K2906" s="7"/>
      <c r="L2906" s="8">
        <v>1.772625533537E12</v>
      </c>
      <c r="M2906" s="9"/>
      <c r="N2906" s="10"/>
      <c r="O2906" s="10"/>
      <c r="P2906" s="10"/>
      <c r="Q2906" s="10"/>
      <c r="R2906" s="10"/>
      <c r="S2906" s="10"/>
      <c r="T2906" s="10"/>
      <c r="U2906" s="10"/>
      <c r="V2906" s="10"/>
    </row>
    <row r="2907" ht="22.5" customHeight="1">
      <c r="A2907" s="5">
        <v>2.06965788851E11</v>
      </c>
      <c r="B2907" s="5" t="s">
        <v>2716</v>
      </c>
      <c r="C2907" s="5">
        <v>51949112149</v>
      </c>
      <c r="D2907" s="5" t="s">
        <v>22</v>
      </c>
      <c r="E2907" s="5">
        <v>8.7547393E7</v>
      </c>
      <c r="F2907" s="5" t="s">
        <v>39</v>
      </c>
      <c r="G2907" s="5" t="s">
        <v>44</v>
      </c>
      <c r="H2907" s="5" t="s">
        <v>114</v>
      </c>
      <c r="I2907" s="6" t="s">
        <v>17</v>
      </c>
      <c r="J2907" s="7" t="s">
        <v>25</v>
      </c>
      <c r="K2907" s="7" t="s">
        <v>26</v>
      </c>
      <c r="L2907" s="8">
        <v>1.772627122555E12</v>
      </c>
      <c r="M2907" s="9"/>
      <c r="N2907" s="10"/>
      <c r="O2907" s="10"/>
      <c r="P2907" s="10"/>
      <c r="Q2907" s="10"/>
      <c r="R2907" s="10"/>
      <c r="S2907" s="10"/>
      <c r="T2907" s="10"/>
      <c r="U2907" s="10"/>
      <c r="V2907" s="10"/>
    </row>
    <row r="2908" ht="22.5" customHeight="1">
      <c r="A2908" s="5">
        <v>2.06966132327E11</v>
      </c>
      <c r="B2908" s="5" t="s">
        <v>2717</v>
      </c>
      <c r="C2908" s="5">
        <v>51980746605</v>
      </c>
      <c r="D2908" s="5" t="s">
        <v>13</v>
      </c>
      <c r="E2908" s="5">
        <v>8.7547393E7</v>
      </c>
      <c r="F2908" s="5" t="s">
        <v>28</v>
      </c>
      <c r="G2908" s="5" t="s">
        <v>32</v>
      </c>
      <c r="H2908" s="5" t="s">
        <v>16</v>
      </c>
      <c r="I2908" s="6" t="s">
        <v>17</v>
      </c>
      <c r="J2908" s="7" t="s">
        <v>18</v>
      </c>
      <c r="K2908" s="7" t="s">
        <v>19</v>
      </c>
      <c r="L2908" s="8">
        <v>1.772627766938E12</v>
      </c>
      <c r="M2908" s="9"/>
      <c r="N2908" s="10"/>
      <c r="O2908" s="10"/>
      <c r="P2908" s="10"/>
      <c r="Q2908" s="10"/>
      <c r="R2908" s="10"/>
      <c r="S2908" s="10"/>
      <c r="T2908" s="10"/>
      <c r="U2908" s="10"/>
      <c r="V2908" s="10"/>
    </row>
    <row r="2909" ht="22.5" customHeight="1">
      <c r="A2909" s="5">
        <v>2.06970081123E11</v>
      </c>
      <c r="B2909" s="5" t="s">
        <v>2718</v>
      </c>
      <c r="C2909" s="5">
        <v>51927736721</v>
      </c>
      <c r="D2909" s="5" t="s">
        <v>13</v>
      </c>
      <c r="E2909" s="5">
        <v>8.7547393E7</v>
      </c>
      <c r="F2909" s="5" t="s">
        <v>65</v>
      </c>
      <c r="G2909" s="5" t="s">
        <v>15</v>
      </c>
      <c r="H2909" s="5" t="s">
        <v>51</v>
      </c>
      <c r="I2909" s="6" t="s">
        <v>17</v>
      </c>
      <c r="J2909" s="7" t="s">
        <v>18</v>
      </c>
      <c r="K2909" s="7" t="s">
        <v>19</v>
      </c>
      <c r="L2909" s="8">
        <v>1.772628298275E12</v>
      </c>
      <c r="M2909" s="9"/>
      <c r="N2909" s="10"/>
      <c r="O2909" s="10"/>
      <c r="P2909" s="10"/>
      <c r="Q2909" s="10"/>
      <c r="R2909" s="10"/>
      <c r="S2909" s="10"/>
      <c r="T2909" s="10"/>
      <c r="U2909" s="10"/>
      <c r="V2909" s="10"/>
    </row>
    <row r="2910" ht="22.5" customHeight="1">
      <c r="A2910" s="5">
        <v>2.06970692912E11</v>
      </c>
      <c r="B2910" s="5" t="s">
        <v>2719</v>
      </c>
      <c r="C2910" s="5">
        <v>5584981537986</v>
      </c>
      <c r="D2910" s="5" t="s">
        <v>13</v>
      </c>
      <c r="E2910" s="5">
        <v>7.9360573E7</v>
      </c>
      <c r="F2910" s="5" t="s">
        <v>39</v>
      </c>
      <c r="G2910" s="5"/>
      <c r="H2910" s="5" t="s">
        <v>165</v>
      </c>
      <c r="I2910" s="6"/>
      <c r="J2910" s="7" t="s">
        <v>58</v>
      </c>
      <c r="K2910" s="11" t="s">
        <v>59</v>
      </c>
      <c r="L2910" s="8">
        <v>1.772628334841E12</v>
      </c>
      <c r="M2910" s="9"/>
      <c r="N2910" s="10"/>
      <c r="O2910" s="10"/>
      <c r="P2910" s="10"/>
      <c r="Q2910" s="10"/>
      <c r="R2910" s="10"/>
      <c r="S2910" s="10"/>
      <c r="T2910" s="10"/>
      <c r="U2910" s="10"/>
      <c r="V2910" s="10"/>
    </row>
    <row r="2911" ht="22.5" customHeight="1">
      <c r="A2911" s="5">
        <v>2.06970959201E11</v>
      </c>
      <c r="B2911" s="5" t="s">
        <v>2720</v>
      </c>
      <c r="C2911" s="5">
        <v>5511971189401</v>
      </c>
      <c r="D2911" s="5" t="s">
        <v>13</v>
      </c>
      <c r="E2911" s="5">
        <v>7.9360573E7</v>
      </c>
      <c r="F2911" s="5" t="s">
        <v>28</v>
      </c>
      <c r="G2911" s="5" t="s">
        <v>15</v>
      </c>
      <c r="H2911" s="5" t="s">
        <v>51</v>
      </c>
      <c r="I2911" s="6" t="s">
        <v>148</v>
      </c>
      <c r="J2911" s="7" t="s">
        <v>177</v>
      </c>
      <c r="K2911" s="7" t="s">
        <v>36</v>
      </c>
      <c r="L2911" s="8">
        <v>1.772628530058E12</v>
      </c>
      <c r="M2911" s="9"/>
      <c r="N2911" s="10"/>
      <c r="O2911" s="10"/>
      <c r="P2911" s="10"/>
      <c r="Q2911" s="10"/>
      <c r="R2911" s="10"/>
      <c r="S2911" s="10"/>
      <c r="T2911" s="10"/>
      <c r="U2911" s="10"/>
      <c r="V2911" s="10"/>
    </row>
    <row r="2912" ht="22.5" customHeight="1">
      <c r="A2912" s="5">
        <v>2.06969872822E11</v>
      </c>
      <c r="B2912" s="5" t="s">
        <v>2721</v>
      </c>
      <c r="C2912" s="5">
        <v>51926135754</v>
      </c>
      <c r="D2912" s="5" t="s">
        <v>38</v>
      </c>
      <c r="E2912" s="5">
        <v>8.0566583E7</v>
      </c>
      <c r="F2912" s="5"/>
      <c r="G2912" s="5"/>
      <c r="H2912" s="5"/>
      <c r="I2912" s="6"/>
      <c r="J2912" s="7" t="s">
        <v>34</v>
      </c>
      <c r="K2912" s="7"/>
      <c r="L2912" s="8">
        <v>1.772628674313E12</v>
      </c>
      <c r="M2912" s="9"/>
      <c r="N2912" s="10"/>
      <c r="O2912" s="10"/>
      <c r="P2912" s="10"/>
      <c r="Q2912" s="10"/>
      <c r="R2912" s="10"/>
      <c r="S2912" s="10"/>
      <c r="T2912" s="10"/>
      <c r="U2912" s="10"/>
      <c r="V2912" s="10"/>
    </row>
    <row r="2913" ht="22.5" customHeight="1">
      <c r="A2913" s="5">
        <v>2.06970081808E11</v>
      </c>
      <c r="B2913" s="5" t="s">
        <v>2722</v>
      </c>
      <c r="C2913" s="5">
        <v>51928591629</v>
      </c>
      <c r="D2913" s="5" t="s">
        <v>38</v>
      </c>
      <c r="E2913" s="5">
        <v>8.7547393E7</v>
      </c>
      <c r="F2913" s="5" t="s">
        <v>14</v>
      </c>
      <c r="G2913" s="5" t="s">
        <v>32</v>
      </c>
      <c r="H2913" s="5" t="s">
        <v>29</v>
      </c>
      <c r="I2913" s="6" t="s">
        <v>36</v>
      </c>
      <c r="J2913" s="7" t="s">
        <v>124</v>
      </c>
      <c r="K2913" s="7" t="s">
        <v>125</v>
      </c>
      <c r="L2913" s="8">
        <v>1.772629071774E12</v>
      </c>
      <c r="M2913" s="9"/>
      <c r="N2913" s="10"/>
      <c r="O2913" s="10"/>
      <c r="P2913" s="10"/>
      <c r="Q2913" s="10"/>
      <c r="R2913" s="10"/>
      <c r="S2913" s="10"/>
      <c r="T2913" s="10"/>
      <c r="U2913" s="10"/>
      <c r="V2913" s="10"/>
    </row>
    <row r="2914" ht="22.5" customHeight="1">
      <c r="A2914" s="5">
        <v>2.06971861783E11</v>
      </c>
      <c r="B2914" s="5" t="s">
        <v>2723</v>
      </c>
      <c r="C2914" s="5">
        <v>51998392009</v>
      </c>
      <c r="D2914" s="5" t="s">
        <v>13</v>
      </c>
      <c r="E2914" s="5">
        <v>8.0566583E7</v>
      </c>
      <c r="F2914" s="5" t="s">
        <v>39</v>
      </c>
      <c r="G2914" s="5" t="s">
        <v>32</v>
      </c>
      <c r="H2914" s="5" t="s">
        <v>24</v>
      </c>
      <c r="I2914" s="6" t="s">
        <v>17</v>
      </c>
      <c r="J2914" s="7" t="s">
        <v>34</v>
      </c>
      <c r="K2914" s="7"/>
      <c r="L2914" s="8">
        <v>1.772629339213E12</v>
      </c>
      <c r="M2914" s="9"/>
      <c r="N2914" s="10"/>
      <c r="O2914" s="10"/>
      <c r="P2914" s="10"/>
      <c r="Q2914" s="10"/>
      <c r="R2914" s="10"/>
      <c r="S2914" s="10"/>
      <c r="T2914" s="10"/>
      <c r="U2914" s="10"/>
      <c r="V2914" s="10"/>
    </row>
    <row r="2915" ht="22.5" customHeight="1">
      <c r="A2915" s="5">
        <v>2.06970745902E11</v>
      </c>
      <c r="B2915" s="5" t="s">
        <v>2724</v>
      </c>
      <c r="C2915" s="5">
        <v>51926277001</v>
      </c>
      <c r="D2915" s="5" t="s">
        <v>13</v>
      </c>
      <c r="E2915" s="5">
        <v>8.7547393E7</v>
      </c>
      <c r="F2915" s="5" t="s">
        <v>259</v>
      </c>
      <c r="G2915" s="5" t="s">
        <v>15</v>
      </c>
      <c r="H2915" s="5" t="s">
        <v>16</v>
      </c>
      <c r="I2915" s="6" t="s">
        <v>17</v>
      </c>
      <c r="J2915" s="7" t="s">
        <v>25</v>
      </c>
      <c r="K2915" s="7" t="s">
        <v>501</v>
      </c>
      <c r="L2915" s="8">
        <v>1.772629609095E12</v>
      </c>
      <c r="M2915" s="9"/>
      <c r="N2915" s="10"/>
      <c r="O2915" s="10"/>
      <c r="P2915" s="10"/>
      <c r="Q2915" s="10"/>
      <c r="R2915" s="10"/>
      <c r="S2915" s="10"/>
      <c r="T2915" s="10"/>
      <c r="U2915" s="10"/>
      <c r="V2915" s="10"/>
    </row>
    <row r="2916" ht="22.5" customHeight="1">
      <c r="A2916" s="5">
        <v>2.06978338634E11</v>
      </c>
      <c r="B2916" s="5" t="s">
        <v>2725</v>
      </c>
      <c r="C2916" s="5">
        <v>51969565790</v>
      </c>
      <c r="D2916" s="5" t="s">
        <v>13</v>
      </c>
      <c r="E2916" s="5">
        <v>8.0566583E7</v>
      </c>
      <c r="F2916" s="5" t="s">
        <v>259</v>
      </c>
      <c r="G2916" s="5" t="s">
        <v>15</v>
      </c>
      <c r="H2916" s="5" t="s">
        <v>69</v>
      </c>
      <c r="I2916" s="6" t="s">
        <v>17</v>
      </c>
      <c r="J2916" s="7" t="s">
        <v>18</v>
      </c>
      <c r="K2916" s="7" t="s">
        <v>19</v>
      </c>
      <c r="L2916" s="8">
        <v>1.772630306799E12</v>
      </c>
      <c r="M2916" s="9"/>
      <c r="N2916" s="10"/>
      <c r="O2916" s="10"/>
      <c r="P2916" s="10"/>
      <c r="Q2916" s="10"/>
      <c r="R2916" s="10"/>
      <c r="S2916" s="10"/>
      <c r="T2916" s="10"/>
      <c r="U2916" s="10"/>
      <c r="V2916" s="10"/>
    </row>
    <row r="2917" ht="22.5" customHeight="1">
      <c r="A2917" s="5">
        <v>2.06978132342E11</v>
      </c>
      <c r="B2917" s="5" t="s">
        <v>2726</v>
      </c>
      <c r="C2917" s="5">
        <v>51921857766</v>
      </c>
      <c r="D2917" s="5" t="s">
        <v>13</v>
      </c>
      <c r="E2917" s="5">
        <v>8.0566583E7</v>
      </c>
      <c r="F2917" s="5" t="s">
        <v>65</v>
      </c>
      <c r="G2917" s="5" t="s">
        <v>32</v>
      </c>
      <c r="H2917" s="5" t="s">
        <v>24</v>
      </c>
      <c r="I2917" s="6" t="s">
        <v>17</v>
      </c>
      <c r="J2917" s="7" t="s">
        <v>18</v>
      </c>
      <c r="K2917" s="7" t="s">
        <v>19</v>
      </c>
      <c r="L2917" s="8">
        <v>1.772630652471E12</v>
      </c>
      <c r="M2917" s="9"/>
      <c r="N2917" s="10"/>
      <c r="O2917" s="10"/>
      <c r="P2917" s="10"/>
      <c r="Q2917" s="10"/>
      <c r="R2917" s="10"/>
      <c r="S2917" s="10"/>
      <c r="T2917" s="10"/>
      <c r="U2917" s="10"/>
      <c r="V2917" s="10"/>
    </row>
    <row r="2918" ht="22.5" customHeight="1">
      <c r="A2918" s="5">
        <v>2.06975603113E11</v>
      </c>
      <c r="B2918" s="5" t="s">
        <v>2727</v>
      </c>
      <c r="C2918" s="5">
        <v>51998254091</v>
      </c>
      <c r="D2918" s="5" t="s">
        <v>13</v>
      </c>
      <c r="E2918" s="5">
        <v>8.7547393E7</v>
      </c>
      <c r="F2918" s="5" t="s">
        <v>93</v>
      </c>
      <c r="G2918" s="5" t="s">
        <v>15</v>
      </c>
      <c r="H2918" s="5" t="s">
        <v>66</v>
      </c>
      <c r="I2918" s="6" t="s">
        <v>17</v>
      </c>
      <c r="J2918" s="7" t="s">
        <v>18</v>
      </c>
      <c r="K2918" s="7" t="s">
        <v>19</v>
      </c>
      <c r="L2918" s="8">
        <v>1.772630947947E12</v>
      </c>
      <c r="M2918" s="9"/>
      <c r="N2918" s="10"/>
      <c r="O2918" s="10"/>
      <c r="P2918" s="10"/>
      <c r="Q2918" s="10"/>
      <c r="R2918" s="10"/>
      <c r="S2918" s="10"/>
      <c r="T2918" s="10"/>
      <c r="U2918" s="10"/>
      <c r="V2918" s="10"/>
    </row>
    <row r="2919" ht="22.5" customHeight="1">
      <c r="A2919" s="5">
        <v>2.06975836487E11</v>
      </c>
      <c r="B2919" s="5" t="s">
        <v>2728</v>
      </c>
      <c r="C2919" s="5">
        <v>51918337456</v>
      </c>
      <c r="D2919" s="5" t="s">
        <v>13</v>
      </c>
      <c r="E2919" s="5">
        <v>8.0566583E7</v>
      </c>
      <c r="F2919" s="5" t="s">
        <v>82</v>
      </c>
      <c r="G2919" s="5">
        <v>50</v>
      </c>
      <c r="H2919" s="5" t="s">
        <v>24</v>
      </c>
      <c r="I2919" s="6" t="s">
        <v>17</v>
      </c>
      <c r="J2919" s="7" t="s">
        <v>18</v>
      </c>
      <c r="K2919" s="7" t="s">
        <v>19</v>
      </c>
      <c r="L2919" s="8">
        <v>1.772631141819E12</v>
      </c>
      <c r="M2919" s="9"/>
      <c r="N2919" s="10"/>
      <c r="O2919" s="10"/>
      <c r="P2919" s="10"/>
      <c r="Q2919" s="10"/>
      <c r="R2919" s="10"/>
      <c r="S2919" s="10"/>
      <c r="T2919" s="10"/>
      <c r="U2919" s="10"/>
      <c r="V2919" s="10"/>
    </row>
    <row r="2920" ht="22.5" customHeight="1">
      <c r="A2920" s="5">
        <v>2.0697989611E11</v>
      </c>
      <c r="B2920" s="5" t="s">
        <v>2729</v>
      </c>
      <c r="C2920" s="5">
        <v>51936104245</v>
      </c>
      <c r="D2920" s="5" t="s">
        <v>13</v>
      </c>
      <c r="E2920" s="5">
        <v>8.7547393E7</v>
      </c>
      <c r="F2920" s="5" t="s">
        <v>259</v>
      </c>
      <c r="G2920" s="5" t="s">
        <v>32</v>
      </c>
      <c r="H2920" s="5" t="s">
        <v>66</v>
      </c>
      <c r="I2920" s="6" t="s">
        <v>49</v>
      </c>
      <c r="J2920" s="7" t="s">
        <v>18</v>
      </c>
      <c r="K2920" s="7" t="s">
        <v>19</v>
      </c>
      <c r="L2920" s="8">
        <v>1.772631629876E12</v>
      </c>
      <c r="M2920" s="9"/>
      <c r="N2920" s="10"/>
      <c r="O2920" s="10"/>
      <c r="P2920" s="10"/>
      <c r="Q2920" s="10"/>
      <c r="R2920" s="10"/>
      <c r="S2920" s="10"/>
      <c r="T2920" s="10"/>
      <c r="U2920" s="10"/>
      <c r="V2920" s="10"/>
    </row>
    <row r="2921" ht="22.5" customHeight="1">
      <c r="A2921" s="5">
        <v>2.06985807521E11</v>
      </c>
      <c r="B2921" s="5" t="s">
        <v>2730</v>
      </c>
      <c r="C2921" s="5">
        <v>51982640333</v>
      </c>
      <c r="D2921" s="5" t="s">
        <v>13</v>
      </c>
      <c r="E2921" s="5">
        <v>8.7547393E7</v>
      </c>
      <c r="F2921" s="5" t="s">
        <v>28</v>
      </c>
      <c r="G2921" s="5" t="s">
        <v>15</v>
      </c>
      <c r="H2921" s="5" t="s">
        <v>114</v>
      </c>
      <c r="I2921" s="6" t="s">
        <v>17</v>
      </c>
      <c r="J2921" s="7" t="s">
        <v>58</v>
      </c>
      <c r="K2921" s="11" t="s">
        <v>59</v>
      </c>
      <c r="L2921" s="8">
        <v>1.772634731079E12</v>
      </c>
      <c r="M2921" s="9"/>
      <c r="N2921" s="10"/>
      <c r="O2921" s="10"/>
      <c r="P2921" s="10"/>
      <c r="Q2921" s="10"/>
      <c r="R2921" s="10"/>
      <c r="S2921" s="10"/>
      <c r="T2921" s="10"/>
      <c r="U2921" s="10"/>
      <c r="V2921" s="10"/>
    </row>
    <row r="2922" ht="22.5" customHeight="1">
      <c r="A2922" s="5">
        <v>2.06989358763E11</v>
      </c>
      <c r="B2922" s="5" t="s">
        <v>2731</v>
      </c>
      <c r="C2922" s="5">
        <v>51933581868</v>
      </c>
      <c r="D2922" s="5" t="s">
        <v>13</v>
      </c>
      <c r="E2922" s="5">
        <v>8.0566583E7</v>
      </c>
      <c r="F2922" s="5" t="s">
        <v>39</v>
      </c>
      <c r="G2922" s="5" t="s">
        <v>15</v>
      </c>
      <c r="H2922" s="5" t="s">
        <v>51</v>
      </c>
      <c r="I2922" s="6" t="s">
        <v>17</v>
      </c>
      <c r="J2922" s="7" t="s">
        <v>25</v>
      </c>
      <c r="K2922" s="7" t="s">
        <v>501</v>
      </c>
      <c r="L2922" s="8">
        <v>1.772634781635E12</v>
      </c>
      <c r="M2922" s="9"/>
      <c r="N2922" s="10"/>
      <c r="O2922" s="10"/>
      <c r="P2922" s="10"/>
      <c r="Q2922" s="10"/>
      <c r="R2922" s="10"/>
      <c r="S2922" s="10"/>
      <c r="T2922" s="10"/>
      <c r="U2922" s="10"/>
      <c r="V2922" s="10"/>
    </row>
    <row r="2923" ht="22.5" customHeight="1">
      <c r="A2923" s="5">
        <v>1.91357761122E11</v>
      </c>
      <c r="B2923" s="5" t="s">
        <v>2732</v>
      </c>
      <c r="C2923" s="5">
        <v>51921311800</v>
      </c>
      <c r="D2923" s="5" t="s">
        <v>13</v>
      </c>
      <c r="E2923" s="5">
        <v>8.7547393E7</v>
      </c>
      <c r="F2923" s="5" t="s">
        <v>65</v>
      </c>
      <c r="G2923" s="5" t="s">
        <v>32</v>
      </c>
      <c r="H2923" s="5" t="s">
        <v>80</v>
      </c>
      <c r="I2923" s="6"/>
      <c r="J2923" s="7" t="s">
        <v>18</v>
      </c>
      <c r="K2923" s="7" t="s">
        <v>19</v>
      </c>
      <c r="L2923" s="8">
        <v>1.772634814316E12</v>
      </c>
      <c r="M2923" s="9"/>
      <c r="N2923" s="10"/>
      <c r="O2923" s="10"/>
      <c r="P2923" s="10"/>
      <c r="Q2923" s="10"/>
      <c r="R2923" s="10"/>
      <c r="S2923" s="10"/>
      <c r="T2923" s="10"/>
      <c r="U2923" s="10"/>
      <c r="V2923" s="10"/>
    </row>
    <row r="2924" ht="22.5" customHeight="1">
      <c r="A2924" s="5">
        <v>2.06985874565E11</v>
      </c>
      <c r="B2924" s="5" t="s">
        <v>2733</v>
      </c>
      <c r="C2924" s="5">
        <v>51920060136</v>
      </c>
      <c r="D2924" s="5" t="s">
        <v>13</v>
      </c>
      <c r="E2924" s="5">
        <v>8.7547393E7</v>
      </c>
      <c r="F2924" s="5" t="s">
        <v>39</v>
      </c>
      <c r="G2924" s="5" t="s">
        <v>15</v>
      </c>
      <c r="H2924" s="5" t="s">
        <v>51</v>
      </c>
      <c r="I2924" s="6" t="s">
        <v>17</v>
      </c>
      <c r="J2924" s="7" t="s">
        <v>18</v>
      </c>
      <c r="K2924" s="7" t="s">
        <v>19</v>
      </c>
      <c r="L2924" s="8">
        <v>1.772635651591E12</v>
      </c>
      <c r="M2924" s="9"/>
      <c r="N2924" s="10"/>
      <c r="O2924" s="10"/>
      <c r="P2924" s="10"/>
      <c r="Q2924" s="10"/>
      <c r="R2924" s="10"/>
      <c r="S2924" s="10"/>
      <c r="T2924" s="10"/>
      <c r="U2924" s="10"/>
      <c r="V2924" s="10"/>
    </row>
    <row r="2925" ht="22.5" customHeight="1">
      <c r="A2925" s="5">
        <v>2.06985874565E11</v>
      </c>
      <c r="B2925" s="5" t="s">
        <v>2733</v>
      </c>
      <c r="C2925" s="5">
        <v>51920060136</v>
      </c>
      <c r="D2925" s="5" t="s">
        <v>13</v>
      </c>
      <c r="E2925" s="5">
        <v>8.7547393E7</v>
      </c>
      <c r="F2925" s="5" t="s">
        <v>14</v>
      </c>
      <c r="G2925" s="5" t="s">
        <v>15</v>
      </c>
      <c r="H2925" s="5" t="s">
        <v>51</v>
      </c>
      <c r="I2925" s="6" t="s">
        <v>17</v>
      </c>
      <c r="J2925" s="7" t="s">
        <v>18</v>
      </c>
      <c r="K2925" s="7" t="s">
        <v>19</v>
      </c>
      <c r="L2925" s="8">
        <v>1.772636334025E12</v>
      </c>
      <c r="M2925" s="9"/>
      <c r="N2925" s="10"/>
      <c r="O2925" s="10"/>
      <c r="P2925" s="10"/>
      <c r="Q2925" s="10"/>
      <c r="R2925" s="10"/>
      <c r="S2925" s="10"/>
      <c r="T2925" s="10"/>
      <c r="U2925" s="10"/>
      <c r="V2925" s="10"/>
    </row>
    <row r="2926" ht="22.5" customHeight="1">
      <c r="A2926" s="5">
        <v>2.06987935382E11</v>
      </c>
      <c r="B2926" s="5" t="s">
        <v>2734</v>
      </c>
      <c r="C2926" s="5">
        <v>51998190038</v>
      </c>
      <c r="D2926" s="5" t="s">
        <v>13</v>
      </c>
      <c r="E2926" s="5">
        <v>8.0566583E7</v>
      </c>
      <c r="F2926" s="5" t="s">
        <v>510</v>
      </c>
      <c r="G2926" s="5" t="s">
        <v>15</v>
      </c>
      <c r="H2926" s="5" t="s">
        <v>29</v>
      </c>
      <c r="I2926" s="6" t="s">
        <v>17</v>
      </c>
      <c r="J2926" s="7" t="s">
        <v>18</v>
      </c>
      <c r="K2926" s="7" t="s">
        <v>19</v>
      </c>
      <c r="L2926" s="8">
        <v>1.772636357363E12</v>
      </c>
      <c r="M2926" s="9"/>
      <c r="N2926" s="10"/>
      <c r="O2926" s="10"/>
      <c r="P2926" s="10"/>
      <c r="Q2926" s="10"/>
      <c r="R2926" s="10"/>
      <c r="S2926" s="10"/>
      <c r="T2926" s="10"/>
      <c r="U2926" s="10"/>
      <c r="V2926" s="10"/>
    </row>
    <row r="2927" ht="22.5" customHeight="1">
      <c r="A2927" s="5">
        <v>2.0700114947E11</v>
      </c>
      <c r="B2927" s="5" t="s">
        <v>2735</v>
      </c>
      <c r="C2927" s="5">
        <v>51943478324</v>
      </c>
      <c r="D2927" s="5" t="s">
        <v>13</v>
      </c>
      <c r="E2927" s="5">
        <v>8.7547393E7</v>
      </c>
      <c r="F2927" s="5" t="s">
        <v>28</v>
      </c>
      <c r="G2927" s="5" t="s">
        <v>15</v>
      </c>
      <c r="H2927" s="5" t="s">
        <v>51</v>
      </c>
      <c r="I2927" s="6"/>
      <c r="J2927" s="7" t="s">
        <v>18</v>
      </c>
      <c r="K2927" s="7" t="s">
        <v>19</v>
      </c>
      <c r="L2927" s="8">
        <v>1.772639161724E12</v>
      </c>
      <c r="M2927" s="9"/>
      <c r="N2927" s="10"/>
      <c r="O2927" s="10"/>
      <c r="P2927" s="10"/>
      <c r="Q2927" s="10"/>
      <c r="R2927" s="10"/>
      <c r="S2927" s="10"/>
      <c r="T2927" s="10"/>
      <c r="U2927" s="10"/>
      <c r="V2927" s="10"/>
    </row>
    <row r="2928" ht="22.5" customHeight="1">
      <c r="A2928" s="5">
        <v>2.07007218516E11</v>
      </c>
      <c r="B2928" s="5" t="s">
        <v>2736</v>
      </c>
      <c r="C2928" s="5">
        <v>51965175042</v>
      </c>
      <c r="D2928" s="5" t="s">
        <v>13</v>
      </c>
      <c r="E2928" s="5">
        <v>8.7547393E7</v>
      </c>
      <c r="F2928" s="5" t="s">
        <v>39</v>
      </c>
      <c r="G2928" s="5">
        <v>50</v>
      </c>
      <c r="H2928" s="5" t="s">
        <v>51</v>
      </c>
      <c r="I2928" s="6" t="s">
        <v>17</v>
      </c>
      <c r="J2928" s="7" t="s">
        <v>18</v>
      </c>
      <c r="K2928" s="7" t="s">
        <v>116</v>
      </c>
      <c r="L2928" s="8">
        <v>1.772639417993E12</v>
      </c>
      <c r="M2928" s="9"/>
      <c r="N2928" s="10"/>
      <c r="O2928" s="10"/>
      <c r="P2928" s="10"/>
      <c r="Q2928" s="10"/>
      <c r="R2928" s="10"/>
      <c r="S2928" s="10"/>
      <c r="T2928" s="10"/>
      <c r="U2928" s="10"/>
      <c r="V2928" s="10"/>
    </row>
    <row r="2929" ht="22.5" customHeight="1">
      <c r="A2929" s="5">
        <v>2.07006733186E11</v>
      </c>
      <c r="B2929" s="5" t="s">
        <v>2737</v>
      </c>
      <c r="C2929" s="5">
        <v>51907422985</v>
      </c>
      <c r="D2929" s="5" t="s">
        <v>13</v>
      </c>
      <c r="E2929" s="5">
        <v>8.7547393E7</v>
      </c>
      <c r="F2929" s="5" t="s">
        <v>714</v>
      </c>
      <c r="G2929" s="5" t="s">
        <v>15</v>
      </c>
      <c r="H2929" s="5" t="s">
        <v>24</v>
      </c>
      <c r="I2929" s="6" t="s">
        <v>17</v>
      </c>
      <c r="J2929" s="7" t="s">
        <v>18</v>
      </c>
      <c r="K2929" s="7" t="s">
        <v>19</v>
      </c>
      <c r="L2929" s="8">
        <v>1.772639594071E12</v>
      </c>
      <c r="M2929" s="9"/>
      <c r="N2929" s="10"/>
      <c r="O2929" s="10"/>
      <c r="P2929" s="10"/>
      <c r="Q2929" s="10"/>
      <c r="R2929" s="10"/>
      <c r="S2929" s="10"/>
      <c r="T2929" s="10"/>
      <c r="U2929" s="10"/>
      <c r="V2929" s="10"/>
    </row>
    <row r="2930" ht="22.5" customHeight="1">
      <c r="A2930" s="5">
        <v>2.07009985706E11</v>
      </c>
      <c r="B2930" s="5" t="s">
        <v>2738</v>
      </c>
      <c r="C2930" s="5">
        <v>5514982326215</v>
      </c>
      <c r="D2930" s="5" t="s">
        <v>13</v>
      </c>
      <c r="E2930" s="5">
        <v>7.9360573E7</v>
      </c>
      <c r="F2930" s="5" t="s">
        <v>14</v>
      </c>
      <c r="G2930" s="5" t="s">
        <v>32</v>
      </c>
      <c r="H2930" s="5" t="s">
        <v>16</v>
      </c>
      <c r="I2930" s="6" t="s">
        <v>17</v>
      </c>
      <c r="J2930" s="7" t="s">
        <v>34</v>
      </c>
      <c r="K2930" s="7"/>
      <c r="L2930" s="8">
        <v>1.772640121915E12</v>
      </c>
      <c r="M2930" s="9"/>
      <c r="N2930" s="10"/>
      <c r="O2930" s="10"/>
      <c r="P2930" s="10"/>
      <c r="Q2930" s="10"/>
      <c r="R2930" s="10"/>
      <c r="S2930" s="10"/>
      <c r="T2930" s="10"/>
      <c r="U2930" s="10"/>
      <c r="V2930" s="10"/>
    </row>
    <row r="2931" ht="22.5" customHeight="1">
      <c r="A2931" s="5">
        <v>2.01668506412E11</v>
      </c>
      <c r="B2931" s="5" t="s">
        <v>850</v>
      </c>
      <c r="C2931" s="5">
        <v>51985574958</v>
      </c>
      <c r="D2931" s="5" t="s">
        <v>13</v>
      </c>
      <c r="E2931" s="5">
        <v>8.0566583E7</v>
      </c>
      <c r="F2931" s="5" t="s">
        <v>14</v>
      </c>
      <c r="G2931" s="5" t="s">
        <v>15</v>
      </c>
      <c r="H2931" s="5" t="s">
        <v>29</v>
      </c>
      <c r="I2931" s="6" t="s">
        <v>17</v>
      </c>
      <c r="J2931" s="7" t="s">
        <v>34</v>
      </c>
      <c r="K2931" s="7"/>
      <c r="L2931" s="8">
        <v>1.772640620301E12</v>
      </c>
      <c r="M2931" s="9"/>
      <c r="N2931" s="10"/>
      <c r="O2931" s="10"/>
      <c r="P2931" s="10"/>
      <c r="Q2931" s="10"/>
      <c r="R2931" s="10"/>
      <c r="S2931" s="10"/>
      <c r="T2931" s="10"/>
      <c r="U2931" s="10"/>
      <c r="V2931" s="10"/>
    </row>
    <row r="2932" ht="22.5" customHeight="1">
      <c r="A2932" s="5">
        <v>2.07010942502E11</v>
      </c>
      <c r="B2932" s="5" t="s">
        <v>2739</v>
      </c>
      <c r="C2932" s="5">
        <v>51940982902</v>
      </c>
      <c r="D2932" s="5" t="s">
        <v>13</v>
      </c>
      <c r="E2932" s="5">
        <v>8.7547393E7</v>
      </c>
      <c r="F2932" s="5" t="s">
        <v>28</v>
      </c>
      <c r="G2932" s="5" t="s">
        <v>15</v>
      </c>
      <c r="H2932" s="5" t="s">
        <v>24</v>
      </c>
      <c r="I2932" s="6"/>
      <c r="J2932" s="7" t="s">
        <v>18</v>
      </c>
      <c r="K2932" s="7" t="s">
        <v>19</v>
      </c>
      <c r="L2932" s="8">
        <v>1.772641313338E12</v>
      </c>
      <c r="M2932" s="9"/>
      <c r="N2932" s="10"/>
      <c r="O2932" s="10"/>
      <c r="P2932" s="10"/>
      <c r="Q2932" s="10"/>
      <c r="R2932" s="10"/>
      <c r="S2932" s="10"/>
      <c r="T2932" s="10"/>
      <c r="U2932" s="10"/>
      <c r="V2932" s="10"/>
    </row>
    <row r="2933" ht="22.5" customHeight="1">
      <c r="A2933" s="5">
        <v>2.07007437185E11</v>
      </c>
      <c r="B2933" s="5" t="s">
        <v>2740</v>
      </c>
      <c r="C2933" s="5">
        <v>51955449107</v>
      </c>
      <c r="D2933" s="5" t="s">
        <v>13</v>
      </c>
      <c r="E2933" s="5">
        <v>8.7547393E7</v>
      </c>
      <c r="F2933" s="5"/>
      <c r="G2933" s="5" t="s">
        <v>15</v>
      </c>
      <c r="H2933" s="5" t="s">
        <v>33</v>
      </c>
      <c r="I2933" s="6" t="s">
        <v>17</v>
      </c>
      <c r="J2933" s="7" t="s">
        <v>18</v>
      </c>
      <c r="K2933" s="7" t="s">
        <v>19</v>
      </c>
      <c r="L2933" s="8">
        <v>1.772641527072E12</v>
      </c>
      <c r="M2933" s="9"/>
      <c r="N2933" s="10"/>
      <c r="O2933" s="10"/>
      <c r="P2933" s="10"/>
      <c r="Q2933" s="10"/>
      <c r="R2933" s="10"/>
      <c r="S2933" s="10"/>
      <c r="T2933" s="10"/>
      <c r="U2933" s="10"/>
      <c r="V2933" s="10"/>
    </row>
    <row r="2934" ht="22.5" customHeight="1">
      <c r="A2934" s="5">
        <v>1.37636973962E11</v>
      </c>
      <c r="B2934" s="5" t="s">
        <v>2741</v>
      </c>
      <c r="C2934" s="5">
        <v>51929366348</v>
      </c>
      <c r="D2934" s="5" t="s">
        <v>13</v>
      </c>
      <c r="E2934" s="5"/>
      <c r="F2934" s="5" t="s">
        <v>510</v>
      </c>
      <c r="G2934" s="5">
        <v>50</v>
      </c>
      <c r="H2934" s="5" t="s">
        <v>350</v>
      </c>
      <c r="I2934" s="6" t="s">
        <v>17</v>
      </c>
      <c r="J2934" s="7" t="s">
        <v>34</v>
      </c>
      <c r="K2934" s="7"/>
      <c r="L2934" s="8">
        <v>1.772643673863E12</v>
      </c>
      <c r="M2934" s="9"/>
      <c r="N2934" s="10"/>
      <c r="O2934" s="10"/>
      <c r="P2934" s="10"/>
      <c r="Q2934" s="10"/>
      <c r="R2934" s="10"/>
      <c r="S2934" s="10"/>
      <c r="T2934" s="10"/>
      <c r="U2934" s="10"/>
      <c r="V2934" s="10"/>
    </row>
    <row r="2935" ht="22.5" customHeight="1">
      <c r="A2935" s="5">
        <v>2.07020938406E11</v>
      </c>
      <c r="B2935" s="5" t="s">
        <v>2742</v>
      </c>
      <c r="C2935" s="5">
        <v>5588996490997</v>
      </c>
      <c r="D2935" s="5" t="s">
        <v>103</v>
      </c>
      <c r="E2935" s="5">
        <v>7.9360573E7</v>
      </c>
      <c r="F2935" s="5" t="s">
        <v>39</v>
      </c>
      <c r="G2935" s="5" t="s">
        <v>79</v>
      </c>
      <c r="H2935" s="5" t="s">
        <v>114</v>
      </c>
      <c r="I2935" s="6" t="s">
        <v>148</v>
      </c>
      <c r="J2935" s="7" t="s">
        <v>34</v>
      </c>
      <c r="K2935" s="7"/>
      <c r="L2935" s="8">
        <v>1.772644166719E12</v>
      </c>
      <c r="M2935" s="9"/>
      <c r="N2935" s="10"/>
      <c r="O2935" s="10"/>
      <c r="P2935" s="10"/>
      <c r="Q2935" s="10"/>
      <c r="R2935" s="10"/>
      <c r="S2935" s="10"/>
      <c r="T2935" s="10"/>
      <c r="U2935" s="10"/>
      <c r="V2935" s="10"/>
    </row>
    <row r="2936" ht="22.5" customHeight="1">
      <c r="A2936" s="5">
        <v>2.07021828972E11</v>
      </c>
      <c r="B2936" s="5" t="s">
        <v>2743</v>
      </c>
      <c r="C2936" s="5">
        <v>51999663286</v>
      </c>
      <c r="D2936" s="5" t="s">
        <v>38</v>
      </c>
      <c r="E2936" s="5">
        <v>8.0566583E7</v>
      </c>
      <c r="F2936" s="5"/>
      <c r="G2936" s="5"/>
      <c r="H2936" s="5"/>
      <c r="I2936" s="6"/>
      <c r="J2936" s="7" t="s">
        <v>34</v>
      </c>
      <c r="K2936" s="7"/>
      <c r="L2936" s="8">
        <v>1.772644682724E12</v>
      </c>
      <c r="M2936" s="9"/>
      <c r="N2936" s="10"/>
      <c r="O2936" s="10"/>
      <c r="P2936" s="10"/>
      <c r="Q2936" s="10"/>
      <c r="R2936" s="10"/>
      <c r="S2936" s="10"/>
      <c r="T2936" s="10"/>
      <c r="U2936" s="10"/>
      <c r="V2936" s="10"/>
    </row>
    <row r="2937" ht="22.5" customHeight="1">
      <c r="A2937" s="5">
        <v>2.07019168571E11</v>
      </c>
      <c r="B2937" s="5" t="s">
        <v>2744</v>
      </c>
      <c r="C2937" s="5">
        <v>5561995033526</v>
      </c>
      <c r="D2937" s="5" t="s">
        <v>13</v>
      </c>
      <c r="E2937" s="5">
        <v>7.9360573E7</v>
      </c>
      <c r="F2937" s="5" t="s">
        <v>65</v>
      </c>
      <c r="G2937" s="5" t="s">
        <v>15</v>
      </c>
      <c r="H2937" s="5" t="s">
        <v>16</v>
      </c>
      <c r="I2937" s="6" t="s">
        <v>17</v>
      </c>
      <c r="J2937" s="7" t="s">
        <v>34</v>
      </c>
      <c r="K2937" s="7"/>
      <c r="L2937" s="8">
        <v>1.772644923449E12</v>
      </c>
      <c r="M2937" s="9"/>
      <c r="N2937" s="10"/>
      <c r="O2937" s="10"/>
      <c r="P2937" s="10"/>
      <c r="Q2937" s="10"/>
      <c r="R2937" s="10"/>
      <c r="S2937" s="10"/>
      <c r="T2937" s="10"/>
      <c r="U2937" s="10"/>
      <c r="V2937" s="10"/>
    </row>
    <row r="2938" ht="22.5" customHeight="1">
      <c r="A2938" s="5">
        <v>2.07027778306E11</v>
      </c>
      <c r="B2938" s="5" t="s">
        <v>2745</v>
      </c>
      <c r="C2938" s="5">
        <v>5598999056997</v>
      </c>
      <c r="D2938" s="5" t="s">
        <v>13</v>
      </c>
      <c r="E2938" s="5">
        <v>7.9360573E7</v>
      </c>
      <c r="F2938" s="5" t="s">
        <v>93</v>
      </c>
      <c r="G2938" s="5" t="s">
        <v>15</v>
      </c>
      <c r="H2938" s="5" t="s">
        <v>51</v>
      </c>
      <c r="I2938" s="6" t="s">
        <v>17</v>
      </c>
      <c r="J2938" s="7" t="s">
        <v>34</v>
      </c>
      <c r="K2938" s="7"/>
      <c r="L2938" s="8">
        <v>1.772645466142E12</v>
      </c>
      <c r="M2938" s="9"/>
      <c r="N2938" s="10"/>
      <c r="O2938" s="10"/>
      <c r="P2938" s="10"/>
      <c r="Q2938" s="10"/>
      <c r="R2938" s="10"/>
      <c r="S2938" s="10"/>
      <c r="T2938" s="10"/>
      <c r="U2938" s="10"/>
      <c r="V2938" s="10"/>
    </row>
    <row r="2939" ht="22.5" customHeight="1">
      <c r="A2939" s="5">
        <v>2.07018758424E11</v>
      </c>
      <c r="B2939" s="5" t="s">
        <v>2746</v>
      </c>
      <c r="C2939" s="5">
        <v>553137631783</v>
      </c>
      <c r="D2939" s="5" t="s">
        <v>38</v>
      </c>
      <c r="E2939" s="5">
        <v>7.9360573E7</v>
      </c>
      <c r="F2939" s="5"/>
      <c r="G2939" s="5"/>
      <c r="H2939" s="5"/>
      <c r="I2939" s="6"/>
      <c r="J2939" s="7" t="s">
        <v>34</v>
      </c>
      <c r="K2939" s="7"/>
      <c r="L2939" s="8">
        <v>1.772646349979E12</v>
      </c>
      <c r="M2939" s="9"/>
      <c r="N2939" s="10"/>
      <c r="O2939" s="10"/>
      <c r="P2939" s="10"/>
      <c r="Q2939" s="10"/>
      <c r="R2939" s="10"/>
      <c r="S2939" s="10"/>
      <c r="T2939" s="10"/>
      <c r="U2939" s="10"/>
      <c r="V2939" s="10"/>
    </row>
    <row r="2940" ht="22.5" customHeight="1">
      <c r="A2940" s="5">
        <v>2.07028401261E11</v>
      </c>
      <c r="B2940" s="5" t="s">
        <v>2747</v>
      </c>
      <c r="C2940" s="5">
        <v>5511988294423</v>
      </c>
      <c r="D2940" s="5" t="s">
        <v>13</v>
      </c>
      <c r="E2940" s="5">
        <v>7.9360573E7</v>
      </c>
      <c r="F2940" s="5" t="s">
        <v>93</v>
      </c>
      <c r="G2940" s="5" t="s">
        <v>32</v>
      </c>
      <c r="H2940" s="5" t="s">
        <v>51</v>
      </c>
      <c r="I2940" s="6" t="s">
        <v>17</v>
      </c>
      <c r="J2940" s="7" t="s">
        <v>34</v>
      </c>
      <c r="K2940" s="7"/>
      <c r="L2940" s="8">
        <v>1.772646409923E12</v>
      </c>
      <c r="M2940" s="9"/>
      <c r="N2940" s="10"/>
      <c r="O2940" s="10"/>
      <c r="P2940" s="10"/>
      <c r="Q2940" s="10"/>
      <c r="R2940" s="10"/>
      <c r="S2940" s="10"/>
      <c r="T2940" s="10"/>
      <c r="U2940" s="10"/>
      <c r="V2940" s="10"/>
    </row>
    <row r="2941" ht="22.5" customHeight="1">
      <c r="A2941" s="5">
        <v>2.07077221662E11</v>
      </c>
      <c r="B2941" s="5" t="s">
        <v>2748</v>
      </c>
      <c r="C2941" s="5">
        <v>5588981117873</v>
      </c>
      <c r="D2941" s="5" t="s">
        <v>13</v>
      </c>
      <c r="E2941" s="5">
        <v>7.9360573E7</v>
      </c>
      <c r="F2941" s="5" t="s">
        <v>39</v>
      </c>
      <c r="G2941" s="5" t="s">
        <v>32</v>
      </c>
      <c r="H2941" s="5" t="s">
        <v>165</v>
      </c>
      <c r="I2941" s="6" t="s">
        <v>148</v>
      </c>
      <c r="J2941" s="7" t="s">
        <v>34</v>
      </c>
      <c r="K2941" s="7"/>
      <c r="L2941" s="8">
        <v>1.772648582285E12</v>
      </c>
      <c r="M2941" s="9"/>
      <c r="N2941" s="10"/>
      <c r="O2941" s="10"/>
      <c r="P2941" s="10"/>
      <c r="Q2941" s="10"/>
      <c r="R2941" s="10"/>
      <c r="S2941" s="10"/>
      <c r="T2941" s="10"/>
      <c r="U2941" s="10"/>
      <c r="V2941" s="10"/>
    </row>
    <row r="2942" ht="22.5" customHeight="1">
      <c r="A2942" s="5">
        <v>2.07044585108E11</v>
      </c>
      <c r="B2942" s="5" t="s">
        <v>2749</v>
      </c>
      <c r="C2942" s="5">
        <v>51958063263</v>
      </c>
      <c r="D2942" s="5" t="s">
        <v>13</v>
      </c>
      <c r="E2942" s="5">
        <v>8.0566583E7</v>
      </c>
      <c r="F2942" s="5" t="s">
        <v>82</v>
      </c>
      <c r="G2942" s="5" t="s">
        <v>15</v>
      </c>
      <c r="H2942" s="5" t="s">
        <v>24</v>
      </c>
      <c r="I2942" s="6" t="s">
        <v>17</v>
      </c>
      <c r="J2942" s="7" t="s">
        <v>18</v>
      </c>
      <c r="K2942" s="7" t="s">
        <v>19</v>
      </c>
      <c r="L2942" s="8">
        <v>1.772648826139E12</v>
      </c>
      <c r="M2942" s="9"/>
      <c r="N2942" s="10"/>
      <c r="O2942" s="10"/>
      <c r="P2942" s="10"/>
      <c r="Q2942" s="10"/>
      <c r="R2942" s="10"/>
      <c r="S2942" s="10"/>
      <c r="T2942" s="10"/>
      <c r="U2942" s="10"/>
      <c r="V2942" s="10"/>
    </row>
    <row r="2943" ht="22.5" customHeight="1">
      <c r="A2943" s="5">
        <v>2.07065134907E11</v>
      </c>
      <c r="B2943" s="5" t="s">
        <v>2750</v>
      </c>
      <c r="C2943" s="5">
        <v>51999590257</v>
      </c>
      <c r="D2943" s="5" t="s">
        <v>38</v>
      </c>
      <c r="E2943" s="5">
        <v>8.0566583E7</v>
      </c>
      <c r="F2943" s="5" t="s">
        <v>93</v>
      </c>
      <c r="G2943" s="5" t="s">
        <v>15</v>
      </c>
      <c r="H2943" s="5" t="s">
        <v>352</v>
      </c>
      <c r="I2943" s="6" t="s">
        <v>148</v>
      </c>
      <c r="J2943" s="7" t="s">
        <v>177</v>
      </c>
      <c r="K2943" s="7" t="s">
        <v>36</v>
      </c>
      <c r="L2943" s="8">
        <v>1.772649454208E12</v>
      </c>
      <c r="M2943" s="9"/>
      <c r="N2943" s="10"/>
      <c r="O2943" s="10"/>
      <c r="P2943" s="10"/>
      <c r="Q2943" s="10"/>
      <c r="R2943" s="10"/>
      <c r="S2943" s="10"/>
      <c r="T2943" s="10"/>
      <c r="U2943" s="10"/>
      <c r="V2943" s="10"/>
    </row>
    <row r="2944" ht="22.5" customHeight="1">
      <c r="A2944" s="5">
        <v>2.07068905501E11</v>
      </c>
      <c r="B2944" s="5" t="s">
        <v>2751</v>
      </c>
      <c r="C2944" s="5">
        <v>5519981127902</v>
      </c>
      <c r="D2944" s="5" t="s">
        <v>22</v>
      </c>
      <c r="E2944" s="5">
        <v>7.9360573E7</v>
      </c>
      <c r="F2944" s="5" t="s">
        <v>28</v>
      </c>
      <c r="G2944" s="5" t="s">
        <v>44</v>
      </c>
      <c r="H2944" s="5" t="s">
        <v>16</v>
      </c>
      <c r="I2944" s="6" t="s">
        <v>17</v>
      </c>
      <c r="J2944" s="7" t="s">
        <v>34</v>
      </c>
      <c r="K2944" s="7"/>
      <c r="L2944" s="8">
        <v>1.772650607025E12</v>
      </c>
      <c r="M2944" s="9"/>
      <c r="N2944" s="10"/>
      <c r="O2944" s="10"/>
      <c r="P2944" s="10"/>
      <c r="Q2944" s="10"/>
      <c r="R2944" s="10"/>
      <c r="S2944" s="10"/>
      <c r="T2944" s="10"/>
      <c r="U2944" s="10"/>
      <c r="V2944" s="10"/>
    </row>
    <row r="2945" ht="22.5" customHeight="1">
      <c r="A2945" s="5">
        <v>2.07071464313E11</v>
      </c>
      <c r="B2945" s="5" t="s">
        <v>2752</v>
      </c>
      <c r="C2945" s="5">
        <v>51937630432</v>
      </c>
      <c r="D2945" s="5" t="s">
        <v>13</v>
      </c>
      <c r="E2945" s="5">
        <v>8.7547393E7</v>
      </c>
      <c r="F2945" s="5" t="s">
        <v>28</v>
      </c>
      <c r="G2945" s="5" t="s">
        <v>32</v>
      </c>
      <c r="H2945" s="5" t="s">
        <v>51</v>
      </c>
      <c r="I2945" s="6" t="s">
        <v>36</v>
      </c>
      <c r="J2945" s="7" t="s">
        <v>124</v>
      </c>
      <c r="K2945" s="7" t="s">
        <v>2753</v>
      </c>
      <c r="L2945" s="8">
        <v>1.772653256151E12</v>
      </c>
      <c r="M2945" s="9"/>
      <c r="N2945" s="10"/>
      <c r="O2945" s="10"/>
      <c r="P2945" s="10"/>
      <c r="Q2945" s="10"/>
      <c r="R2945" s="10"/>
      <c r="S2945" s="10"/>
      <c r="T2945" s="10"/>
      <c r="U2945" s="10"/>
      <c r="V2945" s="10"/>
    </row>
    <row r="2946" ht="22.5" customHeight="1">
      <c r="A2946" s="5">
        <v>2.07070083608E11</v>
      </c>
      <c r="B2946" s="5" t="s">
        <v>2754</v>
      </c>
      <c r="C2946" s="5">
        <v>51923178105</v>
      </c>
      <c r="D2946" s="5" t="s">
        <v>13</v>
      </c>
      <c r="E2946" s="5">
        <v>8.7547393E7</v>
      </c>
      <c r="F2946" s="5" t="s">
        <v>259</v>
      </c>
      <c r="G2946" s="5" t="s">
        <v>32</v>
      </c>
      <c r="H2946" s="5" t="s">
        <v>16</v>
      </c>
      <c r="I2946" s="6" t="s">
        <v>17</v>
      </c>
      <c r="J2946" s="7" t="s">
        <v>18</v>
      </c>
      <c r="K2946" s="7" t="s">
        <v>19</v>
      </c>
      <c r="L2946" s="8">
        <v>1.77265329293E12</v>
      </c>
      <c r="M2946" s="9"/>
      <c r="N2946" s="10"/>
      <c r="O2946" s="10"/>
      <c r="P2946" s="10"/>
      <c r="Q2946" s="10"/>
      <c r="R2946" s="10"/>
      <c r="S2946" s="10"/>
      <c r="T2946" s="10"/>
      <c r="U2946" s="10"/>
      <c r="V2946" s="10"/>
    </row>
    <row r="2947" ht="22.5" customHeight="1">
      <c r="A2947" s="5">
        <v>2.07070595708E11</v>
      </c>
      <c r="B2947" s="5" t="s">
        <v>2755</v>
      </c>
      <c r="C2947" s="5">
        <v>51955660966</v>
      </c>
      <c r="D2947" s="5" t="s">
        <v>13</v>
      </c>
      <c r="E2947" s="5">
        <v>8.0566583E7</v>
      </c>
      <c r="F2947" s="5" t="s">
        <v>65</v>
      </c>
      <c r="G2947" s="5" t="s">
        <v>32</v>
      </c>
      <c r="H2947" s="5" t="s">
        <v>66</v>
      </c>
      <c r="I2947" s="6" t="s">
        <v>17</v>
      </c>
      <c r="J2947" s="7" t="s">
        <v>18</v>
      </c>
      <c r="K2947" s="7" t="s">
        <v>19</v>
      </c>
      <c r="L2947" s="8">
        <v>1.772653667308E12</v>
      </c>
      <c r="M2947" s="9"/>
      <c r="N2947" s="10"/>
      <c r="O2947" s="10"/>
      <c r="P2947" s="10"/>
      <c r="Q2947" s="10"/>
      <c r="R2947" s="10"/>
      <c r="S2947" s="10"/>
      <c r="T2947" s="10"/>
      <c r="U2947" s="10"/>
      <c r="V2947" s="10"/>
    </row>
    <row r="2948" ht="22.5" customHeight="1">
      <c r="A2948" s="5">
        <v>2.07088878636E11</v>
      </c>
      <c r="B2948" s="5" t="s">
        <v>2756</v>
      </c>
      <c r="C2948" s="5">
        <v>5545999021900</v>
      </c>
      <c r="D2948" s="5" t="s">
        <v>13</v>
      </c>
      <c r="E2948" s="5">
        <v>7.9360573E7</v>
      </c>
      <c r="F2948" s="5" t="s">
        <v>39</v>
      </c>
      <c r="G2948" s="5" t="s">
        <v>32</v>
      </c>
      <c r="H2948" s="5" t="s">
        <v>114</v>
      </c>
      <c r="I2948" s="6" t="s">
        <v>148</v>
      </c>
      <c r="J2948" s="7" t="s">
        <v>34</v>
      </c>
      <c r="K2948" s="7"/>
      <c r="L2948" s="8">
        <v>1.772656801819E12</v>
      </c>
      <c r="M2948" s="9"/>
      <c r="N2948" s="10"/>
      <c r="O2948" s="10"/>
      <c r="P2948" s="10"/>
      <c r="Q2948" s="10"/>
      <c r="R2948" s="10"/>
      <c r="S2948" s="10"/>
      <c r="T2948" s="10"/>
      <c r="U2948" s="10"/>
      <c r="V2948" s="10"/>
    </row>
    <row r="2949" ht="22.5" customHeight="1">
      <c r="A2949" s="5">
        <v>2.07095858224E11</v>
      </c>
      <c r="B2949" s="5" t="s">
        <v>2757</v>
      </c>
      <c r="C2949" s="5">
        <v>51935265053</v>
      </c>
      <c r="D2949" s="5" t="s">
        <v>38</v>
      </c>
      <c r="E2949" s="5">
        <v>8.0566583E7</v>
      </c>
      <c r="F2949" s="5" t="s">
        <v>28</v>
      </c>
      <c r="G2949" s="5" t="s">
        <v>32</v>
      </c>
      <c r="H2949" s="5" t="s">
        <v>16</v>
      </c>
      <c r="I2949" s="6" t="s">
        <v>17</v>
      </c>
      <c r="J2949" s="7" t="s">
        <v>18</v>
      </c>
      <c r="K2949" s="7" t="s">
        <v>19</v>
      </c>
      <c r="L2949" s="8">
        <v>1.772656818979E12</v>
      </c>
      <c r="M2949" s="9"/>
      <c r="N2949" s="10"/>
      <c r="O2949" s="10"/>
      <c r="P2949" s="10"/>
      <c r="Q2949" s="10"/>
      <c r="R2949" s="10"/>
      <c r="S2949" s="10"/>
      <c r="T2949" s="10"/>
      <c r="U2949" s="10"/>
      <c r="V2949" s="10"/>
    </row>
    <row r="2950" ht="22.5" customHeight="1">
      <c r="A2950" s="5">
        <v>2.07095858224E11</v>
      </c>
      <c r="B2950" s="5" t="s">
        <v>2757</v>
      </c>
      <c r="C2950" s="5">
        <v>51935265053</v>
      </c>
      <c r="D2950" s="5" t="s">
        <v>13</v>
      </c>
      <c r="E2950" s="5">
        <v>8.0566583E7</v>
      </c>
      <c r="F2950" s="5" t="s">
        <v>28</v>
      </c>
      <c r="G2950" s="5" t="s">
        <v>32</v>
      </c>
      <c r="H2950" s="5" t="s">
        <v>114</v>
      </c>
      <c r="I2950" s="6" t="s">
        <v>17</v>
      </c>
      <c r="J2950" s="7" t="s">
        <v>18</v>
      </c>
      <c r="K2950" s="7" t="s">
        <v>19</v>
      </c>
      <c r="L2950" s="8">
        <v>1.772657131526E12</v>
      </c>
      <c r="M2950" s="9"/>
      <c r="N2950" s="10"/>
      <c r="O2950" s="10"/>
      <c r="P2950" s="10"/>
      <c r="Q2950" s="10"/>
      <c r="R2950" s="10"/>
      <c r="S2950" s="10"/>
      <c r="T2950" s="10"/>
      <c r="U2950" s="10"/>
      <c r="V2950" s="10"/>
    </row>
    <row r="2951" ht="22.5" customHeight="1">
      <c r="A2951" s="5">
        <v>2.07099861279E11</v>
      </c>
      <c r="B2951" s="5" t="s">
        <v>2758</v>
      </c>
      <c r="C2951" s="5">
        <v>51952111716</v>
      </c>
      <c r="D2951" s="5" t="s">
        <v>13</v>
      </c>
      <c r="E2951" s="5">
        <v>8.0566583E7</v>
      </c>
      <c r="F2951" s="5" t="s">
        <v>39</v>
      </c>
      <c r="G2951" s="5" t="s">
        <v>15</v>
      </c>
      <c r="H2951" s="5" t="s">
        <v>51</v>
      </c>
      <c r="I2951" s="6" t="s">
        <v>17</v>
      </c>
      <c r="J2951" s="7"/>
      <c r="K2951" s="7"/>
      <c r="L2951" s="8">
        <v>1.772659419313E12</v>
      </c>
      <c r="M2951" s="9"/>
      <c r="N2951" s="10"/>
      <c r="O2951" s="10"/>
      <c r="P2951" s="10"/>
      <c r="Q2951" s="10"/>
      <c r="R2951" s="10"/>
      <c r="S2951" s="10"/>
      <c r="T2951" s="10"/>
      <c r="U2951" s="10"/>
      <c r="V2951" s="10"/>
    </row>
    <row r="2952" ht="22.5" customHeight="1">
      <c r="A2952" s="5">
        <v>2.07094275682E11</v>
      </c>
      <c r="B2952" s="5" t="s">
        <v>2759</v>
      </c>
      <c r="C2952" s="5">
        <v>51933476502</v>
      </c>
      <c r="D2952" s="5" t="s">
        <v>13</v>
      </c>
      <c r="E2952" s="5">
        <v>8.7547393E7</v>
      </c>
      <c r="F2952" s="5" t="s">
        <v>28</v>
      </c>
      <c r="G2952" s="5" t="s">
        <v>15</v>
      </c>
      <c r="H2952" s="5" t="s">
        <v>51</v>
      </c>
      <c r="I2952" s="6" t="s">
        <v>63</v>
      </c>
      <c r="J2952" s="7"/>
      <c r="K2952" s="7"/>
      <c r="L2952" s="8">
        <v>1.772660599895E12</v>
      </c>
      <c r="M2952" s="9"/>
      <c r="N2952" s="10"/>
      <c r="O2952" s="10"/>
      <c r="P2952" s="10"/>
      <c r="Q2952" s="10"/>
      <c r="R2952" s="10"/>
      <c r="S2952" s="10"/>
      <c r="T2952" s="10"/>
      <c r="U2952" s="10"/>
      <c r="V2952" s="10"/>
    </row>
    <row r="2953" ht="22.5" customHeight="1">
      <c r="A2953" s="5">
        <v>2.0710296842E11</v>
      </c>
      <c r="B2953" s="5" t="s">
        <v>2760</v>
      </c>
      <c r="C2953" s="5">
        <v>51942610346</v>
      </c>
      <c r="D2953" s="5"/>
      <c r="E2953" s="5"/>
      <c r="F2953" s="5" t="s">
        <v>28</v>
      </c>
      <c r="G2953" s="5" t="s">
        <v>44</v>
      </c>
      <c r="H2953" s="5" t="s">
        <v>100</v>
      </c>
      <c r="I2953" s="6" t="s">
        <v>36</v>
      </c>
      <c r="J2953" s="7"/>
      <c r="K2953" s="7"/>
      <c r="L2953" s="8">
        <v>1.77266162655E12</v>
      </c>
      <c r="M2953" s="9"/>
      <c r="N2953" s="10"/>
      <c r="O2953" s="10"/>
      <c r="P2953" s="10"/>
      <c r="Q2953" s="10"/>
      <c r="R2953" s="10"/>
      <c r="S2953" s="10"/>
      <c r="T2953" s="10"/>
      <c r="U2953" s="10"/>
      <c r="V2953" s="10"/>
    </row>
    <row r="2954" ht="22.5" customHeight="1">
      <c r="A2954" s="5">
        <v>2.07102953124E11</v>
      </c>
      <c r="B2954" s="5" t="s">
        <v>2761</v>
      </c>
      <c r="C2954" s="5">
        <v>51940607810</v>
      </c>
      <c r="D2954" s="5" t="s">
        <v>13</v>
      </c>
      <c r="E2954" s="5">
        <v>8.7547393E7</v>
      </c>
      <c r="F2954" s="5" t="s">
        <v>39</v>
      </c>
      <c r="G2954" s="5" t="s">
        <v>15</v>
      </c>
      <c r="H2954" s="5" t="s">
        <v>66</v>
      </c>
      <c r="I2954" s="6" t="s">
        <v>17</v>
      </c>
      <c r="J2954" s="7"/>
      <c r="K2954" s="7"/>
      <c r="L2954" s="8">
        <v>1.77266189157E12</v>
      </c>
      <c r="M2954" s="9"/>
      <c r="N2954" s="10"/>
      <c r="O2954" s="10"/>
      <c r="P2954" s="10"/>
      <c r="Q2954" s="10"/>
      <c r="R2954" s="10"/>
      <c r="S2954" s="10"/>
      <c r="T2954" s="10"/>
      <c r="U2954" s="10"/>
      <c r="V2954" s="10"/>
    </row>
    <row r="2955" ht="22.5" customHeight="1">
      <c r="A2955" s="5">
        <v>1.64356684313E11</v>
      </c>
      <c r="B2955" s="5" t="s">
        <v>2762</v>
      </c>
      <c r="C2955" s="5">
        <v>51998317400</v>
      </c>
      <c r="D2955" s="5" t="s">
        <v>13</v>
      </c>
      <c r="E2955" s="5">
        <v>8.0566583E7</v>
      </c>
      <c r="F2955" s="5" t="s">
        <v>28</v>
      </c>
      <c r="G2955" s="5" t="s">
        <v>15</v>
      </c>
      <c r="H2955" s="5" t="s">
        <v>51</v>
      </c>
      <c r="I2955" s="6" t="s">
        <v>17</v>
      </c>
      <c r="J2955" s="7" t="s">
        <v>18</v>
      </c>
      <c r="K2955" s="7" t="s">
        <v>2763</v>
      </c>
      <c r="L2955" s="8">
        <v>1.772664492403E12</v>
      </c>
      <c r="M2955" s="9"/>
      <c r="N2955" s="10"/>
      <c r="O2955" s="10"/>
      <c r="P2955" s="10"/>
      <c r="Q2955" s="10"/>
      <c r="R2955" s="10"/>
      <c r="S2955" s="10"/>
      <c r="T2955" s="10"/>
      <c r="U2955" s="10"/>
      <c r="V2955" s="10"/>
    </row>
    <row r="2956" ht="22.5" customHeight="1">
      <c r="A2956" s="5">
        <v>2.07108709295E11</v>
      </c>
      <c r="B2956" s="5" t="s">
        <v>2764</v>
      </c>
      <c r="C2956" s="5">
        <v>51924882187</v>
      </c>
      <c r="D2956" s="5" t="s">
        <v>13</v>
      </c>
      <c r="E2956" s="5">
        <v>8.0566583E7</v>
      </c>
      <c r="F2956" s="5" t="s">
        <v>39</v>
      </c>
      <c r="G2956" s="5" t="s">
        <v>15</v>
      </c>
      <c r="H2956" s="5" t="s">
        <v>51</v>
      </c>
      <c r="I2956" s="6" t="s">
        <v>17</v>
      </c>
      <c r="J2956" s="7"/>
      <c r="K2956" s="7"/>
      <c r="L2956" s="8">
        <v>1.772665356383E12</v>
      </c>
      <c r="M2956" s="9"/>
      <c r="N2956" s="10"/>
      <c r="O2956" s="10"/>
      <c r="P2956" s="10"/>
      <c r="Q2956" s="10"/>
      <c r="R2956" s="10"/>
      <c r="S2956" s="10"/>
      <c r="T2956" s="10"/>
      <c r="U2956" s="10"/>
      <c r="V2956" s="10"/>
    </row>
    <row r="2957" ht="22.5" customHeight="1">
      <c r="A2957" s="5">
        <v>2.0710986656E11</v>
      </c>
      <c r="B2957" s="5" t="s">
        <v>2765</v>
      </c>
      <c r="C2957" s="5">
        <v>51995652888</v>
      </c>
      <c r="D2957" s="5" t="s">
        <v>38</v>
      </c>
      <c r="E2957" s="5">
        <v>8.7547393E7</v>
      </c>
      <c r="F2957" s="5"/>
      <c r="G2957" s="5"/>
      <c r="H2957" s="5"/>
      <c r="I2957" s="6"/>
      <c r="J2957" s="7"/>
      <c r="K2957" s="7"/>
      <c r="L2957" s="8">
        <v>1.772665687494E12</v>
      </c>
      <c r="M2957" s="9"/>
      <c r="N2957" s="10"/>
      <c r="O2957" s="10"/>
      <c r="P2957" s="10"/>
      <c r="Q2957" s="10"/>
      <c r="R2957" s="10"/>
      <c r="S2957" s="10"/>
      <c r="T2957" s="10"/>
      <c r="U2957" s="10"/>
      <c r="V2957" s="10"/>
    </row>
    <row r="2958" ht="22.5" customHeight="1">
      <c r="A2958" s="5">
        <v>2.07108026134E11</v>
      </c>
      <c r="B2958" s="5" t="s">
        <v>2766</v>
      </c>
      <c r="C2958" s="5">
        <v>51914166172</v>
      </c>
      <c r="D2958" s="5" t="s">
        <v>13</v>
      </c>
      <c r="E2958" s="5">
        <v>8.0566583E7</v>
      </c>
      <c r="F2958" s="5" t="s">
        <v>39</v>
      </c>
      <c r="G2958" s="5" t="s">
        <v>15</v>
      </c>
      <c r="H2958" s="5" t="s">
        <v>51</v>
      </c>
      <c r="I2958" s="6" t="s">
        <v>17</v>
      </c>
      <c r="J2958" s="7" t="s">
        <v>18</v>
      </c>
      <c r="K2958" s="7" t="s">
        <v>19</v>
      </c>
      <c r="L2958" s="8">
        <v>1.772666396122E12</v>
      </c>
      <c r="M2958" s="9"/>
      <c r="N2958" s="10"/>
      <c r="O2958" s="10"/>
      <c r="P2958" s="10"/>
      <c r="Q2958" s="10"/>
      <c r="R2958" s="10"/>
      <c r="S2958" s="10"/>
      <c r="T2958" s="10"/>
      <c r="U2958" s="10"/>
      <c r="V2958" s="10"/>
    </row>
    <row r="2959" ht="22.5" customHeight="1">
      <c r="A2959" s="5">
        <v>2.0711136697E11</v>
      </c>
      <c r="B2959" s="5" t="s">
        <v>2767</v>
      </c>
      <c r="C2959" s="5">
        <v>51917321413</v>
      </c>
      <c r="D2959" s="5" t="s">
        <v>13</v>
      </c>
      <c r="E2959" s="5">
        <v>8.0566583E7</v>
      </c>
      <c r="F2959" s="5" t="s">
        <v>65</v>
      </c>
      <c r="G2959" s="5" t="s">
        <v>15</v>
      </c>
      <c r="H2959" s="5" t="s">
        <v>128</v>
      </c>
      <c r="I2959" s="6" t="s">
        <v>17</v>
      </c>
      <c r="J2959" s="7" t="s">
        <v>58</v>
      </c>
      <c r="K2959" s="11" t="s">
        <v>59</v>
      </c>
      <c r="L2959" s="8">
        <v>1.772667628304E12</v>
      </c>
      <c r="M2959" s="9"/>
      <c r="N2959" s="10"/>
      <c r="O2959" s="10"/>
      <c r="P2959" s="10"/>
      <c r="Q2959" s="10"/>
      <c r="R2959" s="10"/>
      <c r="S2959" s="10"/>
      <c r="T2959" s="10"/>
      <c r="U2959" s="10"/>
      <c r="V2959" s="10"/>
    </row>
    <row r="2960" ht="22.5" customHeight="1">
      <c r="A2960" s="5">
        <v>2.04187686796E11</v>
      </c>
      <c r="B2960" s="5" t="s">
        <v>2768</v>
      </c>
      <c r="C2960" s="5">
        <v>51967336675</v>
      </c>
      <c r="D2960" s="5" t="s">
        <v>13</v>
      </c>
      <c r="E2960" s="5">
        <v>8.7547393E7</v>
      </c>
      <c r="F2960" s="5" t="s">
        <v>259</v>
      </c>
      <c r="G2960" s="5" t="s">
        <v>15</v>
      </c>
      <c r="H2960" s="5" t="s">
        <v>16</v>
      </c>
      <c r="I2960" s="6" t="s">
        <v>148</v>
      </c>
      <c r="J2960" s="7" t="s">
        <v>18</v>
      </c>
      <c r="K2960" s="7" t="s">
        <v>19</v>
      </c>
      <c r="L2960" s="8">
        <v>1.772668484748E12</v>
      </c>
      <c r="M2960" s="9"/>
      <c r="N2960" s="10"/>
      <c r="O2960" s="10"/>
      <c r="P2960" s="10"/>
      <c r="Q2960" s="10"/>
      <c r="R2960" s="10"/>
      <c r="S2960" s="10"/>
      <c r="T2960" s="10"/>
      <c r="U2960" s="10"/>
      <c r="V2960" s="10"/>
    </row>
    <row r="2961" ht="22.5" customHeight="1">
      <c r="A2961" s="5">
        <v>2.07121300255E11</v>
      </c>
      <c r="B2961" s="5" t="s">
        <v>2769</v>
      </c>
      <c r="C2961" s="5">
        <v>5521995154498</v>
      </c>
      <c r="D2961" s="5" t="s">
        <v>22</v>
      </c>
      <c r="E2961" s="5">
        <v>7.9360573E7</v>
      </c>
      <c r="F2961" s="5" t="s">
        <v>28</v>
      </c>
      <c r="G2961" s="5" t="s">
        <v>44</v>
      </c>
      <c r="H2961" s="5" t="s">
        <v>1160</v>
      </c>
      <c r="I2961" s="6" t="s">
        <v>63</v>
      </c>
      <c r="J2961" s="7" t="s">
        <v>58</v>
      </c>
      <c r="K2961" s="11" t="s">
        <v>59</v>
      </c>
      <c r="L2961" s="8">
        <v>1.772669793313E12</v>
      </c>
      <c r="M2961" s="9"/>
      <c r="N2961" s="10"/>
      <c r="O2961" s="10"/>
      <c r="P2961" s="10"/>
      <c r="Q2961" s="10"/>
      <c r="R2961" s="10"/>
      <c r="S2961" s="10"/>
      <c r="T2961" s="10"/>
      <c r="U2961" s="10"/>
      <c r="V2961" s="10"/>
    </row>
    <row r="2962" ht="22.5" customHeight="1">
      <c r="A2962" s="5">
        <v>2.07111896892E11</v>
      </c>
      <c r="B2962" s="5" t="s">
        <v>2770</v>
      </c>
      <c r="C2962" s="5">
        <v>51989079738</v>
      </c>
      <c r="D2962" s="5" t="s">
        <v>13</v>
      </c>
      <c r="E2962" s="5">
        <v>8.7547393E7</v>
      </c>
      <c r="F2962" s="5" t="s">
        <v>259</v>
      </c>
      <c r="G2962" s="5" t="s">
        <v>32</v>
      </c>
      <c r="H2962" s="5" t="s">
        <v>66</v>
      </c>
      <c r="I2962" s="6" t="s">
        <v>17</v>
      </c>
      <c r="J2962" s="7" t="s">
        <v>34</v>
      </c>
      <c r="K2962" s="7"/>
      <c r="L2962" s="8">
        <v>1.77267031097E12</v>
      </c>
      <c r="M2962" s="9"/>
      <c r="N2962" s="10"/>
      <c r="O2962" s="10"/>
      <c r="P2962" s="10"/>
      <c r="Q2962" s="10"/>
      <c r="R2962" s="10"/>
      <c r="S2962" s="10"/>
      <c r="T2962" s="10"/>
      <c r="U2962" s="10"/>
      <c r="V2962" s="10"/>
    </row>
    <row r="2963" ht="22.5" customHeight="1">
      <c r="A2963" s="5">
        <v>2.03735216559E11</v>
      </c>
      <c r="B2963" s="5" t="s">
        <v>2699</v>
      </c>
      <c r="C2963" s="5">
        <v>51941202904</v>
      </c>
      <c r="D2963" s="5" t="s">
        <v>13</v>
      </c>
      <c r="E2963" s="5">
        <v>8.7547393E7</v>
      </c>
      <c r="F2963" s="5" t="s">
        <v>93</v>
      </c>
      <c r="G2963" s="5" t="s">
        <v>15</v>
      </c>
      <c r="H2963" s="5" t="s">
        <v>24</v>
      </c>
      <c r="I2963" s="6" t="s">
        <v>36</v>
      </c>
      <c r="J2963" s="7" t="s">
        <v>34</v>
      </c>
      <c r="K2963" s="7"/>
      <c r="L2963" s="8">
        <v>1.772671048487E12</v>
      </c>
      <c r="M2963" s="9"/>
      <c r="N2963" s="10"/>
      <c r="O2963" s="10"/>
      <c r="P2963" s="10"/>
      <c r="Q2963" s="10"/>
      <c r="R2963" s="10"/>
      <c r="S2963" s="10"/>
      <c r="T2963" s="10"/>
      <c r="U2963" s="10"/>
      <c r="V2963" s="10"/>
    </row>
    <row r="2964" ht="22.5" customHeight="1">
      <c r="A2964" s="5">
        <v>1.80342946428E11</v>
      </c>
      <c r="B2964" s="5" t="s">
        <v>2771</v>
      </c>
      <c r="C2964" s="5">
        <v>51988389103</v>
      </c>
      <c r="D2964" s="5" t="s">
        <v>13</v>
      </c>
      <c r="E2964" s="5">
        <v>8.0566583E7</v>
      </c>
      <c r="F2964" s="5" t="s">
        <v>28</v>
      </c>
      <c r="G2964" s="5" t="s">
        <v>32</v>
      </c>
      <c r="H2964" s="5" t="s">
        <v>40</v>
      </c>
      <c r="I2964" s="6"/>
      <c r="J2964" s="7" t="s">
        <v>18</v>
      </c>
      <c r="K2964" s="7" t="s">
        <v>116</v>
      </c>
      <c r="L2964" s="8">
        <v>1.772672100654E12</v>
      </c>
      <c r="M2964" s="9"/>
      <c r="N2964" s="10"/>
      <c r="O2964" s="10"/>
      <c r="P2964" s="10"/>
      <c r="Q2964" s="10"/>
      <c r="R2964" s="10"/>
      <c r="S2964" s="10"/>
      <c r="T2964" s="10"/>
      <c r="U2964" s="10"/>
      <c r="V2964" s="10"/>
    </row>
    <row r="2965" ht="22.5" customHeight="1">
      <c r="A2965" s="5">
        <v>2.07132017257E11</v>
      </c>
      <c r="B2965" s="5" t="s">
        <v>2772</v>
      </c>
      <c r="C2965" s="5">
        <v>51917363844</v>
      </c>
      <c r="D2965" s="5" t="s">
        <v>13</v>
      </c>
      <c r="E2965" s="5">
        <v>8.0566583E7</v>
      </c>
      <c r="F2965" s="5" t="s">
        <v>259</v>
      </c>
      <c r="G2965" s="5" t="s">
        <v>15</v>
      </c>
      <c r="H2965" s="5" t="s">
        <v>51</v>
      </c>
      <c r="I2965" s="6" t="s">
        <v>17</v>
      </c>
      <c r="J2965" s="7" t="s">
        <v>18</v>
      </c>
      <c r="K2965" s="7" t="s">
        <v>19</v>
      </c>
      <c r="L2965" s="8">
        <v>1.772674050695E12</v>
      </c>
      <c r="M2965" s="9"/>
      <c r="N2965" s="10"/>
      <c r="O2965" s="10"/>
      <c r="P2965" s="10"/>
      <c r="Q2965" s="10"/>
      <c r="R2965" s="10"/>
      <c r="S2965" s="10"/>
      <c r="T2965" s="10"/>
      <c r="U2965" s="10"/>
      <c r="V2965" s="10"/>
    </row>
    <row r="2966" ht="22.5" customHeight="1">
      <c r="A2966" s="5">
        <v>1.89281010051E11</v>
      </c>
      <c r="B2966" s="5" t="s">
        <v>2773</v>
      </c>
      <c r="C2966" s="5">
        <v>51978582500</v>
      </c>
      <c r="D2966" s="5" t="s">
        <v>22</v>
      </c>
      <c r="E2966" s="5">
        <v>8.0566583E7</v>
      </c>
      <c r="F2966" s="5" t="s">
        <v>28</v>
      </c>
      <c r="G2966" s="5" t="s">
        <v>44</v>
      </c>
      <c r="H2966" s="5" t="s">
        <v>114</v>
      </c>
      <c r="I2966" s="6" t="s">
        <v>17</v>
      </c>
      <c r="J2966" s="7" t="s">
        <v>18</v>
      </c>
      <c r="K2966" s="7" t="s">
        <v>19</v>
      </c>
      <c r="L2966" s="8">
        <v>1.77267494539E12</v>
      </c>
      <c r="M2966" s="9"/>
      <c r="N2966" s="10"/>
      <c r="O2966" s="10"/>
      <c r="P2966" s="10"/>
      <c r="Q2966" s="10"/>
      <c r="R2966" s="10"/>
      <c r="S2966" s="10"/>
      <c r="T2966" s="10"/>
      <c r="U2966" s="10"/>
      <c r="V2966" s="10"/>
    </row>
    <row r="2967" ht="22.5" customHeight="1">
      <c r="A2967" s="5">
        <v>2.07131709266E11</v>
      </c>
      <c r="B2967" s="5" t="s">
        <v>2774</v>
      </c>
      <c r="C2967" s="5">
        <v>51910976106</v>
      </c>
      <c r="D2967" s="5" t="s">
        <v>13</v>
      </c>
      <c r="E2967" s="5">
        <v>8.7547393E7</v>
      </c>
      <c r="F2967" s="5" t="s">
        <v>714</v>
      </c>
      <c r="G2967" s="5" t="s">
        <v>32</v>
      </c>
      <c r="H2967" s="5" t="s">
        <v>16</v>
      </c>
      <c r="I2967" s="6" t="s">
        <v>63</v>
      </c>
      <c r="J2967" s="7" t="s">
        <v>34</v>
      </c>
      <c r="K2967" s="7"/>
      <c r="L2967" s="8">
        <v>1.772675231006E12</v>
      </c>
      <c r="M2967" s="9"/>
      <c r="N2967" s="10"/>
      <c r="O2967" s="10"/>
      <c r="P2967" s="10"/>
      <c r="Q2967" s="10"/>
      <c r="R2967" s="10"/>
      <c r="S2967" s="10"/>
      <c r="T2967" s="10"/>
      <c r="U2967" s="10"/>
      <c r="V2967" s="10"/>
    </row>
    <row r="2968" ht="22.5" customHeight="1">
      <c r="A2968" s="5">
        <v>2.07139373363E11</v>
      </c>
      <c r="B2968" s="5" t="s">
        <v>2775</v>
      </c>
      <c r="C2968" s="5">
        <v>51929141058</v>
      </c>
      <c r="D2968" s="5" t="s">
        <v>13</v>
      </c>
      <c r="E2968" s="5">
        <v>8.0566583E7</v>
      </c>
      <c r="F2968" s="5" t="s">
        <v>259</v>
      </c>
      <c r="G2968" s="5" t="s">
        <v>15</v>
      </c>
      <c r="H2968" s="5" t="s">
        <v>24</v>
      </c>
      <c r="I2968" s="6" t="s">
        <v>17</v>
      </c>
      <c r="J2968" s="7" t="s">
        <v>18</v>
      </c>
      <c r="K2968" s="7" t="s">
        <v>19</v>
      </c>
      <c r="L2968" s="8">
        <v>1.772675446546E12</v>
      </c>
      <c r="M2968" s="9"/>
      <c r="N2968" s="10"/>
      <c r="O2968" s="10"/>
      <c r="P2968" s="10"/>
      <c r="Q2968" s="10"/>
      <c r="R2968" s="10"/>
      <c r="S2968" s="10"/>
      <c r="T2968" s="10"/>
      <c r="U2968" s="10"/>
      <c r="V2968" s="10"/>
    </row>
    <row r="2969" ht="22.5" customHeight="1">
      <c r="A2969" s="5">
        <v>2.07130497717E11</v>
      </c>
      <c r="B2969" s="5" t="s">
        <v>2776</v>
      </c>
      <c r="C2969" s="5">
        <v>51932722041</v>
      </c>
      <c r="D2969" s="5" t="s">
        <v>13</v>
      </c>
      <c r="E2969" s="5">
        <v>8.7547393E7</v>
      </c>
      <c r="F2969" s="5" t="s">
        <v>93</v>
      </c>
      <c r="G2969" s="5" t="s">
        <v>15</v>
      </c>
      <c r="H2969" s="5" t="s">
        <v>997</v>
      </c>
      <c r="I2969" s="6" t="s">
        <v>17</v>
      </c>
      <c r="J2969" s="7" t="s">
        <v>18</v>
      </c>
      <c r="K2969" s="7" t="s">
        <v>19</v>
      </c>
      <c r="L2969" s="8">
        <v>1.772676355497E12</v>
      </c>
      <c r="M2969" s="9"/>
      <c r="N2969" s="10"/>
      <c r="O2969" s="10"/>
      <c r="P2969" s="10"/>
      <c r="Q2969" s="10"/>
      <c r="R2969" s="10"/>
      <c r="S2969" s="10"/>
      <c r="T2969" s="10"/>
      <c r="U2969" s="10"/>
      <c r="V2969" s="10"/>
    </row>
    <row r="2970" ht="22.5" customHeight="1">
      <c r="A2970" s="5">
        <v>2.07143791136E11</v>
      </c>
      <c r="B2970" s="5" t="s">
        <v>2777</v>
      </c>
      <c r="C2970" s="5">
        <v>51913631171</v>
      </c>
      <c r="D2970" s="5" t="s">
        <v>38</v>
      </c>
      <c r="E2970" s="5">
        <v>8.0566583E7</v>
      </c>
      <c r="F2970" s="5"/>
      <c r="G2970" s="5"/>
      <c r="H2970" s="5"/>
      <c r="I2970" s="6"/>
      <c r="J2970" s="7" t="s">
        <v>18</v>
      </c>
      <c r="K2970" s="7" t="s">
        <v>19</v>
      </c>
      <c r="L2970" s="8">
        <v>1.772677203205E12</v>
      </c>
      <c r="M2970" s="9"/>
      <c r="N2970" s="10"/>
      <c r="O2970" s="10"/>
      <c r="P2970" s="10"/>
      <c r="Q2970" s="10"/>
      <c r="R2970" s="10"/>
      <c r="S2970" s="10"/>
      <c r="T2970" s="10"/>
      <c r="U2970" s="10"/>
      <c r="V2970" s="10"/>
    </row>
    <row r="2971" ht="22.5" customHeight="1">
      <c r="A2971" s="5">
        <v>2.07135009701E11</v>
      </c>
      <c r="B2971" s="5" t="s">
        <v>2778</v>
      </c>
      <c r="C2971" s="5">
        <v>51972839825</v>
      </c>
      <c r="D2971" s="5" t="s">
        <v>13</v>
      </c>
      <c r="E2971" s="5">
        <v>8.0566583E7</v>
      </c>
      <c r="F2971" s="5" t="s">
        <v>39</v>
      </c>
      <c r="G2971" s="5" t="s">
        <v>15</v>
      </c>
      <c r="H2971" s="5" t="s">
        <v>51</v>
      </c>
      <c r="I2971" s="6" t="s">
        <v>17</v>
      </c>
      <c r="J2971" s="7" t="s">
        <v>18</v>
      </c>
      <c r="K2971" s="7" t="s">
        <v>19</v>
      </c>
      <c r="L2971" s="8">
        <v>1.772677396876E12</v>
      </c>
      <c r="M2971" s="9"/>
      <c r="N2971" s="10"/>
      <c r="O2971" s="10"/>
      <c r="P2971" s="10"/>
      <c r="Q2971" s="10"/>
      <c r="R2971" s="10"/>
      <c r="S2971" s="10"/>
      <c r="T2971" s="10"/>
      <c r="U2971" s="10"/>
      <c r="V2971" s="10"/>
    </row>
    <row r="2972" ht="22.5" customHeight="1">
      <c r="A2972" s="5">
        <v>2.07143922102E11</v>
      </c>
      <c r="B2972" s="5" t="s">
        <v>2779</v>
      </c>
      <c r="C2972" s="5">
        <v>51977511305</v>
      </c>
      <c r="D2972" s="5" t="s">
        <v>13</v>
      </c>
      <c r="E2972" s="5">
        <v>8.7547393E7</v>
      </c>
      <c r="F2972" s="5" t="s">
        <v>39</v>
      </c>
      <c r="G2972" s="5" t="s">
        <v>15</v>
      </c>
      <c r="H2972" s="5" t="s">
        <v>66</v>
      </c>
      <c r="I2972" s="6" t="s">
        <v>17</v>
      </c>
      <c r="J2972" s="7" t="s">
        <v>18</v>
      </c>
      <c r="K2972" s="7" t="s">
        <v>19</v>
      </c>
      <c r="L2972" s="8">
        <v>1.772678570315E12</v>
      </c>
      <c r="M2972" s="9"/>
      <c r="N2972" s="10"/>
      <c r="O2972" s="10"/>
      <c r="P2972" s="10"/>
      <c r="Q2972" s="10"/>
      <c r="R2972" s="10"/>
      <c r="S2972" s="10"/>
      <c r="T2972" s="10"/>
      <c r="U2972" s="10"/>
      <c r="V2972" s="10"/>
    </row>
    <row r="2973" ht="22.5" customHeight="1">
      <c r="A2973" s="5">
        <v>2.07142523161E11</v>
      </c>
      <c r="B2973" s="5" t="s">
        <v>2780</v>
      </c>
      <c r="C2973" s="5">
        <v>5516994306570</v>
      </c>
      <c r="D2973" s="5" t="s">
        <v>13</v>
      </c>
      <c r="E2973" s="5">
        <v>7.9360573E7</v>
      </c>
      <c r="F2973" s="5" t="s">
        <v>39</v>
      </c>
      <c r="G2973" s="5" t="s">
        <v>32</v>
      </c>
      <c r="H2973" s="5" t="s">
        <v>66</v>
      </c>
      <c r="I2973" s="6" t="s">
        <v>17</v>
      </c>
      <c r="J2973" s="7" t="s">
        <v>34</v>
      </c>
      <c r="K2973" s="7"/>
      <c r="L2973" s="8">
        <v>1.772679226567E12</v>
      </c>
      <c r="M2973" s="9"/>
      <c r="N2973" s="10"/>
      <c r="O2973" s="10"/>
      <c r="P2973" s="10"/>
      <c r="Q2973" s="10"/>
      <c r="R2973" s="10"/>
      <c r="S2973" s="10"/>
      <c r="T2973" s="10"/>
      <c r="U2973" s="10"/>
      <c r="V2973" s="10"/>
    </row>
    <row r="2974" ht="22.5" customHeight="1">
      <c r="A2974" s="5">
        <v>2.07135102246E11</v>
      </c>
      <c r="B2974" s="5" t="s">
        <v>2781</v>
      </c>
      <c r="C2974" s="5">
        <v>5571984425405</v>
      </c>
      <c r="D2974" s="5" t="s">
        <v>13</v>
      </c>
      <c r="E2974" s="5">
        <v>7.9360573E7</v>
      </c>
      <c r="F2974" s="5"/>
      <c r="G2974" s="5" t="s">
        <v>15</v>
      </c>
      <c r="H2974" s="5" t="s">
        <v>29</v>
      </c>
      <c r="I2974" s="6" t="s">
        <v>17</v>
      </c>
      <c r="J2974" s="7" t="s">
        <v>34</v>
      </c>
      <c r="K2974" s="7"/>
      <c r="L2974" s="8">
        <v>1.772679683005E12</v>
      </c>
      <c r="M2974" s="9"/>
      <c r="N2974" s="10"/>
      <c r="O2974" s="10"/>
      <c r="P2974" s="10"/>
      <c r="Q2974" s="10"/>
      <c r="R2974" s="10"/>
      <c r="S2974" s="10"/>
      <c r="T2974" s="10"/>
      <c r="U2974" s="10"/>
      <c r="V2974" s="10"/>
    </row>
    <row r="2975" ht="22.5" customHeight="1">
      <c r="A2975" s="5">
        <v>2.0715468351E11</v>
      </c>
      <c r="B2975" s="5" t="s">
        <v>2782</v>
      </c>
      <c r="C2975" s="5">
        <v>559130749009</v>
      </c>
      <c r="D2975" s="5" t="s">
        <v>13</v>
      </c>
      <c r="E2975" s="5">
        <v>7.9360573E7</v>
      </c>
      <c r="F2975" s="5" t="s">
        <v>65</v>
      </c>
      <c r="G2975" s="5" t="s">
        <v>32</v>
      </c>
      <c r="H2975" s="5" t="s">
        <v>24</v>
      </c>
      <c r="I2975" s="6" t="s">
        <v>17</v>
      </c>
      <c r="J2975" s="7" t="s">
        <v>34</v>
      </c>
      <c r="K2975" s="7"/>
      <c r="L2975" s="8">
        <v>1.772680753352E12</v>
      </c>
      <c r="M2975" s="9"/>
      <c r="N2975" s="10"/>
      <c r="O2975" s="10"/>
      <c r="P2975" s="10"/>
      <c r="Q2975" s="10"/>
      <c r="R2975" s="10"/>
      <c r="S2975" s="10"/>
      <c r="T2975" s="10"/>
      <c r="U2975" s="10"/>
      <c r="V2975" s="10"/>
    </row>
    <row r="2976" ht="22.5" customHeight="1">
      <c r="A2976" s="5">
        <v>2.0714355124E11</v>
      </c>
      <c r="B2976" s="5" t="s">
        <v>2783</v>
      </c>
      <c r="C2976" s="5">
        <v>51986924314</v>
      </c>
      <c r="D2976" s="5" t="s">
        <v>13</v>
      </c>
      <c r="E2976" s="5">
        <v>8.7547393E7</v>
      </c>
      <c r="F2976" s="5" t="s">
        <v>14</v>
      </c>
      <c r="G2976" s="5">
        <v>50</v>
      </c>
      <c r="H2976" s="5" t="s">
        <v>80</v>
      </c>
      <c r="I2976" s="6" t="s">
        <v>148</v>
      </c>
      <c r="J2976" s="7" t="s">
        <v>18</v>
      </c>
      <c r="K2976" s="7" t="s">
        <v>19</v>
      </c>
      <c r="L2976" s="8">
        <v>1.772682181397E12</v>
      </c>
      <c r="M2976" s="9"/>
      <c r="N2976" s="10"/>
      <c r="O2976" s="10"/>
      <c r="P2976" s="10"/>
      <c r="Q2976" s="10"/>
      <c r="R2976" s="10"/>
      <c r="S2976" s="10"/>
      <c r="T2976" s="10"/>
      <c r="U2976" s="10"/>
      <c r="V2976" s="10"/>
    </row>
    <row r="2977" ht="22.5" customHeight="1">
      <c r="A2977" s="5">
        <v>2.07145146805E11</v>
      </c>
      <c r="B2977" s="5" t="s">
        <v>2784</v>
      </c>
      <c r="C2977" s="5">
        <v>51972252546</v>
      </c>
      <c r="D2977" s="5" t="s">
        <v>13</v>
      </c>
      <c r="E2977" s="5">
        <v>8.0566583E7</v>
      </c>
      <c r="F2977" s="5" t="s">
        <v>714</v>
      </c>
      <c r="G2977" s="5" t="s">
        <v>15</v>
      </c>
      <c r="H2977" s="5" t="s">
        <v>51</v>
      </c>
      <c r="I2977" s="6" t="s">
        <v>17</v>
      </c>
      <c r="J2977" s="7" t="s">
        <v>34</v>
      </c>
      <c r="K2977" s="7"/>
      <c r="L2977" s="8">
        <v>1.772682536436E12</v>
      </c>
      <c r="M2977" s="9"/>
      <c r="N2977" s="10"/>
      <c r="O2977" s="10"/>
      <c r="P2977" s="10"/>
      <c r="Q2977" s="10"/>
      <c r="R2977" s="10"/>
      <c r="S2977" s="10"/>
      <c r="T2977" s="10"/>
      <c r="U2977" s="10"/>
      <c r="V2977" s="10"/>
    </row>
    <row r="2978" ht="22.5" customHeight="1">
      <c r="A2978" s="5">
        <v>1.67587399288E11</v>
      </c>
      <c r="B2978" s="5" t="s">
        <v>2785</v>
      </c>
      <c r="C2978" s="5">
        <v>51948178026</v>
      </c>
      <c r="D2978" s="5" t="s">
        <v>13</v>
      </c>
      <c r="E2978" s="5">
        <v>8.7547393E7</v>
      </c>
      <c r="F2978" s="5" t="s">
        <v>259</v>
      </c>
      <c r="G2978" s="5" t="s">
        <v>15</v>
      </c>
      <c r="H2978" s="5" t="s">
        <v>161</v>
      </c>
      <c r="I2978" s="6" t="s">
        <v>17</v>
      </c>
      <c r="J2978" s="7" t="s">
        <v>18</v>
      </c>
      <c r="K2978" s="7" t="s">
        <v>116</v>
      </c>
      <c r="L2978" s="8">
        <v>1.772684038037E12</v>
      </c>
      <c r="M2978" s="9"/>
      <c r="N2978" s="10"/>
      <c r="O2978" s="10"/>
      <c r="P2978" s="10"/>
      <c r="Q2978" s="10"/>
      <c r="R2978" s="10"/>
      <c r="S2978" s="10"/>
      <c r="T2978" s="10"/>
      <c r="U2978" s="10"/>
      <c r="V2978" s="10"/>
    </row>
    <row r="2979" ht="22.5" customHeight="1">
      <c r="A2979" s="5">
        <v>2.07156434218E11</v>
      </c>
      <c r="B2979" s="5" t="s">
        <v>2786</v>
      </c>
      <c r="C2979" s="5">
        <v>51947808733</v>
      </c>
      <c r="D2979" s="5" t="s">
        <v>13</v>
      </c>
      <c r="E2979" s="5">
        <v>8.7547393E7</v>
      </c>
      <c r="F2979" s="5" t="s">
        <v>39</v>
      </c>
      <c r="G2979" s="5" t="s">
        <v>15</v>
      </c>
      <c r="H2979" s="5" t="s">
        <v>66</v>
      </c>
      <c r="I2979" s="6" t="s">
        <v>17</v>
      </c>
      <c r="J2979" s="7" t="s">
        <v>18</v>
      </c>
      <c r="K2979" s="7" t="s">
        <v>19</v>
      </c>
      <c r="L2979" s="8">
        <v>1.772684187369E12</v>
      </c>
      <c r="M2979" s="9"/>
      <c r="N2979" s="10"/>
      <c r="O2979" s="10"/>
      <c r="P2979" s="10"/>
      <c r="Q2979" s="10"/>
      <c r="R2979" s="10"/>
      <c r="S2979" s="10"/>
      <c r="T2979" s="10"/>
      <c r="U2979" s="10"/>
      <c r="V2979" s="10"/>
    </row>
    <row r="2980" ht="22.5" customHeight="1">
      <c r="A2980" s="5">
        <v>1.79672864868E11</v>
      </c>
      <c r="B2980" s="5" t="s">
        <v>2787</v>
      </c>
      <c r="C2980" s="5">
        <v>51924404730</v>
      </c>
      <c r="D2980" s="5" t="s">
        <v>38</v>
      </c>
      <c r="E2980" s="5"/>
      <c r="F2980" s="5"/>
      <c r="G2980" s="5"/>
      <c r="H2980" s="5"/>
      <c r="I2980" s="6"/>
      <c r="J2980" s="7" t="s">
        <v>18</v>
      </c>
      <c r="K2980" s="7" t="s">
        <v>116</v>
      </c>
      <c r="L2980" s="8">
        <v>1.772684357299E12</v>
      </c>
      <c r="M2980" s="9"/>
      <c r="N2980" s="10"/>
      <c r="O2980" s="10"/>
      <c r="P2980" s="10"/>
      <c r="Q2980" s="10"/>
      <c r="R2980" s="10"/>
      <c r="S2980" s="10"/>
      <c r="T2980" s="10"/>
      <c r="U2980" s="10"/>
      <c r="V2980" s="10"/>
    </row>
    <row r="2981" ht="22.5" customHeight="1">
      <c r="A2981" s="5">
        <v>2.07155668118E11</v>
      </c>
      <c r="B2981" s="5" t="s">
        <v>2788</v>
      </c>
      <c r="C2981" s="5">
        <v>51967509069</v>
      </c>
      <c r="D2981" s="5" t="s">
        <v>103</v>
      </c>
      <c r="E2981" s="5">
        <v>8.0566583E7</v>
      </c>
      <c r="F2981" s="5" t="s">
        <v>93</v>
      </c>
      <c r="G2981" s="5" t="s">
        <v>79</v>
      </c>
      <c r="H2981" s="5" t="s">
        <v>24</v>
      </c>
      <c r="I2981" s="6" t="s">
        <v>17</v>
      </c>
      <c r="J2981" s="7" t="s">
        <v>18</v>
      </c>
      <c r="K2981" s="7" t="s">
        <v>19</v>
      </c>
      <c r="L2981" s="8">
        <v>1.772684661907E12</v>
      </c>
      <c r="M2981" s="9"/>
      <c r="N2981" s="10"/>
      <c r="O2981" s="10"/>
      <c r="P2981" s="10"/>
      <c r="Q2981" s="10"/>
      <c r="R2981" s="10"/>
      <c r="S2981" s="10"/>
      <c r="T2981" s="10"/>
      <c r="U2981" s="10"/>
      <c r="V2981" s="10"/>
    </row>
    <row r="2982" ht="22.5" customHeight="1">
      <c r="A2982" s="5">
        <v>2.07147852928E11</v>
      </c>
      <c r="B2982" s="5" t="s">
        <v>2789</v>
      </c>
      <c r="C2982" s="5">
        <v>51986348228</v>
      </c>
      <c r="D2982" s="5" t="s">
        <v>13</v>
      </c>
      <c r="E2982" s="5">
        <v>8.0566583E7</v>
      </c>
      <c r="F2982" s="5" t="s">
        <v>42</v>
      </c>
      <c r="G2982" s="5" t="s">
        <v>15</v>
      </c>
      <c r="H2982" s="5" t="s">
        <v>51</v>
      </c>
      <c r="I2982" s="6" t="s">
        <v>17</v>
      </c>
      <c r="J2982" s="7" t="s">
        <v>18</v>
      </c>
      <c r="K2982" s="7" t="s">
        <v>19</v>
      </c>
      <c r="L2982" s="8">
        <v>1.772684716765E12</v>
      </c>
      <c r="M2982" s="9"/>
      <c r="N2982" s="10"/>
      <c r="O2982" s="10"/>
      <c r="P2982" s="10"/>
      <c r="Q2982" s="10"/>
      <c r="R2982" s="10"/>
      <c r="S2982" s="10"/>
      <c r="T2982" s="10"/>
      <c r="U2982" s="10"/>
      <c r="V2982" s="10"/>
    </row>
    <row r="2983" ht="22.5" customHeight="1">
      <c r="A2983" s="5">
        <v>2.07145049221E11</v>
      </c>
      <c r="B2983" s="5" t="s">
        <v>2790</v>
      </c>
      <c r="C2983" s="5">
        <v>51900521800</v>
      </c>
      <c r="D2983" s="5" t="s">
        <v>13</v>
      </c>
      <c r="E2983" s="5">
        <v>8.7547393E7</v>
      </c>
      <c r="F2983" s="5" t="s">
        <v>39</v>
      </c>
      <c r="G2983" s="5" t="s">
        <v>15</v>
      </c>
      <c r="H2983" s="5" t="s">
        <v>24</v>
      </c>
      <c r="I2983" s="6" t="s">
        <v>17</v>
      </c>
      <c r="J2983" s="7" t="s">
        <v>18</v>
      </c>
      <c r="K2983" s="7" t="s">
        <v>19</v>
      </c>
      <c r="L2983" s="8">
        <v>1.77268471998E12</v>
      </c>
      <c r="M2983" s="9"/>
      <c r="N2983" s="10"/>
      <c r="O2983" s="10"/>
      <c r="P2983" s="10"/>
      <c r="Q2983" s="10"/>
      <c r="R2983" s="10"/>
      <c r="S2983" s="10"/>
      <c r="T2983" s="10"/>
      <c r="U2983" s="10"/>
      <c r="V2983" s="10"/>
    </row>
    <row r="2984" ht="22.5" customHeight="1">
      <c r="A2984" s="5">
        <v>2.07158391388E11</v>
      </c>
      <c r="B2984" s="5" t="s">
        <v>2791</v>
      </c>
      <c r="C2984" s="5">
        <v>51963279900</v>
      </c>
      <c r="D2984" s="5" t="s">
        <v>22</v>
      </c>
      <c r="E2984" s="5">
        <v>8.7547393E7</v>
      </c>
      <c r="F2984" s="5" t="s">
        <v>39</v>
      </c>
      <c r="G2984" s="5" t="s">
        <v>44</v>
      </c>
      <c r="H2984" s="5" t="s">
        <v>16</v>
      </c>
      <c r="I2984" s="6" t="s">
        <v>17</v>
      </c>
      <c r="J2984" s="7" t="s">
        <v>58</v>
      </c>
      <c r="K2984" s="11" t="s">
        <v>59</v>
      </c>
      <c r="L2984" s="8">
        <v>1.772684970989E12</v>
      </c>
      <c r="M2984" s="9"/>
      <c r="N2984" s="10"/>
      <c r="O2984" s="10"/>
      <c r="P2984" s="10"/>
      <c r="Q2984" s="10"/>
      <c r="R2984" s="10"/>
      <c r="S2984" s="10"/>
      <c r="T2984" s="10"/>
      <c r="U2984" s="10"/>
      <c r="V2984" s="10"/>
    </row>
    <row r="2985" ht="22.5" customHeight="1">
      <c r="A2985" s="5">
        <v>2.07147866942E11</v>
      </c>
      <c r="B2985" s="5" t="s">
        <v>2792</v>
      </c>
      <c r="C2985" s="5">
        <v>51952361573</v>
      </c>
      <c r="D2985" s="5" t="s">
        <v>13</v>
      </c>
      <c r="E2985" s="5">
        <v>8.0566583E7</v>
      </c>
      <c r="F2985" s="5" t="s">
        <v>42</v>
      </c>
      <c r="G2985" s="5" t="s">
        <v>15</v>
      </c>
      <c r="H2985" s="5" t="s">
        <v>16</v>
      </c>
      <c r="I2985" s="6" t="s">
        <v>17</v>
      </c>
      <c r="J2985" s="7" t="s">
        <v>18</v>
      </c>
      <c r="K2985" s="7" t="s">
        <v>19</v>
      </c>
      <c r="L2985" s="8">
        <v>1.772685604618E12</v>
      </c>
      <c r="M2985" s="9"/>
      <c r="N2985" s="10"/>
      <c r="O2985" s="10"/>
      <c r="P2985" s="10"/>
      <c r="Q2985" s="10"/>
      <c r="R2985" s="10"/>
      <c r="S2985" s="10"/>
      <c r="T2985" s="10"/>
      <c r="U2985" s="10"/>
      <c r="V2985" s="10"/>
    </row>
    <row r="2986" ht="22.5" customHeight="1">
      <c r="A2986" s="5">
        <v>2.07148277653E11</v>
      </c>
      <c r="B2986" s="5" t="s">
        <v>2793</v>
      </c>
      <c r="C2986" s="5">
        <v>51931184224</v>
      </c>
      <c r="D2986" s="5" t="s">
        <v>13</v>
      </c>
      <c r="E2986" s="5">
        <v>8.7547393E7</v>
      </c>
      <c r="F2986" s="5" t="s">
        <v>28</v>
      </c>
      <c r="G2986" s="5" t="s">
        <v>15</v>
      </c>
      <c r="H2986" s="5" t="s">
        <v>24</v>
      </c>
      <c r="I2986" s="6" t="s">
        <v>17</v>
      </c>
      <c r="J2986" s="7" t="s">
        <v>18</v>
      </c>
      <c r="K2986" s="7" t="s">
        <v>19</v>
      </c>
      <c r="L2986" s="8">
        <v>1.772685774281E12</v>
      </c>
      <c r="M2986" s="9"/>
      <c r="N2986" s="10"/>
      <c r="O2986" s="10"/>
      <c r="P2986" s="10"/>
      <c r="Q2986" s="10"/>
      <c r="R2986" s="10"/>
      <c r="S2986" s="10"/>
      <c r="T2986" s="10"/>
      <c r="U2986" s="10"/>
      <c r="V2986" s="10"/>
    </row>
    <row r="2987" ht="22.5" customHeight="1">
      <c r="A2987" s="5">
        <v>2.0714983767E11</v>
      </c>
      <c r="B2987" s="5" t="s">
        <v>2794</v>
      </c>
      <c r="C2987" s="5">
        <v>5548998023764</v>
      </c>
      <c r="D2987" s="5" t="s">
        <v>13</v>
      </c>
      <c r="E2987" s="5">
        <v>7.9360573E7</v>
      </c>
      <c r="F2987" s="5" t="s">
        <v>39</v>
      </c>
      <c r="G2987" s="5" t="s">
        <v>15</v>
      </c>
      <c r="H2987" s="5" t="s">
        <v>24</v>
      </c>
      <c r="I2987" s="6" t="s">
        <v>17</v>
      </c>
      <c r="J2987" s="7" t="s">
        <v>34</v>
      </c>
      <c r="K2987" s="7"/>
      <c r="L2987" s="8">
        <v>1.772687228834E12</v>
      </c>
      <c r="M2987" s="9"/>
      <c r="N2987" s="10"/>
      <c r="O2987" s="10"/>
      <c r="P2987" s="10"/>
      <c r="Q2987" s="10"/>
      <c r="R2987" s="10"/>
      <c r="S2987" s="10"/>
      <c r="T2987" s="10"/>
      <c r="U2987" s="10"/>
      <c r="V2987" s="10"/>
    </row>
    <row r="2988" ht="22.5" customHeight="1">
      <c r="A2988" s="5">
        <v>2.07147445276E11</v>
      </c>
      <c r="B2988" s="5" t="s">
        <v>2795</v>
      </c>
      <c r="C2988" s="5">
        <v>51934446679</v>
      </c>
      <c r="D2988" s="5" t="s">
        <v>13</v>
      </c>
      <c r="E2988" s="5">
        <v>8.0566583E7</v>
      </c>
      <c r="F2988" s="5" t="s">
        <v>28</v>
      </c>
      <c r="G2988" s="5" t="s">
        <v>15</v>
      </c>
      <c r="H2988" s="5" t="s">
        <v>51</v>
      </c>
      <c r="I2988" s="6" t="s">
        <v>17</v>
      </c>
      <c r="J2988" s="7" t="s">
        <v>18</v>
      </c>
      <c r="K2988" s="7" t="s">
        <v>19</v>
      </c>
      <c r="L2988" s="8">
        <v>1.772687831387E12</v>
      </c>
      <c r="M2988" s="9"/>
      <c r="N2988" s="10"/>
      <c r="O2988" s="10"/>
      <c r="P2988" s="10"/>
      <c r="Q2988" s="10"/>
      <c r="R2988" s="10"/>
      <c r="S2988" s="10"/>
      <c r="T2988" s="10"/>
      <c r="U2988" s="10"/>
      <c r="V2988" s="10"/>
    </row>
    <row r="2989" ht="22.5" customHeight="1">
      <c r="A2989" s="5">
        <v>2.07159667272E11</v>
      </c>
      <c r="B2989" s="5" t="s">
        <v>2796</v>
      </c>
      <c r="C2989" s="5">
        <v>51971770973</v>
      </c>
      <c r="D2989" s="5" t="s">
        <v>13</v>
      </c>
      <c r="E2989" s="5">
        <v>8.0566583E7</v>
      </c>
      <c r="F2989" s="5" t="s">
        <v>65</v>
      </c>
      <c r="G2989" s="5" t="s">
        <v>15</v>
      </c>
      <c r="H2989" s="5" t="s">
        <v>24</v>
      </c>
      <c r="I2989" s="6" t="s">
        <v>17</v>
      </c>
      <c r="J2989" s="7" t="s">
        <v>25</v>
      </c>
      <c r="K2989" s="7"/>
      <c r="L2989" s="8">
        <v>1.772688567343E12</v>
      </c>
      <c r="M2989" s="9"/>
      <c r="N2989" s="10"/>
      <c r="O2989" s="10"/>
      <c r="P2989" s="10"/>
      <c r="Q2989" s="10"/>
      <c r="R2989" s="10"/>
      <c r="S2989" s="10"/>
      <c r="T2989" s="10"/>
      <c r="U2989" s="10"/>
      <c r="V2989" s="10"/>
    </row>
    <row r="2990" ht="22.5" customHeight="1">
      <c r="A2990" s="5">
        <v>2.0716224885E11</v>
      </c>
      <c r="B2990" s="5" t="s">
        <v>2797</v>
      </c>
      <c r="C2990" s="5">
        <v>51931047733</v>
      </c>
      <c r="D2990" s="5" t="s">
        <v>13</v>
      </c>
      <c r="E2990" s="5">
        <v>8.7547393E7</v>
      </c>
      <c r="F2990" s="5" t="s">
        <v>28</v>
      </c>
      <c r="G2990" s="5" t="s">
        <v>15</v>
      </c>
      <c r="H2990" s="5" t="s">
        <v>16</v>
      </c>
      <c r="I2990" s="6" t="s">
        <v>17</v>
      </c>
      <c r="J2990" s="7" t="s">
        <v>34</v>
      </c>
      <c r="K2990" s="7"/>
      <c r="L2990" s="8">
        <v>1.772690324829E12</v>
      </c>
      <c r="M2990" s="9"/>
      <c r="N2990" s="10"/>
      <c r="O2990" s="10"/>
      <c r="P2990" s="10"/>
      <c r="Q2990" s="10"/>
      <c r="R2990" s="10"/>
      <c r="S2990" s="10"/>
      <c r="T2990" s="10"/>
      <c r="U2990" s="10"/>
      <c r="V2990" s="10"/>
    </row>
    <row r="2991" ht="22.5" customHeight="1">
      <c r="A2991" s="5">
        <v>1.70928650903E11</v>
      </c>
      <c r="B2991" s="5" t="s">
        <v>2798</v>
      </c>
      <c r="C2991" s="5">
        <v>51924221216</v>
      </c>
      <c r="D2991" s="5" t="s">
        <v>13</v>
      </c>
      <c r="E2991" s="5">
        <v>8.7547393E7</v>
      </c>
      <c r="F2991" s="5" t="s">
        <v>14</v>
      </c>
      <c r="G2991" s="5" t="s">
        <v>32</v>
      </c>
      <c r="H2991" s="5" t="s">
        <v>80</v>
      </c>
      <c r="I2991" s="6" t="s">
        <v>17</v>
      </c>
      <c r="J2991" s="7" t="s">
        <v>124</v>
      </c>
      <c r="K2991" s="7" t="s">
        <v>125</v>
      </c>
      <c r="L2991" s="8">
        <v>1.77269166848E12</v>
      </c>
      <c r="M2991" s="9"/>
      <c r="N2991" s="10"/>
      <c r="O2991" s="10"/>
      <c r="P2991" s="10"/>
      <c r="Q2991" s="10"/>
      <c r="R2991" s="10"/>
      <c r="S2991" s="10"/>
      <c r="T2991" s="10"/>
      <c r="U2991" s="10"/>
      <c r="V2991" s="10"/>
    </row>
    <row r="2992" ht="22.5" customHeight="1">
      <c r="A2992" s="5">
        <v>2.07154333292E11</v>
      </c>
      <c r="B2992" s="5" t="s">
        <v>2799</v>
      </c>
      <c r="C2992" s="5">
        <v>51994839002</v>
      </c>
      <c r="D2992" s="5" t="s">
        <v>13</v>
      </c>
      <c r="E2992" s="5">
        <v>8.7547393E7</v>
      </c>
      <c r="F2992" s="5" t="s">
        <v>714</v>
      </c>
      <c r="G2992" s="5" t="s">
        <v>32</v>
      </c>
      <c r="H2992" s="5" t="s">
        <v>188</v>
      </c>
      <c r="I2992" s="6" t="s">
        <v>17</v>
      </c>
      <c r="J2992" s="7" t="s">
        <v>18</v>
      </c>
      <c r="K2992" s="7" t="s">
        <v>19</v>
      </c>
      <c r="L2992" s="8">
        <v>1.772695890235E12</v>
      </c>
      <c r="M2992" s="9"/>
      <c r="N2992" s="10"/>
      <c r="O2992" s="10"/>
      <c r="P2992" s="10"/>
      <c r="Q2992" s="10"/>
      <c r="R2992" s="10"/>
      <c r="S2992" s="10"/>
      <c r="T2992" s="10"/>
      <c r="U2992" s="10"/>
      <c r="V2992" s="10"/>
    </row>
    <row r="2993" ht="22.5" customHeight="1">
      <c r="A2993" s="5">
        <v>2.07176791132E11</v>
      </c>
      <c r="B2993" s="5" t="s">
        <v>2800</v>
      </c>
      <c r="C2993" s="5">
        <v>51902124813</v>
      </c>
      <c r="D2993" s="5" t="s">
        <v>13</v>
      </c>
      <c r="E2993" s="5">
        <v>8.0566583E7</v>
      </c>
      <c r="F2993" s="5" t="s">
        <v>259</v>
      </c>
      <c r="G2993" s="5" t="s">
        <v>32</v>
      </c>
      <c r="H2993" s="5" t="s">
        <v>29</v>
      </c>
      <c r="I2993" s="6" t="s">
        <v>17</v>
      </c>
      <c r="J2993" s="7" t="s">
        <v>18</v>
      </c>
      <c r="K2993" s="7" t="s">
        <v>19</v>
      </c>
      <c r="L2993" s="8">
        <v>1.772698996128E12</v>
      </c>
      <c r="M2993" s="9"/>
      <c r="N2993" s="10"/>
      <c r="O2993" s="10"/>
      <c r="P2993" s="10"/>
      <c r="Q2993" s="10"/>
      <c r="R2993" s="10"/>
      <c r="S2993" s="10"/>
      <c r="T2993" s="10"/>
      <c r="U2993" s="10"/>
      <c r="V2993" s="10"/>
    </row>
    <row r="2994" ht="22.5" customHeight="1">
      <c r="A2994" s="5">
        <v>2.0718172535E11</v>
      </c>
      <c r="B2994" s="5" t="s">
        <v>2801</v>
      </c>
      <c r="C2994" s="5">
        <v>51978940136</v>
      </c>
      <c r="D2994" s="5" t="s">
        <v>13</v>
      </c>
      <c r="E2994" s="5">
        <v>8.0566583E7</v>
      </c>
      <c r="F2994" s="5" t="s">
        <v>259</v>
      </c>
      <c r="G2994" s="5" t="s">
        <v>15</v>
      </c>
      <c r="H2994" s="5" t="s">
        <v>51</v>
      </c>
      <c r="I2994" s="6" t="s">
        <v>17</v>
      </c>
      <c r="J2994" s="7" t="s">
        <v>34</v>
      </c>
      <c r="K2994" s="7"/>
      <c r="L2994" s="8">
        <v>1.7727071634E12</v>
      </c>
      <c r="M2994" s="9"/>
      <c r="N2994" s="10"/>
      <c r="O2994" s="10"/>
      <c r="P2994" s="10"/>
      <c r="Q2994" s="10"/>
      <c r="R2994" s="10"/>
      <c r="S2994" s="10"/>
      <c r="T2994" s="10"/>
      <c r="U2994" s="10"/>
      <c r="V2994" s="10"/>
    </row>
    <row r="2995" ht="22.5" customHeight="1">
      <c r="A2995" s="5">
        <v>2.07195168354E11</v>
      </c>
      <c r="B2995" s="5" t="s">
        <v>2802</v>
      </c>
      <c r="C2995" s="5">
        <v>51974244755</v>
      </c>
      <c r="D2995" s="5" t="s">
        <v>13</v>
      </c>
      <c r="E2995" s="5">
        <v>8.0566583E7</v>
      </c>
      <c r="F2995" s="5" t="s">
        <v>14</v>
      </c>
      <c r="G2995" s="5" t="s">
        <v>15</v>
      </c>
      <c r="H2995" s="5" t="s">
        <v>51</v>
      </c>
      <c r="I2995" s="6" t="s">
        <v>17</v>
      </c>
      <c r="J2995" s="7" t="s">
        <v>18</v>
      </c>
      <c r="K2995" s="7" t="s">
        <v>19</v>
      </c>
      <c r="L2995" s="8">
        <v>1.772711303266E12</v>
      </c>
      <c r="M2995" s="9"/>
      <c r="N2995" s="10"/>
      <c r="O2995" s="10"/>
      <c r="P2995" s="10"/>
      <c r="Q2995" s="10"/>
      <c r="R2995" s="10"/>
      <c r="S2995" s="10"/>
      <c r="T2995" s="10"/>
      <c r="U2995" s="10"/>
      <c r="V2995" s="10"/>
    </row>
    <row r="2996" ht="22.5" customHeight="1">
      <c r="A2996" s="5">
        <v>1.34353411735E11</v>
      </c>
      <c r="B2996" s="5" t="s">
        <v>2803</v>
      </c>
      <c r="C2996" s="5">
        <v>51960714143</v>
      </c>
      <c r="D2996" s="5" t="s">
        <v>38</v>
      </c>
      <c r="E2996" s="5"/>
      <c r="F2996" s="5"/>
      <c r="G2996" s="5"/>
      <c r="H2996" s="5"/>
      <c r="I2996" s="6"/>
      <c r="J2996" s="7" t="s">
        <v>18</v>
      </c>
      <c r="K2996" s="7" t="s">
        <v>19</v>
      </c>
      <c r="L2996" s="8">
        <v>1.772712910368E12</v>
      </c>
      <c r="M2996" s="9"/>
      <c r="N2996" s="10"/>
      <c r="O2996" s="10"/>
      <c r="P2996" s="10"/>
      <c r="Q2996" s="10"/>
      <c r="R2996" s="10"/>
      <c r="S2996" s="10"/>
      <c r="T2996" s="10"/>
      <c r="U2996" s="10"/>
      <c r="V2996" s="10"/>
    </row>
    <row r="2997" ht="22.5" customHeight="1">
      <c r="A2997" s="5">
        <v>2.07199505244E11</v>
      </c>
      <c r="B2997" s="5" t="s">
        <v>2804</v>
      </c>
      <c r="C2997" s="5">
        <v>51928097920</v>
      </c>
      <c r="D2997" s="5" t="s">
        <v>38</v>
      </c>
      <c r="E2997" s="5">
        <v>8.0566583E7</v>
      </c>
      <c r="F2997" s="5" t="s">
        <v>39</v>
      </c>
      <c r="G2997" s="5" t="s">
        <v>15</v>
      </c>
      <c r="H2997" s="5" t="s">
        <v>16</v>
      </c>
      <c r="I2997" s="6" t="s">
        <v>17</v>
      </c>
      <c r="J2997" s="7" t="s">
        <v>34</v>
      </c>
      <c r="K2997" s="7"/>
      <c r="L2997" s="8">
        <v>1.772712991688E12</v>
      </c>
      <c r="M2997" s="9"/>
      <c r="N2997" s="10"/>
      <c r="O2997" s="10"/>
      <c r="P2997" s="10"/>
      <c r="Q2997" s="10"/>
      <c r="R2997" s="10"/>
      <c r="S2997" s="10"/>
      <c r="T2997" s="10"/>
      <c r="U2997" s="10"/>
      <c r="V2997" s="10"/>
    </row>
    <row r="2998" ht="22.5" customHeight="1">
      <c r="A2998" s="5">
        <v>2.07189989295E11</v>
      </c>
      <c r="B2998" s="5" t="s">
        <v>2805</v>
      </c>
      <c r="C2998" s="5">
        <v>51985088210</v>
      </c>
      <c r="D2998" s="5" t="s">
        <v>13</v>
      </c>
      <c r="E2998" s="5">
        <v>8.0566583E7</v>
      </c>
      <c r="F2998" s="5" t="s">
        <v>14</v>
      </c>
      <c r="G2998" s="5" t="s">
        <v>15</v>
      </c>
      <c r="H2998" s="5" t="s">
        <v>66</v>
      </c>
      <c r="I2998" s="6" t="s">
        <v>17</v>
      </c>
      <c r="J2998" s="7" t="s">
        <v>18</v>
      </c>
      <c r="K2998" s="7" t="s">
        <v>19</v>
      </c>
      <c r="L2998" s="8">
        <v>1.77271313288E12</v>
      </c>
      <c r="M2998" s="9"/>
      <c r="N2998" s="10"/>
      <c r="O2998" s="10"/>
      <c r="P2998" s="10"/>
      <c r="Q2998" s="10"/>
      <c r="R2998" s="10"/>
      <c r="S2998" s="10"/>
      <c r="T2998" s="10"/>
      <c r="U2998" s="10"/>
      <c r="V2998" s="10"/>
    </row>
    <row r="2999" ht="22.5" customHeight="1">
      <c r="A2999" s="5">
        <v>2.07191114638E11</v>
      </c>
      <c r="B2999" s="5" t="s">
        <v>2806</v>
      </c>
      <c r="C2999" s="5">
        <v>5543991199409</v>
      </c>
      <c r="D2999" s="5" t="s">
        <v>103</v>
      </c>
      <c r="E2999" s="5">
        <v>7.9360573E7</v>
      </c>
      <c r="F2999" s="5" t="s">
        <v>93</v>
      </c>
      <c r="G2999" s="5" t="s">
        <v>44</v>
      </c>
      <c r="H2999" s="5" t="s">
        <v>114</v>
      </c>
      <c r="I2999" s="6" t="s">
        <v>148</v>
      </c>
      <c r="J2999" s="7" t="s">
        <v>34</v>
      </c>
      <c r="K2999" s="7"/>
      <c r="L2999" s="8">
        <v>1.77271442058E12</v>
      </c>
      <c r="M2999" s="9"/>
      <c r="N2999" s="10"/>
      <c r="O2999" s="10"/>
      <c r="P2999" s="10"/>
      <c r="Q2999" s="10"/>
      <c r="R2999" s="10"/>
      <c r="S2999" s="10"/>
      <c r="T2999" s="10"/>
      <c r="U2999" s="10"/>
      <c r="V2999" s="10"/>
    </row>
    <row r="3000" ht="22.5" customHeight="1">
      <c r="A3000" s="5">
        <v>2.07201567247E11</v>
      </c>
      <c r="B3000" s="5" t="s">
        <v>2807</v>
      </c>
      <c r="C3000" s="5">
        <v>51915955589</v>
      </c>
      <c r="D3000" s="5" t="s">
        <v>13</v>
      </c>
      <c r="E3000" s="5">
        <v>8.0566583E7</v>
      </c>
      <c r="F3000" s="5" t="s">
        <v>42</v>
      </c>
      <c r="G3000" s="5" t="s">
        <v>15</v>
      </c>
      <c r="H3000" s="5" t="s">
        <v>51</v>
      </c>
      <c r="I3000" s="6" t="s">
        <v>17</v>
      </c>
      <c r="J3000" s="7" t="s">
        <v>18</v>
      </c>
      <c r="K3000" s="7" t="s">
        <v>19</v>
      </c>
      <c r="L3000" s="8">
        <v>1.772715454674E12</v>
      </c>
      <c r="M3000" s="9"/>
      <c r="N3000" s="10"/>
      <c r="O3000" s="10"/>
      <c r="P3000" s="10"/>
      <c r="Q3000" s="10"/>
      <c r="R3000" s="10"/>
      <c r="S3000" s="10"/>
      <c r="T3000" s="10"/>
      <c r="U3000" s="10"/>
      <c r="V3000" s="10"/>
    </row>
    <row r="3001" ht="22.5" customHeight="1">
      <c r="A3001" s="5">
        <v>2.0719861076E11</v>
      </c>
      <c r="B3001" s="5" t="s">
        <v>2808</v>
      </c>
      <c r="C3001" s="5">
        <v>51970123398</v>
      </c>
      <c r="D3001" s="5" t="s">
        <v>38</v>
      </c>
      <c r="E3001" s="5">
        <v>8.7547393E7</v>
      </c>
      <c r="F3001" s="5"/>
      <c r="G3001" s="5"/>
      <c r="H3001" s="5"/>
      <c r="I3001" s="6"/>
      <c r="J3001" s="7" t="s">
        <v>18</v>
      </c>
      <c r="K3001" s="7" t="s">
        <v>19</v>
      </c>
      <c r="L3001" s="8">
        <v>1.772715704403E12</v>
      </c>
      <c r="M3001" s="9"/>
      <c r="N3001" s="10"/>
      <c r="O3001" s="10"/>
      <c r="P3001" s="10"/>
      <c r="Q3001" s="10"/>
      <c r="R3001" s="10"/>
      <c r="S3001" s="10"/>
      <c r="T3001" s="10"/>
      <c r="U3001" s="10"/>
      <c r="V3001" s="10"/>
    </row>
    <row r="3002" ht="22.5" customHeight="1">
      <c r="A3002" s="5">
        <v>2.072016196E11</v>
      </c>
      <c r="B3002" s="5" t="s">
        <v>2809</v>
      </c>
      <c r="C3002" s="5">
        <v>51945371459</v>
      </c>
      <c r="D3002" s="5" t="s">
        <v>13</v>
      </c>
      <c r="E3002" s="5">
        <v>8.7547393E7</v>
      </c>
      <c r="F3002" s="5" t="s">
        <v>714</v>
      </c>
      <c r="G3002" s="5" t="s">
        <v>15</v>
      </c>
      <c r="H3002" s="5" t="s">
        <v>51</v>
      </c>
      <c r="I3002" s="6" t="s">
        <v>49</v>
      </c>
      <c r="J3002" s="7" t="s">
        <v>18</v>
      </c>
      <c r="K3002" s="7" t="s">
        <v>19</v>
      </c>
      <c r="L3002" s="8">
        <v>1.772716392786E12</v>
      </c>
      <c r="M3002" s="9"/>
      <c r="N3002" s="10"/>
      <c r="O3002" s="10"/>
      <c r="P3002" s="10"/>
      <c r="Q3002" s="10"/>
      <c r="R3002" s="10"/>
      <c r="S3002" s="10"/>
      <c r="T3002" s="10"/>
      <c r="U3002" s="10"/>
      <c r="V3002" s="10"/>
    </row>
    <row r="3003" ht="22.5" customHeight="1">
      <c r="A3003" s="5">
        <v>2.07212416297E11</v>
      </c>
      <c r="B3003" s="5" t="s">
        <v>2810</v>
      </c>
      <c r="C3003" s="5">
        <v>51925537480</v>
      </c>
      <c r="D3003" s="5" t="s">
        <v>13</v>
      </c>
      <c r="E3003" s="5">
        <v>8.0566583E7</v>
      </c>
      <c r="F3003" s="5" t="s">
        <v>39</v>
      </c>
      <c r="G3003" s="5" t="s">
        <v>15</v>
      </c>
      <c r="H3003" s="5" t="s">
        <v>66</v>
      </c>
      <c r="I3003" s="6" t="s">
        <v>17</v>
      </c>
      <c r="J3003" s="7" t="s">
        <v>34</v>
      </c>
      <c r="K3003" s="7"/>
      <c r="L3003" s="8">
        <v>1.772717049927E12</v>
      </c>
      <c r="M3003" s="9"/>
      <c r="N3003" s="10"/>
      <c r="O3003" s="10"/>
      <c r="P3003" s="10"/>
      <c r="Q3003" s="10"/>
      <c r="R3003" s="10"/>
      <c r="S3003" s="10"/>
      <c r="T3003" s="10"/>
      <c r="U3003" s="10"/>
      <c r="V3003" s="10"/>
    </row>
    <row r="3004" ht="22.5" customHeight="1">
      <c r="A3004" s="5">
        <v>2.07203375626E11</v>
      </c>
      <c r="B3004" s="5" t="s">
        <v>2811</v>
      </c>
      <c r="C3004" s="5">
        <v>51974993728</v>
      </c>
      <c r="D3004" s="5" t="s">
        <v>13</v>
      </c>
      <c r="E3004" s="5">
        <v>8.7547393E7</v>
      </c>
      <c r="F3004" s="5" t="s">
        <v>39</v>
      </c>
      <c r="G3004" s="5" t="s">
        <v>15</v>
      </c>
      <c r="H3004" s="5" t="s">
        <v>88</v>
      </c>
      <c r="I3004" s="6" t="s">
        <v>17</v>
      </c>
      <c r="J3004" s="7" t="s">
        <v>18</v>
      </c>
      <c r="K3004" s="7" t="s">
        <v>19</v>
      </c>
      <c r="L3004" s="8">
        <v>1.772717099437E12</v>
      </c>
      <c r="M3004" s="9"/>
      <c r="N3004" s="10"/>
      <c r="O3004" s="10"/>
      <c r="P3004" s="10"/>
      <c r="Q3004" s="10"/>
      <c r="R3004" s="10"/>
      <c r="S3004" s="10"/>
      <c r="T3004" s="10"/>
      <c r="U3004" s="10"/>
      <c r="V3004" s="10"/>
    </row>
    <row r="3005" ht="22.5" customHeight="1">
      <c r="A3005" s="5">
        <v>2.07204296976E11</v>
      </c>
      <c r="B3005" s="5" t="s">
        <v>2812</v>
      </c>
      <c r="C3005" s="5">
        <v>51910487189</v>
      </c>
      <c r="D3005" s="5" t="s">
        <v>13</v>
      </c>
      <c r="E3005" s="5">
        <v>8.0566583E7</v>
      </c>
      <c r="F3005" s="5" t="s">
        <v>14</v>
      </c>
      <c r="G3005" s="5" t="s">
        <v>15</v>
      </c>
      <c r="H3005" s="5" t="s">
        <v>51</v>
      </c>
      <c r="I3005" s="6" t="s">
        <v>17</v>
      </c>
      <c r="J3005" s="7" t="s">
        <v>18</v>
      </c>
      <c r="K3005" s="7" t="s">
        <v>19</v>
      </c>
      <c r="L3005" s="8">
        <v>1.772717580178E12</v>
      </c>
      <c r="M3005" s="9"/>
      <c r="N3005" s="10"/>
      <c r="O3005" s="10"/>
      <c r="P3005" s="10"/>
      <c r="Q3005" s="10"/>
      <c r="R3005" s="10"/>
      <c r="S3005" s="10"/>
      <c r="T3005" s="10"/>
      <c r="U3005" s="10"/>
      <c r="V3005" s="10"/>
    </row>
    <row r="3006" ht="22.5" customHeight="1">
      <c r="A3006" s="5">
        <v>2.07209117254E11</v>
      </c>
      <c r="B3006" s="5" t="s">
        <v>2813</v>
      </c>
      <c r="C3006" s="5">
        <v>51917405606</v>
      </c>
      <c r="D3006" s="5" t="s">
        <v>13</v>
      </c>
      <c r="E3006" s="5">
        <v>8.7547393E7</v>
      </c>
      <c r="F3006" s="5" t="s">
        <v>39</v>
      </c>
      <c r="G3006" s="5" t="s">
        <v>15</v>
      </c>
      <c r="H3006" s="5" t="s">
        <v>66</v>
      </c>
      <c r="I3006" s="6" t="s">
        <v>17</v>
      </c>
      <c r="J3006" s="7" t="s">
        <v>18</v>
      </c>
      <c r="K3006" s="7" t="s">
        <v>19</v>
      </c>
      <c r="L3006" s="8">
        <v>1.772717919002E12</v>
      </c>
      <c r="M3006" s="9"/>
      <c r="N3006" s="10"/>
      <c r="O3006" s="10"/>
      <c r="P3006" s="10"/>
      <c r="Q3006" s="10"/>
      <c r="R3006" s="10"/>
      <c r="S3006" s="10"/>
      <c r="T3006" s="10"/>
      <c r="U3006" s="10"/>
      <c r="V3006" s="10"/>
    </row>
    <row r="3007" ht="22.5" customHeight="1">
      <c r="A3007" s="5">
        <v>2.0721710529E11</v>
      </c>
      <c r="B3007" s="5" t="s">
        <v>2814</v>
      </c>
      <c r="C3007" s="5">
        <v>51935876289</v>
      </c>
      <c r="D3007" s="5" t="s">
        <v>13</v>
      </c>
      <c r="E3007" s="5">
        <v>8.7547393E7</v>
      </c>
      <c r="F3007" s="5" t="s">
        <v>28</v>
      </c>
      <c r="G3007" s="5" t="s">
        <v>32</v>
      </c>
      <c r="H3007" s="5" t="s">
        <v>16</v>
      </c>
      <c r="I3007" s="6" t="s">
        <v>17</v>
      </c>
      <c r="J3007" s="7" t="s">
        <v>34</v>
      </c>
      <c r="K3007" s="7"/>
      <c r="L3007" s="8">
        <v>1.77271837043E12</v>
      </c>
      <c r="M3007" s="9"/>
      <c r="N3007" s="10"/>
      <c r="O3007" s="10"/>
      <c r="P3007" s="10"/>
      <c r="Q3007" s="10"/>
      <c r="R3007" s="10"/>
      <c r="S3007" s="10"/>
      <c r="T3007" s="10"/>
      <c r="U3007" s="10"/>
      <c r="V3007" s="10"/>
    </row>
    <row r="3008" ht="22.5" customHeight="1">
      <c r="A3008" s="5">
        <v>2.07211154265E11</v>
      </c>
      <c r="B3008" s="5" t="s">
        <v>2815</v>
      </c>
      <c r="C3008" s="5">
        <v>51904304154</v>
      </c>
      <c r="D3008" s="5" t="s">
        <v>22</v>
      </c>
      <c r="E3008" s="5">
        <v>8.7547393E7</v>
      </c>
      <c r="F3008" s="5" t="s">
        <v>42</v>
      </c>
      <c r="G3008" s="5" t="s">
        <v>44</v>
      </c>
      <c r="H3008" s="5" t="s">
        <v>24</v>
      </c>
      <c r="I3008" s="6" t="s">
        <v>17</v>
      </c>
      <c r="J3008" s="7" t="s">
        <v>18</v>
      </c>
      <c r="K3008" s="7" t="s">
        <v>19</v>
      </c>
      <c r="L3008" s="8">
        <v>1.772718764444E12</v>
      </c>
      <c r="M3008" s="9"/>
      <c r="N3008" s="10"/>
      <c r="O3008" s="10"/>
      <c r="P3008" s="10"/>
      <c r="Q3008" s="10"/>
      <c r="R3008" s="10"/>
      <c r="S3008" s="10"/>
      <c r="T3008" s="10"/>
      <c r="U3008" s="10"/>
      <c r="V3008" s="10"/>
    </row>
    <row r="3009" ht="22.5" customHeight="1">
      <c r="A3009" s="5">
        <v>2.07212346776E11</v>
      </c>
      <c r="B3009" s="5" t="s">
        <v>2816</v>
      </c>
      <c r="C3009" s="5">
        <v>51910692062</v>
      </c>
      <c r="D3009" s="5" t="s">
        <v>13</v>
      </c>
      <c r="E3009" s="5">
        <v>8.7547393E7</v>
      </c>
      <c r="F3009" s="5"/>
      <c r="G3009" s="5" t="s">
        <v>15</v>
      </c>
      <c r="H3009" s="5" t="s">
        <v>51</v>
      </c>
      <c r="I3009" s="6" t="s">
        <v>17</v>
      </c>
      <c r="J3009" s="7" t="s">
        <v>34</v>
      </c>
      <c r="K3009" s="7"/>
      <c r="L3009" s="8">
        <v>1.772719433874E12</v>
      </c>
      <c r="M3009" s="9"/>
      <c r="N3009" s="10"/>
      <c r="O3009" s="10"/>
      <c r="P3009" s="10"/>
      <c r="Q3009" s="10"/>
      <c r="R3009" s="10"/>
      <c r="S3009" s="10"/>
      <c r="T3009" s="10"/>
      <c r="U3009" s="10"/>
      <c r="V3009" s="10"/>
    </row>
    <row r="3010" ht="22.5" customHeight="1">
      <c r="A3010" s="5">
        <v>2.0720970549E11</v>
      </c>
      <c r="B3010" s="5" t="s">
        <v>2817</v>
      </c>
      <c r="C3010" s="5">
        <v>5598988704258</v>
      </c>
      <c r="D3010" s="5" t="s">
        <v>13</v>
      </c>
      <c r="E3010" s="5">
        <v>7.9360573E7</v>
      </c>
      <c r="F3010" s="5" t="s">
        <v>14</v>
      </c>
      <c r="G3010" s="5" t="s">
        <v>15</v>
      </c>
      <c r="H3010" s="5" t="s">
        <v>66</v>
      </c>
      <c r="I3010" s="6" t="s">
        <v>17</v>
      </c>
      <c r="J3010" s="7" t="s">
        <v>124</v>
      </c>
      <c r="K3010" s="7" t="s">
        <v>1256</v>
      </c>
      <c r="L3010" s="8">
        <v>1.772719675052E12</v>
      </c>
      <c r="M3010" s="9"/>
      <c r="N3010" s="10"/>
      <c r="O3010" s="10"/>
      <c r="P3010" s="10"/>
      <c r="Q3010" s="10"/>
      <c r="R3010" s="10"/>
      <c r="S3010" s="10"/>
      <c r="T3010" s="10"/>
      <c r="U3010" s="10"/>
      <c r="V3010" s="10"/>
    </row>
    <row r="3011" ht="22.5" customHeight="1">
      <c r="A3011" s="5">
        <v>2.07218004127E11</v>
      </c>
      <c r="B3011" s="5" t="s">
        <v>2818</v>
      </c>
      <c r="C3011" s="5">
        <v>51925007050</v>
      </c>
      <c r="D3011" s="5" t="s">
        <v>13</v>
      </c>
      <c r="E3011" s="5">
        <v>8.7547393E7</v>
      </c>
      <c r="F3011" s="5"/>
      <c r="G3011" s="5"/>
      <c r="H3011" s="5" t="s">
        <v>51</v>
      </c>
      <c r="I3011" s="6" t="s">
        <v>17</v>
      </c>
      <c r="J3011" s="7" t="s">
        <v>18</v>
      </c>
      <c r="K3011" s="7" t="s">
        <v>19</v>
      </c>
      <c r="L3011" s="8">
        <v>1.772719742276E12</v>
      </c>
      <c r="M3011" s="9"/>
      <c r="N3011" s="10"/>
      <c r="O3011" s="10"/>
      <c r="P3011" s="10"/>
      <c r="Q3011" s="10"/>
      <c r="R3011" s="10"/>
      <c r="S3011" s="10"/>
      <c r="T3011" s="10"/>
      <c r="U3011" s="10"/>
      <c r="V3011" s="10"/>
    </row>
    <row r="3012" ht="22.5" customHeight="1">
      <c r="A3012" s="5">
        <v>1.60752826742E11</v>
      </c>
      <c r="B3012" s="5" t="s">
        <v>2819</v>
      </c>
      <c r="C3012" s="5">
        <v>51935735584</v>
      </c>
      <c r="D3012" s="5" t="s">
        <v>13</v>
      </c>
      <c r="E3012" s="5"/>
      <c r="F3012" s="5" t="s">
        <v>28</v>
      </c>
      <c r="G3012" s="5" t="s">
        <v>15</v>
      </c>
      <c r="H3012" s="5" t="s">
        <v>51</v>
      </c>
      <c r="I3012" s="6" t="s">
        <v>17</v>
      </c>
      <c r="J3012" s="7" t="s">
        <v>124</v>
      </c>
      <c r="K3012" s="7" t="s">
        <v>1426</v>
      </c>
      <c r="L3012" s="8">
        <v>1.772719998436E12</v>
      </c>
      <c r="M3012" s="9"/>
      <c r="N3012" s="10"/>
      <c r="O3012" s="10"/>
      <c r="P3012" s="10"/>
      <c r="Q3012" s="10"/>
      <c r="R3012" s="10"/>
      <c r="S3012" s="10"/>
      <c r="T3012" s="10"/>
      <c r="U3012" s="10"/>
      <c r="V3012" s="10"/>
    </row>
    <row r="3013" ht="22.5" customHeight="1">
      <c r="A3013" s="5">
        <v>2.0718172535E11</v>
      </c>
      <c r="B3013" s="5" t="s">
        <v>2801</v>
      </c>
      <c r="C3013" s="5">
        <v>51978940136</v>
      </c>
      <c r="D3013" s="5" t="s">
        <v>13</v>
      </c>
      <c r="E3013" s="5">
        <v>8.0566583E7</v>
      </c>
      <c r="F3013" s="5" t="s">
        <v>259</v>
      </c>
      <c r="G3013" s="5" t="s">
        <v>15</v>
      </c>
      <c r="H3013" s="5" t="s">
        <v>51</v>
      </c>
      <c r="I3013" s="6" t="s">
        <v>17</v>
      </c>
      <c r="J3013" s="7" t="s">
        <v>34</v>
      </c>
      <c r="K3013" s="7"/>
      <c r="L3013" s="8">
        <v>1.772720577464E12</v>
      </c>
      <c r="M3013" s="9"/>
      <c r="N3013" s="10"/>
      <c r="O3013" s="10"/>
      <c r="P3013" s="10"/>
      <c r="Q3013" s="10"/>
      <c r="R3013" s="10"/>
      <c r="S3013" s="10"/>
      <c r="T3013" s="10"/>
      <c r="U3013" s="10"/>
      <c r="V3013" s="10"/>
    </row>
    <row r="3014" ht="22.5" customHeight="1">
      <c r="A3014" s="5">
        <v>2.07219685751E11</v>
      </c>
      <c r="B3014" s="5" t="s">
        <v>2820</v>
      </c>
      <c r="C3014" s="5">
        <v>51910797430</v>
      </c>
      <c r="D3014" s="5" t="s">
        <v>13</v>
      </c>
      <c r="E3014" s="5">
        <v>8.0566583E7</v>
      </c>
      <c r="F3014" s="5" t="s">
        <v>39</v>
      </c>
      <c r="G3014" s="5" t="s">
        <v>15</v>
      </c>
      <c r="H3014" s="5" t="s">
        <v>86</v>
      </c>
      <c r="I3014" s="6" t="s">
        <v>17</v>
      </c>
      <c r="J3014" s="7" t="s">
        <v>34</v>
      </c>
      <c r="K3014" s="7"/>
      <c r="L3014" s="8">
        <v>1.772720849574E12</v>
      </c>
      <c r="M3014" s="9"/>
      <c r="N3014" s="10"/>
      <c r="O3014" s="10"/>
      <c r="P3014" s="10"/>
      <c r="Q3014" s="10"/>
      <c r="R3014" s="10"/>
      <c r="S3014" s="10"/>
      <c r="T3014" s="10"/>
      <c r="U3014" s="10"/>
      <c r="V3014" s="10"/>
    </row>
    <row r="3015" ht="22.5" customHeight="1">
      <c r="A3015" s="5">
        <v>2.07225663373E11</v>
      </c>
      <c r="B3015" s="5" t="s">
        <v>2821</v>
      </c>
      <c r="C3015" s="5">
        <v>51963260283</v>
      </c>
      <c r="D3015" s="5" t="s">
        <v>13</v>
      </c>
      <c r="E3015" s="5">
        <v>8.7547393E7</v>
      </c>
      <c r="F3015" s="5" t="s">
        <v>39</v>
      </c>
      <c r="G3015" s="5" t="s">
        <v>15</v>
      </c>
      <c r="H3015" s="5" t="s">
        <v>33</v>
      </c>
      <c r="I3015" s="6" t="s">
        <v>17</v>
      </c>
      <c r="J3015" s="7" t="s">
        <v>18</v>
      </c>
      <c r="K3015" s="7" t="s">
        <v>19</v>
      </c>
      <c r="L3015" s="8">
        <v>1.772723452353E12</v>
      </c>
      <c r="M3015" s="9"/>
      <c r="N3015" s="10"/>
      <c r="O3015" s="10"/>
      <c r="P3015" s="10"/>
      <c r="Q3015" s="10"/>
      <c r="R3015" s="10"/>
      <c r="S3015" s="10"/>
      <c r="T3015" s="10"/>
      <c r="U3015" s="10"/>
      <c r="V3015" s="10"/>
    </row>
    <row r="3016" ht="22.5" customHeight="1">
      <c r="A3016" s="5">
        <v>2.072347762E11</v>
      </c>
      <c r="B3016" s="5" t="s">
        <v>2822</v>
      </c>
      <c r="C3016" s="5">
        <v>573105041007</v>
      </c>
      <c r="D3016" s="5" t="s">
        <v>13</v>
      </c>
      <c r="E3016" s="5">
        <v>8.0566583E7</v>
      </c>
      <c r="F3016" s="5" t="s">
        <v>39</v>
      </c>
      <c r="G3016" s="5" t="s">
        <v>15</v>
      </c>
      <c r="H3016" s="5" t="s">
        <v>33</v>
      </c>
      <c r="I3016" s="6" t="s">
        <v>89</v>
      </c>
      <c r="J3016" s="7" t="s">
        <v>34</v>
      </c>
      <c r="K3016" s="7"/>
      <c r="L3016" s="8">
        <v>1.772725058661E12</v>
      </c>
      <c r="M3016" s="9"/>
      <c r="N3016" s="10"/>
      <c r="O3016" s="10"/>
      <c r="P3016" s="10"/>
      <c r="Q3016" s="10"/>
      <c r="R3016" s="10"/>
      <c r="S3016" s="10"/>
      <c r="T3016" s="10"/>
      <c r="U3016" s="10"/>
      <c r="V3016" s="10"/>
    </row>
    <row r="3017" ht="22.5" customHeight="1">
      <c r="A3017" s="5">
        <v>2.07232955469E11</v>
      </c>
      <c r="B3017" s="5" t="s">
        <v>2823</v>
      </c>
      <c r="C3017" s="5">
        <v>51961586333</v>
      </c>
      <c r="D3017" s="5" t="s">
        <v>13</v>
      </c>
      <c r="E3017" s="5">
        <v>8.7547393E7</v>
      </c>
      <c r="F3017" s="5" t="s">
        <v>28</v>
      </c>
      <c r="G3017" s="5" t="s">
        <v>32</v>
      </c>
      <c r="H3017" s="5" t="s">
        <v>66</v>
      </c>
      <c r="I3017" s="6" t="s">
        <v>17</v>
      </c>
      <c r="J3017" s="7" t="s">
        <v>34</v>
      </c>
      <c r="K3017" s="7"/>
      <c r="L3017" s="8">
        <v>1.772725871868E12</v>
      </c>
      <c r="M3017" s="9"/>
      <c r="N3017" s="10"/>
      <c r="O3017" s="10"/>
      <c r="P3017" s="10"/>
      <c r="Q3017" s="10"/>
      <c r="R3017" s="10"/>
      <c r="S3017" s="10"/>
      <c r="T3017" s="10"/>
      <c r="U3017" s="10"/>
      <c r="V3017" s="10"/>
    </row>
    <row r="3018" ht="22.5" customHeight="1">
      <c r="A3018" s="5">
        <v>2.07260168275E11</v>
      </c>
      <c r="B3018" s="5" t="s">
        <v>2824</v>
      </c>
      <c r="C3018" s="5">
        <v>51928349508</v>
      </c>
      <c r="D3018" s="5" t="s">
        <v>13</v>
      </c>
      <c r="E3018" s="5">
        <v>8.7547393E7</v>
      </c>
      <c r="F3018" s="5" t="s">
        <v>28</v>
      </c>
      <c r="G3018" s="5" t="s">
        <v>15</v>
      </c>
      <c r="H3018" s="5" t="s">
        <v>51</v>
      </c>
      <c r="I3018" s="6" t="s">
        <v>36</v>
      </c>
      <c r="J3018" s="7" t="s">
        <v>18</v>
      </c>
      <c r="K3018" s="7" t="s">
        <v>19</v>
      </c>
      <c r="L3018" s="8">
        <v>1.772726578161E12</v>
      </c>
      <c r="M3018" s="9"/>
      <c r="N3018" s="10"/>
      <c r="O3018" s="10"/>
      <c r="P3018" s="10"/>
      <c r="Q3018" s="10"/>
      <c r="R3018" s="10"/>
      <c r="S3018" s="10"/>
      <c r="T3018" s="10"/>
      <c r="U3018" s="10"/>
      <c r="V3018" s="10"/>
    </row>
    <row r="3019" ht="22.5" customHeight="1">
      <c r="A3019" s="5">
        <v>2.07267541807E11</v>
      </c>
      <c r="B3019" s="5" t="s">
        <v>2825</v>
      </c>
      <c r="C3019" s="5">
        <v>51918793256</v>
      </c>
      <c r="D3019" s="5" t="s">
        <v>13</v>
      </c>
      <c r="E3019" s="5">
        <v>8.7547393E7</v>
      </c>
      <c r="F3019" s="5" t="s">
        <v>65</v>
      </c>
      <c r="G3019" s="5" t="s">
        <v>15</v>
      </c>
      <c r="H3019" s="5" t="s">
        <v>51</v>
      </c>
      <c r="I3019" s="6" t="s">
        <v>17</v>
      </c>
      <c r="J3019" s="7" t="s">
        <v>18</v>
      </c>
      <c r="K3019" s="7" t="s">
        <v>19</v>
      </c>
      <c r="L3019" s="8">
        <v>1.772728470049E12</v>
      </c>
      <c r="M3019" s="9"/>
      <c r="N3019" s="10"/>
      <c r="O3019" s="10"/>
      <c r="P3019" s="10"/>
      <c r="Q3019" s="10"/>
      <c r="R3019" s="10"/>
      <c r="S3019" s="10"/>
      <c r="T3019" s="10"/>
      <c r="U3019" s="10"/>
      <c r="V3019" s="10"/>
    </row>
    <row r="3020" ht="22.5" customHeight="1">
      <c r="A3020" s="5">
        <v>2.0255467764E11</v>
      </c>
      <c r="B3020" s="5" t="s">
        <v>1095</v>
      </c>
      <c r="C3020" s="5">
        <v>51942476324</v>
      </c>
      <c r="D3020" s="5" t="s">
        <v>22</v>
      </c>
      <c r="E3020" s="5">
        <v>8.7547393E7</v>
      </c>
      <c r="F3020" s="5" t="s">
        <v>39</v>
      </c>
      <c r="G3020" s="5" t="s">
        <v>32</v>
      </c>
      <c r="H3020" s="5" t="s">
        <v>114</v>
      </c>
      <c r="I3020" s="6" t="s">
        <v>17</v>
      </c>
      <c r="J3020" s="7" t="s">
        <v>34</v>
      </c>
      <c r="K3020" s="7"/>
      <c r="L3020" s="8">
        <v>1.772731458059E12</v>
      </c>
      <c r="M3020" s="9"/>
      <c r="N3020" s="10"/>
      <c r="O3020" s="10"/>
      <c r="P3020" s="10"/>
      <c r="Q3020" s="10"/>
      <c r="R3020" s="10"/>
      <c r="S3020" s="10"/>
      <c r="T3020" s="10"/>
      <c r="U3020" s="10"/>
      <c r="V3020" s="10"/>
    </row>
    <row r="3021" ht="22.5" customHeight="1">
      <c r="A3021" s="5">
        <v>2.07282382345E11</v>
      </c>
      <c r="B3021" s="5" t="s">
        <v>2826</v>
      </c>
      <c r="C3021" s="5">
        <v>51985848284</v>
      </c>
      <c r="D3021" s="5" t="s">
        <v>13</v>
      </c>
      <c r="E3021" s="5">
        <v>8.0566583E7</v>
      </c>
      <c r="F3021" s="5" t="s">
        <v>39</v>
      </c>
      <c r="G3021" s="5" t="s">
        <v>15</v>
      </c>
      <c r="H3021" s="5" t="s">
        <v>24</v>
      </c>
      <c r="I3021" s="6" t="s">
        <v>17</v>
      </c>
      <c r="J3021" s="7" t="s">
        <v>18</v>
      </c>
      <c r="K3021" s="7" t="s">
        <v>19</v>
      </c>
      <c r="L3021" s="8">
        <v>1.772732310587E12</v>
      </c>
      <c r="M3021" s="9"/>
      <c r="N3021" s="10"/>
      <c r="O3021" s="10"/>
      <c r="P3021" s="10"/>
      <c r="Q3021" s="10"/>
      <c r="R3021" s="10"/>
      <c r="S3021" s="10"/>
      <c r="T3021" s="10"/>
      <c r="U3021" s="10"/>
      <c r="V3021" s="10"/>
    </row>
    <row r="3022" ht="22.5" customHeight="1">
      <c r="A3022" s="5">
        <v>2.07286715779E11</v>
      </c>
      <c r="B3022" s="5" t="s">
        <v>2827</v>
      </c>
      <c r="C3022" s="5">
        <v>51994554977</v>
      </c>
      <c r="D3022" s="5" t="s">
        <v>13</v>
      </c>
      <c r="E3022" s="5">
        <v>8.0566583E7</v>
      </c>
      <c r="F3022" s="5" t="s">
        <v>259</v>
      </c>
      <c r="G3022" s="5" t="s">
        <v>32</v>
      </c>
      <c r="H3022" s="5" t="s">
        <v>24</v>
      </c>
      <c r="I3022" s="6" t="s">
        <v>36</v>
      </c>
      <c r="J3022" s="7" t="s">
        <v>18</v>
      </c>
      <c r="K3022" s="7" t="s">
        <v>19</v>
      </c>
      <c r="L3022" s="8">
        <v>1.772733112331E12</v>
      </c>
      <c r="M3022" s="9"/>
      <c r="N3022" s="10"/>
      <c r="O3022" s="10"/>
      <c r="P3022" s="10"/>
      <c r="Q3022" s="10"/>
      <c r="R3022" s="10"/>
      <c r="S3022" s="10"/>
      <c r="T3022" s="10"/>
      <c r="U3022" s="10"/>
      <c r="V3022" s="10"/>
    </row>
    <row r="3023" ht="22.5" customHeight="1">
      <c r="A3023" s="5">
        <v>2.07296783764E11</v>
      </c>
      <c r="B3023" s="5" t="s">
        <v>2828</v>
      </c>
      <c r="C3023" s="5">
        <v>51912403027</v>
      </c>
      <c r="D3023" s="5" t="s">
        <v>13</v>
      </c>
      <c r="E3023" s="5">
        <v>8.0566583E7</v>
      </c>
      <c r="F3023" s="5" t="s">
        <v>65</v>
      </c>
      <c r="G3023" s="5" t="s">
        <v>15</v>
      </c>
      <c r="H3023" s="5" t="s">
        <v>66</v>
      </c>
      <c r="I3023" s="6" t="s">
        <v>17</v>
      </c>
      <c r="J3023" s="7" t="s">
        <v>18</v>
      </c>
      <c r="K3023" s="7" t="s">
        <v>19</v>
      </c>
      <c r="L3023" s="8">
        <v>1.772733256488E12</v>
      </c>
      <c r="M3023" s="9"/>
      <c r="N3023" s="10"/>
      <c r="O3023" s="10"/>
      <c r="P3023" s="10"/>
      <c r="Q3023" s="10"/>
      <c r="R3023" s="10"/>
      <c r="S3023" s="10"/>
      <c r="T3023" s="10"/>
      <c r="U3023" s="10"/>
      <c r="V3023" s="10"/>
    </row>
    <row r="3024" ht="22.5" customHeight="1">
      <c r="A3024" s="5">
        <v>2.07297105947E11</v>
      </c>
      <c r="B3024" s="5" t="s">
        <v>2829</v>
      </c>
      <c r="C3024" s="5">
        <v>51994236641</v>
      </c>
      <c r="D3024" s="5" t="s">
        <v>13</v>
      </c>
      <c r="E3024" s="5">
        <v>8.7547393E7</v>
      </c>
      <c r="F3024" s="5" t="s">
        <v>39</v>
      </c>
      <c r="G3024" s="5" t="s">
        <v>15</v>
      </c>
      <c r="H3024" s="5" t="s">
        <v>66</v>
      </c>
      <c r="I3024" s="6" t="s">
        <v>17</v>
      </c>
      <c r="J3024" s="7"/>
      <c r="K3024" s="7"/>
      <c r="L3024" s="8">
        <v>1.772733915155E12</v>
      </c>
      <c r="M3024" s="9"/>
      <c r="N3024" s="10"/>
      <c r="O3024" s="10"/>
      <c r="P3024" s="10"/>
      <c r="Q3024" s="10"/>
      <c r="R3024" s="10"/>
      <c r="S3024" s="10"/>
      <c r="T3024" s="10"/>
      <c r="U3024" s="10"/>
      <c r="V3024" s="10"/>
    </row>
    <row r="3025" ht="22.5" customHeight="1">
      <c r="A3025" s="5">
        <v>2.07136103768E11</v>
      </c>
      <c r="B3025" s="5" t="s">
        <v>2830</v>
      </c>
      <c r="C3025" s="5">
        <v>51955001084</v>
      </c>
      <c r="D3025" s="5" t="s">
        <v>13</v>
      </c>
      <c r="E3025" s="5">
        <v>8.7547393E7</v>
      </c>
      <c r="F3025" s="5" t="s">
        <v>65</v>
      </c>
      <c r="G3025" s="5" t="s">
        <v>32</v>
      </c>
      <c r="H3025" s="5" t="s">
        <v>16</v>
      </c>
      <c r="I3025" s="6" t="s">
        <v>36</v>
      </c>
      <c r="J3025" s="7" t="s">
        <v>34</v>
      </c>
      <c r="K3025" s="7"/>
      <c r="L3025" s="8">
        <v>1.772734677457E12</v>
      </c>
      <c r="M3025" s="9"/>
      <c r="N3025" s="10"/>
      <c r="O3025" s="10"/>
      <c r="P3025" s="10"/>
      <c r="Q3025" s="10"/>
      <c r="R3025" s="10"/>
      <c r="S3025" s="10"/>
      <c r="T3025" s="10"/>
      <c r="U3025" s="10"/>
      <c r="V3025" s="10"/>
    </row>
    <row r="3026" ht="22.5" customHeight="1">
      <c r="A3026" s="5">
        <v>2.07298183441E11</v>
      </c>
      <c r="B3026" s="5" t="s">
        <v>2831</v>
      </c>
      <c r="C3026" s="5">
        <v>51914621247</v>
      </c>
      <c r="D3026" s="5" t="s">
        <v>13</v>
      </c>
      <c r="E3026" s="5">
        <v>8.0566583E7</v>
      </c>
      <c r="F3026" s="5" t="s">
        <v>14</v>
      </c>
      <c r="G3026" s="5" t="s">
        <v>15</v>
      </c>
      <c r="H3026" s="5" t="s">
        <v>24</v>
      </c>
      <c r="I3026" s="6" t="s">
        <v>17</v>
      </c>
      <c r="J3026" s="7"/>
      <c r="K3026" s="7"/>
      <c r="L3026" s="8">
        <v>1.772734902528E12</v>
      </c>
      <c r="M3026" s="9"/>
      <c r="N3026" s="10"/>
      <c r="O3026" s="10"/>
      <c r="P3026" s="10"/>
      <c r="Q3026" s="10"/>
      <c r="R3026" s="10"/>
      <c r="S3026" s="10"/>
      <c r="T3026" s="10"/>
      <c r="U3026" s="10"/>
      <c r="V3026" s="10"/>
    </row>
    <row r="3027" ht="22.5" customHeight="1">
      <c r="A3027" s="5">
        <v>2.06741039667E11</v>
      </c>
      <c r="B3027" s="5" t="s">
        <v>2832</v>
      </c>
      <c r="C3027" s="5">
        <v>51958690867</v>
      </c>
      <c r="D3027" s="5" t="s">
        <v>22</v>
      </c>
      <c r="E3027" s="5">
        <v>8.7547393E7</v>
      </c>
      <c r="F3027" s="5" t="s">
        <v>28</v>
      </c>
      <c r="G3027" s="5" t="s">
        <v>44</v>
      </c>
      <c r="H3027" s="5" t="s">
        <v>16</v>
      </c>
      <c r="I3027" s="6" t="s">
        <v>148</v>
      </c>
      <c r="J3027" s="7" t="s">
        <v>34</v>
      </c>
      <c r="K3027" s="7"/>
      <c r="L3027" s="8">
        <v>1.772735202616E12</v>
      </c>
      <c r="M3027" s="9"/>
      <c r="N3027" s="10"/>
      <c r="O3027" s="10"/>
      <c r="P3027" s="10"/>
      <c r="Q3027" s="10"/>
      <c r="R3027" s="10"/>
      <c r="S3027" s="10"/>
      <c r="T3027" s="10"/>
      <c r="U3027" s="10"/>
      <c r="V3027" s="10"/>
    </row>
    <row r="3028" ht="22.5" customHeight="1">
      <c r="A3028" s="5">
        <v>2.05403044642E11</v>
      </c>
      <c r="B3028" s="5" t="s">
        <v>2833</v>
      </c>
      <c r="C3028" s="5">
        <v>5511996926777</v>
      </c>
      <c r="D3028" s="5" t="s">
        <v>22</v>
      </c>
      <c r="E3028" s="5">
        <v>7.9360573E7</v>
      </c>
      <c r="F3028" s="5" t="s">
        <v>82</v>
      </c>
      <c r="G3028" s="5" t="s">
        <v>44</v>
      </c>
      <c r="H3028" s="5" t="s">
        <v>33</v>
      </c>
      <c r="I3028" s="6" t="s">
        <v>17</v>
      </c>
      <c r="J3028" s="7" t="s">
        <v>177</v>
      </c>
      <c r="K3028" s="7" t="s">
        <v>36</v>
      </c>
      <c r="L3028" s="8">
        <v>1.7727359292E12</v>
      </c>
      <c r="M3028" s="9"/>
      <c r="N3028" s="10"/>
      <c r="O3028" s="10"/>
      <c r="P3028" s="10"/>
      <c r="Q3028" s="10"/>
      <c r="R3028" s="10"/>
      <c r="S3028" s="10"/>
      <c r="T3028" s="10"/>
      <c r="U3028" s="10"/>
      <c r="V3028" s="10"/>
    </row>
    <row r="3029" ht="22.5" customHeight="1">
      <c r="A3029" s="5">
        <v>2.07292053162E11</v>
      </c>
      <c r="B3029" s="5" t="s">
        <v>2834</v>
      </c>
      <c r="C3029" s="5">
        <v>51903352804</v>
      </c>
      <c r="D3029" s="5" t="s">
        <v>13</v>
      </c>
      <c r="E3029" s="5">
        <v>8.7547393E7</v>
      </c>
      <c r="F3029" s="5" t="s">
        <v>65</v>
      </c>
      <c r="G3029" s="5" t="s">
        <v>15</v>
      </c>
      <c r="H3029" s="5" t="s">
        <v>24</v>
      </c>
      <c r="I3029" s="6" t="s">
        <v>17</v>
      </c>
      <c r="J3029" s="7"/>
      <c r="K3029" s="7"/>
      <c r="L3029" s="8">
        <v>1.772736124524E12</v>
      </c>
      <c r="M3029" s="9"/>
      <c r="N3029" s="10"/>
      <c r="O3029" s="10"/>
      <c r="P3029" s="10"/>
      <c r="Q3029" s="10"/>
      <c r="R3029" s="10"/>
      <c r="S3029" s="10"/>
      <c r="T3029" s="10"/>
      <c r="U3029" s="10"/>
      <c r="V3029" s="10"/>
    </row>
    <row r="3030" ht="22.5" customHeight="1">
      <c r="A3030" s="5">
        <v>2.0730300729E11</v>
      </c>
      <c r="B3030" s="5" t="s">
        <v>2835</v>
      </c>
      <c r="C3030" s="5">
        <v>51937535252</v>
      </c>
      <c r="D3030" s="5" t="s">
        <v>13</v>
      </c>
      <c r="E3030" s="5">
        <v>8.0566583E7</v>
      </c>
      <c r="F3030" s="5" t="s">
        <v>14</v>
      </c>
      <c r="G3030" s="5" t="s">
        <v>15</v>
      </c>
      <c r="H3030" s="5" t="s">
        <v>24</v>
      </c>
      <c r="I3030" s="6" t="s">
        <v>17</v>
      </c>
      <c r="J3030" s="7" t="s">
        <v>18</v>
      </c>
      <c r="K3030" s="7" t="s">
        <v>19</v>
      </c>
      <c r="L3030" s="8">
        <v>1.772737580439E12</v>
      </c>
      <c r="M3030" s="9"/>
      <c r="N3030" s="10"/>
      <c r="O3030" s="10"/>
      <c r="P3030" s="10"/>
      <c r="Q3030" s="10"/>
      <c r="R3030" s="10"/>
      <c r="S3030" s="10"/>
      <c r="T3030" s="10"/>
      <c r="U3030" s="10"/>
      <c r="V3030" s="10"/>
    </row>
    <row r="3031" ht="22.5" customHeight="1">
      <c r="A3031" s="5">
        <v>2.07301064209E11</v>
      </c>
      <c r="B3031" s="5" t="s">
        <v>2836</v>
      </c>
      <c r="C3031" s="5">
        <v>51981221137</v>
      </c>
      <c r="D3031" s="5" t="s">
        <v>13</v>
      </c>
      <c r="E3031" s="5">
        <v>8.0566583E7</v>
      </c>
      <c r="F3031" s="5" t="s">
        <v>93</v>
      </c>
      <c r="G3031" s="5" t="s">
        <v>15</v>
      </c>
      <c r="H3031" s="5" t="s">
        <v>51</v>
      </c>
      <c r="I3031" s="6" t="s">
        <v>17</v>
      </c>
      <c r="J3031" s="7" t="s">
        <v>34</v>
      </c>
      <c r="K3031" s="7"/>
      <c r="L3031" s="8">
        <v>1.77273786816E12</v>
      </c>
      <c r="M3031" s="9"/>
      <c r="N3031" s="10"/>
      <c r="O3031" s="10"/>
      <c r="P3031" s="10"/>
      <c r="Q3031" s="10"/>
      <c r="R3031" s="10"/>
      <c r="S3031" s="10"/>
      <c r="T3031" s="10"/>
      <c r="U3031" s="10"/>
      <c r="V3031" s="10"/>
    </row>
    <row r="3032" ht="22.5" customHeight="1">
      <c r="A3032" s="5">
        <v>2.07309084522E11</v>
      </c>
      <c r="B3032" s="5" t="s">
        <v>2837</v>
      </c>
      <c r="C3032" s="5">
        <v>51934825238</v>
      </c>
      <c r="D3032" s="5" t="s">
        <v>13</v>
      </c>
      <c r="E3032" s="5">
        <v>8.7547393E7</v>
      </c>
      <c r="F3032" s="5" t="s">
        <v>28</v>
      </c>
      <c r="G3032" s="5" t="s">
        <v>32</v>
      </c>
      <c r="H3032" s="5" t="s">
        <v>66</v>
      </c>
      <c r="I3032" s="6" t="s">
        <v>17</v>
      </c>
      <c r="J3032" s="7" t="s">
        <v>18</v>
      </c>
      <c r="K3032" s="7" t="s">
        <v>19</v>
      </c>
      <c r="L3032" s="8">
        <v>1.772739088935E12</v>
      </c>
      <c r="M3032" s="9"/>
      <c r="N3032" s="10"/>
      <c r="O3032" s="10"/>
      <c r="P3032" s="10"/>
      <c r="Q3032" s="10"/>
      <c r="R3032" s="10"/>
      <c r="S3032" s="10"/>
      <c r="T3032" s="10"/>
      <c r="U3032" s="10"/>
      <c r="V3032" s="10"/>
    </row>
    <row r="3033" ht="22.5" customHeight="1">
      <c r="A3033" s="5">
        <v>2.07309177723E11</v>
      </c>
      <c r="B3033" s="5" t="s">
        <v>2838</v>
      </c>
      <c r="C3033" s="5">
        <v>542954555113</v>
      </c>
      <c r="D3033" s="5" t="s">
        <v>38</v>
      </c>
      <c r="E3033" s="5">
        <v>8.7547393E7</v>
      </c>
      <c r="F3033" s="5"/>
      <c r="G3033" s="5"/>
      <c r="H3033" s="5"/>
      <c r="I3033" s="6"/>
      <c r="J3033" s="7" t="s">
        <v>34</v>
      </c>
      <c r="K3033" s="7"/>
      <c r="L3033" s="8">
        <v>1.772740002421E12</v>
      </c>
      <c r="M3033" s="9"/>
      <c r="N3033" s="10"/>
      <c r="O3033" s="10"/>
      <c r="P3033" s="10"/>
      <c r="Q3033" s="10"/>
      <c r="R3033" s="10"/>
      <c r="S3033" s="10"/>
      <c r="T3033" s="10"/>
      <c r="U3033" s="10"/>
      <c r="V3033" s="10"/>
    </row>
    <row r="3034" ht="22.5" customHeight="1">
      <c r="A3034" s="5">
        <v>2.07320325704E11</v>
      </c>
      <c r="B3034" s="5" t="s">
        <v>2839</v>
      </c>
      <c r="C3034" s="5">
        <v>51949844072</v>
      </c>
      <c r="D3034" s="5" t="s">
        <v>13</v>
      </c>
      <c r="E3034" s="5">
        <v>8.7547393E7</v>
      </c>
      <c r="F3034" s="5" t="s">
        <v>93</v>
      </c>
      <c r="G3034" s="5" t="s">
        <v>15</v>
      </c>
      <c r="H3034" s="5" t="s">
        <v>55</v>
      </c>
      <c r="I3034" s="6" t="s">
        <v>17</v>
      </c>
      <c r="J3034" s="7" t="s">
        <v>25</v>
      </c>
      <c r="K3034" s="7" t="s">
        <v>501</v>
      </c>
      <c r="L3034" s="8">
        <v>1.772745258681E12</v>
      </c>
      <c r="M3034" s="9"/>
      <c r="N3034" s="10"/>
      <c r="O3034" s="10"/>
      <c r="P3034" s="10"/>
      <c r="Q3034" s="10"/>
      <c r="R3034" s="10"/>
      <c r="S3034" s="10"/>
      <c r="T3034" s="10"/>
      <c r="U3034" s="10"/>
      <c r="V3034" s="10"/>
    </row>
    <row r="3035" ht="22.5" customHeight="1">
      <c r="A3035" s="5">
        <v>2.07322197598E11</v>
      </c>
      <c r="B3035" s="5" t="s">
        <v>2840</v>
      </c>
      <c r="C3035" s="5">
        <v>51986031498</v>
      </c>
      <c r="D3035" s="5" t="s">
        <v>13</v>
      </c>
      <c r="E3035" s="5">
        <v>8.7547393E7</v>
      </c>
      <c r="F3035" s="5" t="s">
        <v>65</v>
      </c>
      <c r="G3035" s="5" t="s">
        <v>32</v>
      </c>
      <c r="H3035" s="5" t="s">
        <v>16</v>
      </c>
      <c r="I3035" s="6" t="s">
        <v>17</v>
      </c>
      <c r="J3035" s="7" t="s">
        <v>18</v>
      </c>
      <c r="K3035" s="7" t="s">
        <v>19</v>
      </c>
      <c r="L3035" s="8">
        <v>1.772745628363E12</v>
      </c>
      <c r="M3035" s="9"/>
      <c r="N3035" s="10"/>
      <c r="O3035" s="10"/>
      <c r="P3035" s="10"/>
      <c r="Q3035" s="10"/>
      <c r="R3035" s="10"/>
      <c r="S3035" s="10"/>
      <c r="T3035" s="10"/>
      <c r="U3035" s="10"/>
      <c r="V3035" s="10"/>
    </row>
    <row r="3036" ht="22.5" customHeight="1">
      <c r="A3036" s="5">
        <v>2.07329147539E11</v>
      </c>
      <c r="B3036" s="5" t="s">
        <v>2841</v>
      </c>
      <c r="C3036" s="5">
        <v>5521985198375</v>
      </c>
      <c r="D3036" s="5" t="s">
        <v>38</v>
      </c>
      <c r="E3036" s="5">
        <v>7.9360573E7</v>
      </c>
      <c r="F3036" s="5" t="s">
        <v>259</v>
      </c>
      <c r="G3036" s="5" t="s">
        <v>15</v>
      </c>
      <c r="H3036" s="5" t="s">
        <v>66</v>
      </c>
      <c r="I3036" s="6" t="s">
        <v>17</v>
      </c>
      <c r="J3036" s="7" t="s">
        <v>124</v>
      </c>
      <c r="K3036" s="7" t="s">
        <v>1256</v>
      </c>
      <c r="L3036" s="8">
        <v>1.772746869907E12</v>
      </c>
      <c r="M3036" s="9"/>
      <c r="N3036" s="10"/>
      <c r="O3036" s="10"/>
      <c r="P3036" s="10"/>
      <c r="Q3036" s="10"/>
      <c r="R3036" s="10"/>
      <c r="S3036" s="10"/>
      <c r="T3036" s="10"/>
      <c r="U3036" s="10"/>
      <c r="V3036" s="10"/>
    </row>
    <row r="3037" ht="22.5" customHeight="1">
      <c r="A3037" s="5">
        <v>2.07347090854E11</v>
      </c>
      <c r="B3037" s="5" t="s">
        <v>2842</v>
      </c>
      <c r="C3037" s="5">
        <v>51945815495</v>
      </c>
      <c r="D3037" s="5" t="s">
        <v>38</v>
      </c>
      <c r="E3037" s="5">
        <v>8.0566583E7</v>
      </c>
      <c r="F3037" s="5"/>
      <c r="G3037" s="5"/>
      <c r="H3037" s="5"/>
      <c r="I3037" s="6"/>
      <c r="J3037" s="7" t="s">
        <v>25</v>
      </c>
      <c r="K3037" s="7"/>
      <c r="L3037" s="8">
        <v>1.772752909191E12</v>
      </c>
      <c r="M3037" s="9"/>
      <c r="N3037" s="10"/>
      <c r="O3037" s="10"/>
      <c r="P3037" s="10"/>
      <c r="Q3037" s="10"/>
      <c r="R3037" s="10"/>
      <c r="S3037" s="10"/>
      <c r="T3037" s="10"/>
      <c r="U3037" s="10"/>
      <c r="V3037" s="10"/>
    </row>
    <row r="3038" ht="22.5" customHeight="1">
      <c r="A3038" s="5">
        <v>2.07349117343E11</v>
      </c>
      <c r="B3038" s="5" t="s">
        <v>2843</v>
      </c>
      <c r="C3038" s="5">
        <v>51934291042</v>
      </c>
      <c r="D3038" s="5" t="s">
        <v>103</v>
      </c>
      <c r="E3038" s="5">
        <v>8.0566583E7</v>
      </c>
      <c r="F3038" s="5" t="s">
        <v>93</v>
      </c>
      <c r="G3038" s="5" t="s">
        <v>44</v>
      </c>
      <c r="H3038" s="5" t="s">
        <v>16</v>
      </c>
      <c r="I3038" s="6" t="s">
        <v>17</v>
      </c>
      <c r="J3038" s="7" t="s">
        <v>58</v>
      </c>
      <c r="K3038" s="11" t="s">
        <v>59</v>
      </c>
      <c r="L3038" s="8">
        <v>1.772753227752E12</v>
      </c>
      <c r="M3038" s="9"/>
      <c r="N3038" s="10"/>
      <c r="O3038" s="10"/>
      <c r="P3038" s="10"/>
      <c r="Q3038" s="10"/>
      <c r="R3038" s="10"/>
      <c r="S3038" s="10"/>
      <c r="T3038" s="10"/>
      <c r="U3038" s="10"/>
      <c r="V3038" s="10"/>
    </row>
    <row r="3039" ht="22.5" customHeight="1">
      <c r="A3039" s="5">
        <v>2.07349969301E11</v>
      </c>
      <c r="B3039" s="5" t="s">
        <v>2844</v>
      </c>
      <c r="C3039" s="5">
        <v>51982502088</v>
      </c>
      <c r="D3039" s="5" t="s">
        <v>13</v>
      </c>
      <c r="E3039" s="5">
        <v>8.0566583E7</v>
      </c>
      <c r="F3039" s="5" t="s">
        <v>39</v>
      </c>
      <c r="G3039" s="5" t="s">
        <v>15</v>
      </c>
      <c r="H3039" s="5" t="s">
        <v>29</v>
      </c>
      <c r="I3039" s="6" t="s">
        <v>17</v>
      </c>
      <c r="J3039" s="7" t="s">
        <v>18</v>
      </c>
      <c r="K3039" s="7" t="s">
        <v>19</v>
      </c>
      <c r="L3039" s="8">
        <v>1.772753410893E12</v>
      </c>
      <c r="M3039" s="9"/>
      <c r="N3039" s="10"/>
      <c r="O3039" s="10"/>
      <c r="P3039" s="10"/>
      <c r="Q3039" s="10"/>
      <c r="R3039" s="10"/>
      <c r="S3039" s="10"/>
      <c r="T3039" s="10"/>
      <c r="U3039" s="10"/>
      <c r="V3039" s="10"/>
    </row>
    <row r="3040" ht="22.5" customHeight="1">
      <c r="A3040" s="5">
        <v>2.07361475965E11</v>
      </c>
      <c r="B3040" s="5" t="s">
        <v>2845</v>
      </c>
      <c r="C3040" s="5">
        <v>51972199668</v>
      </c>
      <c r="D3040" s="5" t="s">
        <v>103</v>
      </c>
      <c r="E3040" s="5">
        <v>8.0566583E7</v>
      </c>
      <c r="F3040" s="5" t="s">
        <v>39</v>
      </c>
      <c r="G3040" s="5" t="s">
        <v>79</v>
      </c>
      <c r="H3040" s="5" t="s">
        <v>16</v>
      </c>
      <c r="I3040" s="6" t="s">
        <v>17</v>
      </c>
      <c r="J3040" s="7" t="s">
        <v>34</v>
      </c>
      <c r="K3040" s="7"/>
      <c r="L3040" s="8">
        <v>1.772755875156E12</v>
      </c>
      <c r="M3040" s="9"/>
      <c r="N3040" s="10"/>
      <c r="O3040" s="10"/>
      <c r="P3040" s="10"/>
      <c r="Q3040" s="10"/>
      <c r="R3040" s="10"/>
      <c r="S3040" s="10"/>
      <c r="T3040" s="10"/>
      <c r="U3040" s="10"/>
      <c r="V3040" s="10"/>
    </row>
    <row r="3041" ht="22.5" customHeight="1">
      <c r="A3041" s="5">
        <v>2.07367639104E11</v>
      </c>
      <c r="B3041" s="5" t="s">
        <v>2846</v>
      </c>
      <c r="C3041" s="5">
        <v>51963786817</v>
      </c>
      <c r="D3041" s="5" t="s">
        <v>13</v>
      </c>
      <c r="E3041" s="5">
        <v>8.7547393E7</v>
      </c>
      <c r="F3041" s="5" t="s">
        <v>259</v>
      </c>
      <c r="G3041" s="5" t="s">
        <v>15</v>
      </c>
      <c r="H3041" s="5" t="s">
        <v>51</v>
      </c>
      <c r="I3041" s="6" t="s">
        <v>17</v>
      </c>
      <c r="J3041" s="7" t="s">
        <v>18</v>
      </c>
      <c r="K3041" s="7" t="s">
        <v>19</v>
      </c>
      <c r="L3041" s="8">
        <v>1.772757567947E12</v>
      </c>
      <c r="M3041" s="9"/>
      <c r="N3041" s="10"/>
      <c r="O3041" s="10"/>
      <c r="P3041" s="10"/>
      <c r="Q3041" s="10"/>
      <c r="R3041" s="10"/>
      <c r="S3041" s="10"/>
      <c r="T3041" s="10"/>
      <c r="U3041" s="10"/>
      <c r="V3041" s="10"/>
    </row>
    <row r="3042" ht="22.5" customHeight="1">
      <c r="A3042" s="5">
        <v>2.07365525026E11</v>
      </c>
      <c r="B3042" s="5" t="s">
        <v>2847</v>
      </c>
      <c r="C3042" s="5">
        <v>51974356626</v>
      </c>
      <c r="D3042" s="5" t="s">
        <v>13</v>
      </c>
      <c r="E3042" s="5">
        <v>8.0566583E7</v>
      </c>
      <c r="F3042" s="5" t="s">
        <v>510</v>
      </c>
      <c r="G3042" s="5" t="s">
        <v>44</v>
      </c>
      <c r="H3042" s="5" t="s">
        <v>352</v>
      </c>
      <c r="I3042" s="6" t="s">
        <v>17</v>
      </c>
      <c r="J3042" s="7" t="s">
        <v>34</v>
      </c>
      <c r="K3042" s="7"/>
      <c r="L3042" s="8">
        <v>1.772758844777E12</v>
      </c>
      <c r="M3042" s="9"/>
      <c r="N3042" s="10"/>
      <c r="O3042" s="10"/>
      <c r="P3042" s="10"/>
      <c r="Q3042" s="10"/>
      <c r="R3042" s="10"/>
      <c r="S3042" s="10"/>
      <c r="T3042" s="10"/>
      <c r="U3042" s="10"/>
      <c r="V3042" s="10"/>
    </row>
    <row r="3043" ht="22.5" customHeight="1">
      <c r="A3043" s="5">
        <v>2.0736553128E11</v>
      </c>
      <c r="B3043" s="5" t="s">
        <v>2848</v>
      </c>
      <c r="C3043" s="5">
        <v>51950182902</v>
      </c>
      <c r="D3043" s="5" t="s">
        <v>13</v>
      </c>
      <c r="E3043" s="5">
        <v>8.7547393E7</v>
      </c>
      <c r="F3043" s="5" t="s">
        <v>93</v>
      </c>
      <c r="G3043" s="5" t="s">
        <v>15</v>
      </c>
      <c r="H3043" s="5" t="s">
        <v>24</v>
      </c>
      <c r="I3043" s="6" t="s">
        <v>17</v>
      </c>
      <c r="J3043" s="7" t="s">
        <v>18</v>
      </c>
      <c r="K3043" s="7" t="s">
        <v>19</v>
      </c>
      <c r="L3043" s="8">
        <v>1.772759051965E12</v>
      </c>
      <c r="M3043" s="9"/>
      <c r="N3043" s="10"/>
      <c r="O3043" s="10"/>
      <c r="P3043" s="10"/>
      <c r="Q3043" s="10"/>
      <c r="R3043" s="10"/>
      <c r="S3043" s="10"/>
      <c r="T3043" s="10"/>
      <c r="U3043" s="10"/>
      <c r="V3043" s="10"/>
    </row>
    <row r="3044" ht="22.5" customHeight="1">
      <c r="A3044" s="5">
        <v>2.07356521082E11</v>
      </c>
      <c r="B3044" s="5" t="s">
        <v>2849</v>
      </c>
      <c r="C3044" s="5">
        <v>51986572143</v>
      </c>
      <c r="D3044" s="5" t="s">
        <v>13</v>
      </c>
      <c r="E3044" s="5">
        <v>8.7547393E7</v>
      </c>
      <c r="F3044" s="5" t="s">
        <v>714</v>
      </c>
      <c r="G3044" s="5" t="s">
        <v>44</v>
      </c>
      <c r="H3044" s="5" t="s">
        <v>24</v>
      </c>
      <c r="I3044" s="6" t="s">
        <v>17</v>
      </c>
      <c r="J3044" s="7" t="s">
        <v>18</v>
      </c>
      <c r="K3044" s="7" t="s">
        <v>19</v>
      </c>
      <c r="L3044" s="8">
        <v>1.7727598457E12</v>
      </c>
      <c r="M3044" s="9"/>
      <c r="N3044" s="10"/>
      <c r="O3044" s="10"/>
      <c r="P3044" s="10"/>
      <c r="Q3044" s="10"/>
      <c r="R3044" s="10"/>
      <c r="S3044" s="10"/>
      <c r="T3044" s="10"/>
      <c r="U3044" s="10"/>
      <c r="V3044" s="10"/>
    </row>
    <row r="3045" ht="22.5" customHeight="1">
      <c r="A3045" s="5">
        <v>2.0737023806E11</v>
      </c>
      <c r="B3045" s="5" t="s">
        <v>2850</v>
      </c>
      <c r="C3045" s="5">
        <v>51932840151</v>
      </c>
      <c r="D3045" s="5" t="s">
        <v>13</v>
      </c>
      <c r="E3045" s="5">
        <v>8.7547393E7</v>
      </c>
      <c r="F3045" s="5" t="s">
        <v>65</v>
      </c>
      <c r="G3045" s="5" t="s">
        <v>15</v>
      </c>
      <c r="H3045" s="5" t="s">
        <v>24</v>
      </c>
      <c r="I3045" s="6" t="s">
        <v>17</v>
      </c>
      <c r="J3045" s="7" t="s">
        <v>58</v>
      </c>
      <c r="K3045" s="11" t="s">
        <v>59</v>
      </c>
      <c r="L3045" s="8">
        <v>1.772761042149E12</v>
      </c>
      <c r="M3045" s="9"/>
      <c r="N3045" s="10"/>
      <c r="O3045" s="10"/>
      <c r="P3045" s="10"/>
      <c r="Q3045" s="10"/>
      <c r="R3045" s="10"/>
      <c r="S3045" s="10"/>
      <c r="T3045" s="10"/>
      <c r="U3045" s="10"/>
      <c r="V3045" s="10"/>
    </row>
    <row r="3046" ht="22.5" customHeight="1">
      <c r="A3046" s="5">
        <v>2.07358079373E11</v>
      </c>
      <c r="B3046" s="5" t="s">
        <v>2851</v>
      </c>
      <c r="C3046" s="5">
        <v>5565920012312</v>
      </c>
      <c r="D3046" s="5" t="s">
        <v>13</v>
      </c>
      <c r="E3046" s="5">
        <v>7.9360573E7</v>
      </c>
      <c r="F3046" s="5" t="s">
        <v>714</v>
      </c>
      <c r="G3046" s="5" t="s">
        <v>15</v>
      </c>
      <c r="H3046" s="5" t="s">
        <v>66</v>
      </c>
      <c r="I3046" s="6" t="s">
        <v>17</v>
      </c>
      <c r="J3046" s="7" t="s">
        <v>58</v>
      </c>
      <c r="K3046" s="11" t="s">
        <v>59</v>
      </c>
      <c r="L3046" s="8">
        <v>1.772761832847E12</v>
      </c>
      <c r="M3046" s="9"/>
      <c r="N3046" s="10"/>
      <c r="O3046" s="10"/>
      <c r="P3046" s="10"/>
      <c r="Q3046" s="10"/>
      <c r="R3046" s="10"/>
      <c r="S3046" s="10"/>
      <c r="T3046" s="10"/>
      <c r="U3046" s="10"/>
      <c r="V3046" s="10"/>
    </row>
    <row r="3047" ht="22.5" customHeight="1">
      <c r="A3047" s="5">
        <v>2.07367927874E11</v>
      </c>
      <c r="B3047" s="5" t="s">
        <v>2852</v>
      </c>
      <c r="C3047" s="5">
        <v>51905740152</v>
      </c>
      <c r="D3047" s="5" t="s">
        <v>13</v>
      </c>
      <c r="E3047" s="5">
        <v>8.7547393E7</v>
      </c>
      <c r="F3047" s="5" t="s">
        <v>259</v>
      </c>
      <c r="G3047" s="5" t="s">
        <v>15</v>
      </c>
      <c r="H3047" s="5" t="s">
        <v>16</v>
      </c>
      <c r="I3047" s="6" t="s">
        <v>17</v>
      </c>
      <c r="J3047" s="7" t="s">
        <v>18</v>
      </c>
      <c r="K3047" s="7" t="s">
        <v>19</v>
      </c>
      <c r="L3047" s="8">
        <v>1.772762099848E12</v>
      </c>
      <c r="M3047" s="9"/>
      <c r="N3047" s="10"/>
      <c r="O3047" s="10"/>
      <c r="P3047" s="10"/>
      <c r="Q3047" s="10"/>
      <c r="R3047" s="10"/>
      <c r="S3047" s="10"/>
      <c r="T3047" s="10"/>
      <c r="U3047" s="10"/>
      <c r="V3047" s="10"/>
    </row>
    <row r="3048" ht="22.5" customHeight="1">
      <c r="A3048" s="5">
        <v>2.07379934523E11</v>
      </c>
      <c r="B3048" s="5" t="s">
        <v>2853</v>
      </c>
      <c r="C3048" s="5">
        <v>51993569134</v>
      </c>
      <c r="D3048" s="5" t="s">
        <v>13</v>
      </c>
      <c r="E3048" s="5">
        <v>8.7547393E7</v>
      </c>
      <c r="F3048" s="5" t="s">
        <v>28</v>
      </c>
      <c r="G3048" s="5" t="s">
        <v>15</v>
      </c>
      <c r="H3048" s="5" t="s">
        <v>16</v>
      </c>
      <c r="I3048" s="6" t="s">
        <v>17</v>
      </c>
      <c r="J3048" s="7" t="s">
        <v>124</v>
      </c>
      <c r="K3048" s="7" t="s">
        <v>2753</v>
      </c>
      <c r="L3048" s="8">
        <v>1.772763507882E12</v>
      </c>
      <c r="M3048" s="9"/>
      <c r="N3048" s="10"/>
      <c r="O3048" s="10"/>
      <c r="P3048" s="10"/>
      <c r="Q3048" s="10"/>
      <c r="R3048" s="10"/>
      <c r="S3048" s="10"/>
      <c r="T3048" s="10"/>
      <c r="U3048" s="10"/>
      <c r="V3048" s="10"/>
    </row>
    <row r="3049" ht="22.5" customHeight="1">
      <c r="A3049" s="5">
        <v>2.07376267793E11</v>
      </c>
      <c r="B3049" s="5" t="s">
        <v>2854</v>
      </c>
      <c r="C3049" s="5">
        <v>51991684443</v>
      </c>
      <c r="D3049" s="5" t="s">
        <v>13</v>
      </c>
      <c r="E3049" s="5">
        <v>8.7547393E7</v>
      </c>
      <c r="F3049" s="5" t="s">
        <v>14</v>
      </c>
      <c r="G3049" s="5" t="s">
        <v>15</v>
      </c>
      <c r="H3049" s="5" t="s">
        <v>16</v>
      </c>
      <c r="I3049" s="6" t="s">
        <v>17</v>
      </c>
      <c r="J3049" s="7" t="s">
        <v>18</v>
      </c>
      <c r="K3049" s="7" t="s">
        <v>19</v>
      </c>
      <c r="L3049" s="8">
        <v>1.772764107972E12</v>
      </c>
      <c r="M3049" s="9"/>
      <c r="N3049" s="10"/>
      <c r="O3049" s="10"/>
      <c r="P3049" s="10"/>
      <c r="Q3049" s="10"/>
      <c r="R3049" s="10"/>
      <c r="S3049" s="10"/>
      <c r="T3049" s="10"/>
      <c r="U3049" s="10"/>
      <c r="V3049" s="10"/>
    </row>
    <row r="3050" ht="22.5" customHeight="1">
      <c r="A3050" s="5">
        <v>2.0737747928E11</v>
      </c>
      <c r="B3050" s="5" t="s">
        <v>2855</v>
      </c>
      <c r="C3050" s="5">
        <v>51980593825</v>
      </c>
      <c r="D3050" s="5" t="s">
        <v>13</v>
      </c>
      <c r="E3050" s="5">
        <v>8.0566583E7</v>
      </c>
      <c r="F3050" s="5" t="s">
        <v>65</v>
      </c>
      <c r="G3050" s="5" t="s">
        <v>32</v>
      </c>
      <c r="H3050" s="5" t="s">
        <v>16</v>
      </c>
      <c r="I3050" s="6" t="s">
        <v>17</v>
      </c>
      <c r="J3050" s="7" t="s">
        <v>18</v>
      </c>
      <c r="K3050" s="7" t="s">
        <v>19</v>
      </c>
      <c r="L3050" s="8">
        <v>1.772764736163E12</v>
      </c>
      <c r="M3050" s="9"/>
      <c r="N3050" s="10"/>
      <c r="O3050" s="10"/>
      <c r="P3050" s="10"/>
      <c r="Q3050" s="10"/>
      <c r="R3050" s="10"/>
      <c r="S3050" s="10"/>
      <c r="T3050" s="10"/>
      <c r="U3050" s="10"/>
      <c r="V3050" s="10"/>
    </row>
    <row r="3051" ht="22.5" customHeight="1">
      <c r="A3051" s="5">
        <v>2.07375729438E11</v>
      </c>
      <c r="B3051" s="5" t="s">
        <v>2856</v>
      </c>
      <c r="C3051" s="5">
        <v>51955979070</v>
      </c>
      <c r="D3051" s="5" t="s">
        <v>38</v>
      </c>
      <c r="E3051" s="5">
        <v>8.7547393E7</v>
      </c>
      <c r="F3051" s="5"/>
      <c r="G3051" s="5"/>
      <c r="H3051" s="5"/>
      <c r="I3051" s="6"/>
      <c r="J3051" s="7" t="s">
        <v>18</v>
      </c>
      <c r="K3051" s="7" t="s">
        <v>19</v>
      </c>
      <c r="L3051" s="8">
        <v>1.772765789646E12</v>
      </c>
      <c r="M3051" s="9"/>
      <c r="N3051" s="10"/>
      <c r="O3051" s="10"/>
      <c r="P3051" s="10"/>
      <c r="Q3051" s="10"/>
      <c r="R3051" s="10"/>
      <c r="S3051" s="10"/>
      <c r="T3051" s="10"/>
      <c r="U3051" s="10"/>
      <c r="V3051" s="10"/>
    </row>
    <row r="3052" ht="22.5" customHeight="1">
      <c r="A3052" s="5">
        <v>2.07378365845E11</v>
      </c>
      <c r="B3052" s="5" t="s">
        <v>2857</v>
      </c>
      <c r="C3052" s="5">
        <v>51925406140</v>
      </c>
      <c r="D3052" s="5" t="s">
        <v>38</v>
      </c>
      <c r="E3052" s="5"/>
      <c r="F3052" s="5" t="s">
        <v>28</v>
      </c>
      <c r="G3052" s="5" t="s">
        <v>15</v>
      </c>
      <c r="H3052" s="5" t="s">
        <v>165</v>
      </c>
      <c r="I3052" s="6" t="s">
        <v>63</v>
      </c>
      <c r="J3052" s="7" t="s">
        <v>18</v>
      </c>
      <c r="K3052" s="7" t="s">
        <v>19</v>
      </c>
      <c r="L3052" s="8">
        <v>1.772766424507E12</v>
      </c>
      <c r="M3052" s="9"/>
      <c r="N3052" s="10"/>
      <c r="O3052" s="10"/>
      <c r="P3052" s="10"/>
      <c r="Q3052" s="10"/>
      <c r="R3052" s="10"/>
      <c r="S3052" s="10"/>
      <c r="T3052" s="10"/>
      <c r="U3052" s="10"/>
      <c r="V3052" s="10"/>
    </row>
    <row r="3053" ht="22.5" customHeight="1">
      <c r="A3053" s="5">
        <v>2.0738330651E11</v>
      </c>
      <c r="B3053" s="5" t="s">
        <v>2858</v>
      </c>
      <c r="C3053" s="5">
        <v>51924719202</v>
      </c>
      <c r="D3053" s="5" t="s">
        <v>13</v>
      </c>
      <c r="E3053" s="5">
        <v>8.7547393E7</v>
      </c>
      <c r="F3053" s="5" t="s">
        <v>28</v>
      </c>
      <c r="G3053" s="5" t="s">
        <v>15</v>
      </c>
      <c r="H3053" s="5" t="s">
        <v>807</v>
      </c>
      <c r="I3053" s="6" t="s">
        <v>17</v>
      </c>
      <c r="J3053" s="7" t="s">
        <v>18</v>
      </c>
      <c r="K3053" s="7" t="s">
        <v>19</v>
      </c>
      <c r="L3053" s="8">
        <v>1.772767084049E12</v>
      </c>
      <c r="M3053" s="9"/>
      <c r="N3053" s="10"/>
      <c r="O3053" s="10"/>
      <c r="P3053" s="10"/>
      <c r="Q3053" s="10"/>
      <c r="R3053" s="10"/>
      <c r="S3053" s="10"/>
      <c r="T3053" s="10"/>
      <c r="U3053" s="10"/>
      <c r="V3053" s="10"/>
    </row>
    <row r="3054" ht="22.5" customHeight="1">
      <c r="A3054" s="5">
        <v>2.07378785126E11</v>
      </c>
      <c r="B3054" s="5" t="s">
        <v>2859</v>
      </c>
      <c r="C3054" s="5">
        <v>51988819940</v>
      </c>
      <c r="D3054" s="5" t="s">
        <v>38</v>
      </c>
      <c r="E3054" s="5">
        <v>8.7547393E7</v>
      </c>
      <c r="F3054" s="5" t="s">
        <v>259</v>
      </c>
      <c r="G3054" s="5"/>
      <c r="H3054" s="5" t="s">
        <v>16</v>
      </c>
      <c r="I3054" s="6" t="s">
        <v>17</v>
      </c>
      <c r="J3054" s="7" t="s">
        <v>18</v>
      </c>
      <c r="K3054" s="7" t="s">
        <v>19</v>
      </c>
      <c r="L3054" s="8">
        <v>1.772767733296E12</v>
      </c>
      <c r="M3054" s="9"/>
      <c r="N3054" s="10"/>
      <c r="O3054" s="10"/>
      <c r="P3054" s="10"/>
      <c r="Q3054" s="10"/>
      <c r="R3054" s="10"/>
      <c r="S3054" s="10"/>
      <c r="T3054" s="10"/>
      <c r="U3054" s="10"/>
      <c r="V3054" s="10"/>
    </row>
    <row r="3055" ht="22.5" customHeight="1">
      <c r="A3055" s="5">
        <v>2.07400034928E11</v>
      </c>
      <c r="B3055" s="5" t="s">
        <v>2860</v>
      </c>
      <c r="C3055" s="5">
        <v>51907122788</v>
      </c>
      <c r="D3055" s="5" t="s">
        <v>22</v>
      </c>
      <c r="E3055" s="5">
        <v>8.0566583E7</v>
      </c>
      <c r="F3055" s="5" t="s">
        <v>28</v>
      </c>
      <c r="G3055" s="5" t="s">
        <v>44</v>
      </c>
      <c r="H3055" s="5" t="s">
        <v>114</v>
      </c>
      <c r="I3055" s="6" t="s">
        <v>17</v>
      </c>
      <c r="J3055" s="7" t="s">
        <v>18</v>
      </c>
      <c r="K3055" s="7" t="s">
        <v>19</v>
      </c>
      <c r="L3055" s="8">
        <v>1.772768280751E12</v>
      </c>
      <c r="M3055" s="9"/>
      <c r="N3055" s="10"/>
      <c r="O3055" s="10"/>
      <c r="P3055" s="10"/>
      <c r="Q3055" s="10"/>
      <c r="R3055" s="10"/>
      <c r="S3055" s="10"/>
      <c r="T3055" s="10"/>
      <c r="U3055" s="10"/>
      <c r="V3055" s="10"/>
    </row>
    <row r="3056" ht="22.5" customHeight="1">
      <c r="A3056" s="5">
        <v>2.07398601333E11</v>
      </c>
      <c r="B3056" s="5" t="s">
        <v>2861</v>
      </c>
      <c r="C3056" s="5">
        <v>51969109072</v>
      </c>
      <c r="D3056" s="5" t="s">
        <v>13</v>
      </c>
      <c r="E3056" s="5">
        <v>8.0566583E7</v>
      </c>
      <c r="F3056" s="5" t="s">
        <v>28</v>
      </c>
      <c r="G3056" s="5" t="s">
        <v>15</v>
      </c>
      <c r="H3056" s="5" t="s">
        <v>16</v>
      </c>
      <c r="I3056" s="6" t="s">
        <v>17</v>
      </c>
      <c r="J3056" s="7" t="s">
        <v>18</v>
      </c>
      <c r="K3056" s="7" t="s">
        <v>19</v>
      </c>
      <c r="L3056" s="8">
        <v>1.772768388943E12</v>
      </c>
      <c r="M3056" s="9"/>
      <c r="N3056" s="10"/>
      <c r="O3056" s="10"/>
      <c r="P3056" s="10"/>
      <c r="Q3056" s="10"/>
      <c r="R3056" s="10"/>
      <c r="S3056" s="10"/>
      <c r="T3056" s="10"/>
      <c r="U3056" s="10"/>
      <c r="V3056" s="10"/>
    </row>
    <row r="3057" ht="22.5" customHeight="1">
      <c r="A3057" s="5">
        <v>2.07383691819E11</v>
      </c>
      <c r="B3057" s="5" t="s">
        <v>2862</v>
      </c>
      <c r="C3057" s="5">
        <v>51916423062</v>
      </c>
      <c r="D3057" s="5" t="s">
        <v>13</v>
      </c>
      <c r="E3057" s="5">
        <v>8.0566583E7</v>
      </c>
      <c r="F3057" s="5" t="s">
        <v>28</v>
      </c>
      <c r="G3057" s="5" t="s">
        <v>32</v>
      </c>
      <c r="H3057" s="5" t="s">
        <v>33</v>
      </c>
      <c r="I3057" s="6" t="s">
        <v>17</v>
      </c>
      <c r="J3057" s="7" t="s">
        <v>18</v>
      </c>
      <c r="K3057" s="7" t="s">
        <v>19</v>
      </c>
      <c r="L3057" s="8">
        <v>1.772768622103E12</v>
      </c>
      <c r="M3057" s="9"/>
      <c r="N3057" s="10"/>
      <c r="O3057" s="10"/>
      <c r="P3057" s="10"/>
      <c r="Q3057" s="10"/>
      <c r="R3057" s="10"/>
      <c r="S3057" s="10"/>
      <c r="T3057" s="10"/>
      <c r="U3057" s="10"/>
      <c r="V3057" s="10"/>
    </row>
    <row r="3058" ht="22.5" customHeight="1">
      <c r="A3058" s="5">
        <v>2.07399047324E11</v>
      </c>
      <c r="B3058" s="5" t="s">
        <v>2863</v>
      </c>
      <c r="C3058" s="5">
        <v>51999911590</v>
      </c>
      <c r="D3058" s="5" t="s">
        <v>13</v>
      </c>
      <c r="E3058" s="5">
        <v>8.0566583E7</v>
      </c>
      <c r="F3058" s="5" t="s">
        <v>259</v>
      </c>
      <c r="G3058" s="5" t="s">
        <v>15</v>
      </c>
      <c r="H3058" s="5" t="s">
        <v>51</v>
      </c>
      <c r="I3058" s="6" t="s">
        <v>63</v>
      </c>
      <c r="J3058" s="7" t="s">
        <v>18</v>
      </c>
      <c r="K3058" s="7" t="s">
        <v>19</v>
      </c>
      <c r="L3058" s="8">
        <v>1.772769094773E12</v>
      </c>
      <c r="M3058" s="9"/>
      <c r="N3058" s="10"/>
      <c r="O3058" s="10"/>
      <c r="P3058" s="10"/>
      <c r="Q3058" s="10"/>
      <c r="R3058" s="10"/>
      <c r="S3058" s="10"/>
      <c r="T3058" s="10"/>
      <c r="U3058" s="10"/>
      <c r="V3058" s="10"/>
    </row>
    <row r="3059" ht="22.5" customHeight="1">
      <c r="A3059" s="5">
        <v>2.07399646329E11</v>
      </c>
      <c r="B3059" s="5" t="s">
        <v>2864</v>
      </c>
      <c r="C3059" s="5">
        <v>51961481058</v>
      </c>
      <c r="D3059" s="5" t="s">
        <v>13</v>
      </c>
      <c r="E3059" s="5">
        <v>8.7547393E7</v>
      </c>
      <c r="F3059" s="5" t="s">
        <v>28</v>
      </c>
      <c r="G3059" s="5" t="s">
        <v>32</v>
      </c>
      <c r="H3059" s="5" t="s">
        <v>51</v>
      </c>
      <c r="I3059" s="6" t="s">
        <v>17</v>
      </c>
      <c r="J3059" s="7" t="s">
        <v>18</v>
      </c>
      <c r="K3059" s="7" t="s">
        <v>19</v>
      </c>
      <c r="L3059" s="8">
        <v>1.772769140279E12</v>
      </c>
      <c r="M3059" s="9"/>
      <c r="N3059" s="10"/>
      <c r="O3059" s="10"/>
      <c r="P3059" s="10"/>
      <c r="Q3059" s="10"/>
      <c r="R3059" s="10"/>
      <c r="S3059" s="10"/>
      <c r="T3059" s="10"/>
      <c r="U3059" s="10"/>
      <c r="V3059" s="10"/>
    </row>
    <row r="3060" ht="22.5" customHeight="1">
      <c r="A3060" s="5">
        <v>2.07396563122E11</v>
      </c>
      <c r="B3060" s="5" t="s">
        <v>2865</v>
      </c>
      <c r="C3060" s="5">
        <v>51962397606</v>
      </c>
      <c r="D3060" s="5" t="s">
        <v>13</v>
      </c>
      <c r="E3060" s="5">
        <v>8.7547393E7</v>
      </c>
      <c r="F3060" s="5" t="s">
        <v>39</v>
      </c>
      <c r="G3060" s="5" t="s">
        <v>15</v>
      </c>
      <c r="H3060" s="5" t="s">
        <v>51</v>
      </c>
      <c r="I3060" s="6" t="s">
        <v>17</v>
      </c>
      <c r="J3060" s="7" t="s">
        <v>18</v>
      </c>
      <c r="K3060" s="7" t="s">
        <v>19</v>
      </c>
      <c r="L3060" s="8">
        <v>1.772769793924E12</v>
      </c>
      <c r="M3060" s="9"/>
      <c r="N3060" s="10"/>
      <c r="O3060" s="10"/>
      <c r="P3060" s="10"/>
      <c r="Q3060" s="10"/>
      <c r="R3060" s="10"/>
      <c r="S3060" s="10"/>
      <c r="T3060" s="10"/>
      <c r="U3060" s="10"/>
      <c r="V3060" s="10"/>
    </row>
    <row r="3061" ht="22.5" customHeight="1">
      <c r="A3061" s="5">
        <v>2.07382623098E11</v>
      </c>
      <c r="B3061" s="5" t="s">
        <v>2866</v>
      </c>
      <c r="C3061" s="5">
        <v>51999999999</v>
      </c>
      <c r="D3061" s="5" t="s">
        <v>13</v>
      </c>
      <c r="E3061" s="5">
        <v>8.7547393E7</v>
      </c>
      <c r="F3061" s="5" t="s">
        <v>714</v>
      </c>
      <c r="G3061" s="5" t="s">
        <v>44</v>
      </c>
      <c r="H3061" s="5" t="s">
        <v>51</v>
      </c>
      <c r="I3061" s="6" t="s">
        <v>36</v>
      </c>
      <c r="J3061" s="7" t="s">
        <v>34</v>
      </c>
      <c r="K3061" s="7"/>
      <c r="L3061" s="8">
        <v>1.772770175984E12</v>
      </c>
      <c r="M3061" s="9"/>
      <c r="N3061" s="10"/>
      <c r="O3061" s="10"/>
      <c r="P3061" s="10"/>
      <c r="Q3061" s="10"/>
      <c r="R3061" s="10"/>
      <c r="S3061" s="10"/>
      <c r="T3061" s="10"/>
      <c r="U3061" s="10"/>
      <c r="V3061" s="10"/>
    </row>
    <row r="3062" ht="22.5" customHeight="1">
      <c r="A3062" s="5">
        <v>2.07386375253E11</v>
      </c>
      <c r="B3062" s="5" t="s">
        <v>2867</v>
      </c>
      <c r="C3062" s="5">
        <v>51941776655</v>
      </c>
      <c r="D3062" s="5" t="s">
        <v>13</v>
      </c>
      <c r="E3062" s="5">
        <v>8.0566583E7</v>
      </c>
      <c r="F3062" s="5" t="s">
        <v>28</v>
      </c>
      <c r="G3062" s="5" t="s">
        <v>32</v>
      </c>
      <c r="H3062" s="5" t="s">
        <v>66</v>
      </c>
      <c r="I3062" s="6" t="s">
        <v>148</v>
      </c>
      <c r="J3062" s="7" t="s">
        <v>18</v>
      </c>
      <c r="K3062" s="7" t="s">
        <v>19</v>
      </c>
      <c r="L3062" s="8">
        <v>1.772773041192E12</v>
      </c>
      <c r="M3062" s="9"/>
      <c r="N3062" s="10"/>
      <c r="O3062" s="10"/>
      <c r="P3062" s="10"/>
      <c r="Q3062" s="10"/>
      <c r="R3062" s="10"/>
      <c r="S3062" s="10"/>
      <c r="T3062" s="10"/>
      <c r="U3062" s="10"/>
      <c r="V3062" s="10"/>
    </row>
    <row r="3063" ht="22.5" customHeight="1">
      <c r="A3063" s="5">
        <v>2.07386005887E11</v>
      </c>
      <c r="B3063" s="5" t="s">
        <v>2868</v>
      </c>
      <c r="C3063" s="5">
        <v>51965109600</v>
      </c>
      <c r="D3063" s="5" t="s">
        <v>13</v>
      </c>
      <c r="E3063" s="5">
        <v>8.7547393E7</v>
      </c>
      <c r="F3063" s="5" t="s">
        <v>39</v>
      </c>
      <c r="G3063" s="5" t="s">
        <v>15</v>
      </c>
      <c r="H3063" s="5" t="s">
        <v>55</v>
      </c>
      <c r="I3063" s="6" t="s">
        <v>17</v>
      </c>
      <c r="J3063" s="7" t="s">
        <v>34</v>
      </c>
      <c r="K3063" s="7"/>
      <c r="L3063" s="8">
        <v>1.772773396867E12</v>
      </c>
      <c r="M3063" s="9"/>
      <c r="N3063" s="10"/>
      <c r="O3063" s="10"/>
      <c r="P3063" s="10"/>
      <c r="Q3063" s="10"/>
      <c r="R3063" s="10"/>
      <c r="S3063" s="10"/>
      <c r="T3063" s="10"/>
      <c r="U3063" s="10"/>
      <c r="V3063" s="10"/>
    </row>
    <row r="3064" ht="22.5" customHeight="1">
      <c r="A3064" s="5">
        <v>2.07386979706E11</v>
      </c>
      <c r="B3064" s="5" t="s">
        <v>2869</v>
      </c>
      <c r="C3064" s="5">
        <v>51926285231</v>
      </c>
      <c r="D3064" s="5" t="s">
        <v>13</v>
      </c>
      <c r="E3064" s="5">
        <v>8.7547393E7</v>
      </c>
      <c r="F3064" s="5" t="s">
        <v>42</v>
      </c>
      <c r="G3064" s="5" t="s">
        <v>15</v>
      </c>
      <c r="H3064" s="5" t="s">
        <v>396</v>
      </c>
      <c r="I3064" s="6" t="s">
        <v>17</v>
      </c>
      <c r="J3064" s="7" t="s">
        <v>18</v>
      </c>
      <c r="K3064" s="7" t="s">
        <v>19</v>
      </c>
      <c r="L3064" s="8">
        <v>1.772774500268E12</v>
      </c>
      <c r="M3064" s="9"/>
      <c r="N3064" s="10"/>
      <c r="O3064" s="10"/>
      <c r="P3064" s="10"/>
      <c r="Q3064" s="10"/>
      <c r="R3064" s="10"/>
      <c r="S3064" s="10"/>
      <c r="T3064" s="10"/>
      <c r="U3064" s="10"/>
      <c r="V3064" s="10"/>
    </row>
    <row r="3065" ht="22.5" customHeight="1">
      <c r="A3065" s="5">
        <v>2.04474840373E11</v>
      </c>
      <c r="B3065" s="5" t="s">
        <v>2870</v>
      </c>
      <c r="C3065" s="5">
        <v>51972737954</v>
      </c>
      <c r="D3065" s="5" t="s">
        <v>13</v>
      </c>
      <c r="E3065" s="5">
        <v>8.0566583E7</v>
      </c>
      <c r="F3065" s="5" t="s">
        <v>39</v>
      </c>
      <c r="G3065" s="5" t="s">
        <v>15</v>
      </c>
      <c r="H3065" s="5" t="s">
        <v>51</v>
      </c>
      <c r="I3065" s="6" t="s">
        <v>17</v>
      </c>
      <c r="J3065" s="7" t="s">
        <v>18</v>
      </c>
      <c r="K3065" s="7" t="s">
        <v>19</v>
      </c>
      <c r="L3065" s="8">
        <v>1.772774519043E12</v>
      </c>
      <c r="M3065" s="9"/>
      <c r="N3065" s="10"/>
      <c r="O3065" s="10"/>
      <c r="P3065" s="10"/>
      <c r="Q3065" s="10"/>
      <c r="R3065" s="10"/>
      <c r="S3065" s="10"/>
      <c r="T3065" s="10"/>
      <c r="U3065" s="10"/>
      <c r="V3065" s="10"/>
    </row>
    <row r="3066" ht="22.5" customHeight="1">
      <c r="A3066" s="5">
        <v>2.07388744864E11</v>
      </c>
      <c r="B3066" s="5" t="s">
        <v>2871</v>
      </c>
      <c r="C3066" s="5">
        <v>51902081151</v>
      </c>
      <c r="D3066" s="5" t="s">
        <v>13</v>
      </c>
      <c r="E3066" s="5">
        <v>8.0566583E7</v>
      </c>
      <c r="F3066" s="5" t="s">
        <v>39</v>
      </c>
      <c r="G3066" s="5" t="s">
        <v>15</v>
      </c>
      <c r="H3066" s="5" t="s">
        <v>51</v>
      </c>
      <c r="I3066" s="6" t="s">
        <v>17</v>
      </c>
      <c r="J3066" s="7" t="s">
        <v>18</v>
      </c>
      <c r="K3066" s="7" t="s">
        <v>19</v>
      </c>
      <c r="L3066" s="8">
        <v>1.772775930039E12</v>
      </c>
      <c r="M3066" s="9"/>
      <c r="N3066" s="10"/>
      <c r="O3066" s="10"/>
      <c r="P3066" s="10"/>
      <c r="Q3066" s="10"/>
      <c r="R3066" s="10"/>
      <c r="S3066" s="10"/>
      <c r="T3066" s="10"/>
      <c r="U3066" s="10"/>
      <c r="V3066" s="10"/>
    </row>
    <row r="3067" ht="22.5" customHeight="1">
      <c r="A3067" s="5">
        <v>2.07389864787E11</v>
      </c>
      <c r="B3067" s="5" t="s">
        <v>2872</v>
      </c>
      <c r="C3067" s="5">
        <v>51925894060</v>
      </c>
      <c r="D3067" s="5" t="s">
        <v>13</v>
      </c>
      <c r="E3067" s="5">
        <v>8.7547393E7</v>
      </c>
      <c r="F3067" s="5" t="s">
        <v>14</v>
      </c>
      <c r="G3067" s="5" t="s">
        <v>15</v>
      </c>
      <c r="H3067" s="5" t="s">
        <v>33</v>
      </c>
      <c r="I3067" s="6" t="s">
        <v>17</v>
      </c>
      <c r="J3067" s="7" t="s">
        <v>34</v>
      </c>
      <c r="K3067" s="7"/>
      <c r="L3067" s="8">
        <v>1.772777581517E12</v>
      </c>
      <c r="M3067" s="9"/>
      <c r="N3067" s="10"/>
      <c r="O3067" s="10"/>
      <c r="P3067" s="10"/>
      <c r="Q3067" s="10"/>
      <c r="R3067" s="10"/>
      <c r="S3067" s="10"/>
      <c r="T3067" s="10"/>
      <c r="U3067" s="10"/>
      <c r="V3067" s="10"/>
    </row>
    <row r="3068" ht="22.5" customHeight="1">
      <c r="A3068" s="5">
        <v>2.04924429739E11</v>
      </c>
      <c r="B3068" s="5" t="s">
        <v>2873</v>
      </c>
      <c r="C3068" s="5">
        <v>51908047785</v>
      </c>
      <c r="D3068" s="5" t="s">
        <v>13</v>
      </c>
      <c r="E3068" s="5">
        <v>8.7547393E7</v>
      </c>
      <c r="F3068" s="5" t="s">
        <v>28</v>
      </c>
      <c r="G3068" s="5" t="s">
        <v>15</v>
      </c>
      <c r="H3068" s="5" t="s">
        <v>24</v>
      </c>
      <c r="I3068" s="6" t="s">
        <v>17</v>
      </c>
      <c r="J3068" s="7" t="s">
        <v>18</v>
      </c>
      <c r="K3068" s="7" t="s">
        <v>19</v>
      </c>
      <c r="L3068" s="8">
        <v>1.772778549554E12</v>
      </c>
      <c r="M3068" s="9"/>
      <c r="N3068" s="10"/>
      <c r="O3068" s="10"/>
      <c r="P3068" s="10"/>
      <c r="Q3068" s="10"/>
      <c r="R3068" s="10"/>
      <c r="S3068" s="10"/>
      <c r="T3068" s="10"/>
      <c r="U3068" s="10"/>
      <c r="V3068" s="10"/>
    </row>
    <row r="3069" ht="22.5" customHeight="1">
      <c r="A3069" s="5">
        <v>2.07414016371E11</v>
      </c>
      <c r="B3069" s="5" t="s">
        <v>2874</v>
      </c>
      <c r="C3069" s="5">
        <v>51918346494</v>
      </c>
      <c r="D3069" s="5" t="s">
        <v>13</v>
      </c>
      <c r="E3069" s="5">
        <v>8.0566583E7</v>
      </c>
      <c r="F3069" s="5" t="s">
        <v>42</v>
      </c>
      <c r="G3069" s="5" t="s">
        <v>15</v>
      </c>
      <c r="H3069" s="5" t="s">
        <v>24</v>
      </c>
      <c r="I3069" s="6" t="s">
        <v>17</v>
      </c>
      <c r="J3069" s="7" t="s">
        <v>18</v>
      </c>
      <c r="K3069" s="7" t="s">
        <v>19</v>
      </c>
      <c r="L3069" s="8">
        <v>1.772788700356E12</v>
      </c>
      <c r="M3069" s="9"/>
      <c r="N3069" s="10"/>
      <c r="O3069" s="10"/>
      <c r="P3069" s="10"/>
      <c r="Q3069" s="10"/>
      <c r="R3069" s="10"/>
      <c r="S3069" s="10"/>
      <c r="T3069" s="10"/>
      <c r="U3069" s="10"/>
      <c r="V3069" s="10"/>
    </row>
    <row r="3070" ht="22.5" customHeight="1">
      <c r="A3070" s="5">
        <v>2.07418012205E11</v>
      </c>
      <c r="B3070" s="5" t="s">
        <v>2875</v>
      </c>
      <c r="C3070" s="5">
        <v>51989269142</v>
      </c>
      <c r="D3070" s="5" t="s">
        <v>13</v>
      </c>
      <c r="E3070" s="5">
        <v>8.7547393E7</v>
      </c>
      <c r="F3070" s="5" t="s">
        <v>28</v>
      </c>
      <c r="G3070" s="5" t="s">
        <v>15</v>
      </c>
      <c r="H3070" s="5" t="s">
        <v>16</v>
      </c>
      <c r="I3070" s="6" t="s">
        <v>17</v>
      </c>
      <c r="J3070" s="7" t="s">
        <v>18</v>
      </c>
      <c r="K3070" s="7" t="s">
        <v>19</v>
      </c>
      <c r="L3070" s="8">
        <v>1.772790694426E12</v>
      </c>
      <c r="M3070" s="9"/>
      <c r="N3070" s="10"/>
      <c r="O3070" s="10"/>
      <c r="P3070" s="10"/>
      <c r="Q3070" s="10"/>
      <c r="R3070" s="10"/>
      <c r="S3070" s="10"/>
      <c r="T3070" s="10"/>
      <c r="U3070" s="10"/>
      <c r="V3070" s="10"/>
    </row>
    <row r="3071" ht="22.5" customHeight="1">
      <c r="A3071" s="5">
        <v>2.07432199241E11</v>
      </c>
      <c r="B3071" s="5" t="s">
        <v>2876</v>
      </c>
      <c r="C3071" s="5">
        <v>5575991749933</v>
      </c>
      <c r="D3071" s="5" t="s">
        <v>22</v>
      </c>
      <c r="E3071" s="5">
        <v>7.9360573E7</v>
      </c>
      <c r="F3071" s="5" t="s">
        <v>93</v>
      </c>
      <c r="G3071" s="5" t="s">
        <v>32</v>
      </c>
      <c r="H3071" s="5" t="s">
        <v>33</v>
      </c>
      <c r="I3071" s="6" t="s">
        <v>17</v>
      </c>
      <c r="J3071" s="7" t="s">
        <v>124</v>
      </c>
      <c r="K3071" s="7" t="s">
        <v>1256</v>
      </c>
      <c r="L3071" s="8">
        <v>1.772790883586E12</v>
      </c>
      <c r="M3071" s="9"/>
      <c r="N3071" s="10"/>
      <c r="O3071" s="10"/>
      <c r="P3071" s="10"/>
      <c r="Q3071" s="10"/>
      <c r="R3071" s="10"/>
      <c r="S3071" s="10"/>
      <c r="T3071" s="10"/>
      <c r="U3071" s="10"/>
      <c r="V3071" s="10"/>
    </row>
    <row r="3072" ht="22.5" customHeight="1">
      <c r="A3072" s="5">
        <v>2.07432447328E11</v>
      </c>
      <c r="B3072" s="5" t="s">
        <v>2877</v>
      </c>
      <c r="C3072" s="5">
        <v>5511982592865</v>
      </c>
      <c r="D3072" s="5" t="s">
        <v>38</v>
      </c>
      <c r="E3072" s="5">
        <v>7.9360573E7</v>
      </c>
      <c r="F3072" s="5"/>
      <c r="G3072" s="5"/>
      <c r="H3072" s="5"/>
      <c r="I3072" s="6"/>
      <c r="J3072" s="7" t="s">
        <v>34</v>
      </c>
      <c r="K3072" s="7"/>
      <c r="L3072" s="8">
        <v>1.772792919034E12</v>
      </c>
      <c r="M3072" s="9"/>
      <c r="N3072" s="10"/>
      <c r="O3072" s="10"/>
      <c r="P3072" s="10"/>
      <c r="Q3072" s="10"/>
      <c r="R3072" s="10"/>
      <c r="S3072" s="10"/>
      <c r="T3072" s="10"/>
      <c r="U3072" s="10"/>
      <c r="V3072" s="10"/>
    </row>
    <row r="3073" ht="22.5" customHeight="1">
      <c r="A3073" s="5">
        <v>2.07441753881E11</v>
      </c>
      <c r="B3073" s="5" t="s">
        <v>2878</v>
      </c>
      <c r="C3073" s="5">
        <v>5519991856272</v>
      </c>
      <c r="D3073" s="5" t="s">
        <v>22</v>
      </c>
      <c r="E3073" s="5">
        <v>7.9360573E7</v>
      </c>
      <c r="F3073" s="5" t="s">
        <v>28</v>
      </c>
      <c r="G3073" s="5">
        <v>50</v>
      </c>
      <c r="H3073" s="5" t="s">
        <v>80</v>
      </c>
      <c r="I3073" s="6" t="s">
        <v>17</v>
      </c>
      <c r="J3073" s="7" t="s">
        <v>34</v>
      </c>
      <c r="K3073" s="7"/>
      <c r="L3073" s="8">
        <v>1.772793980085E12</v>
      </c>
      <c r="M3073" s="9"/>
      <c r="N3073" s="10"/>
      <c r="O3073" s="10"/>
      <c r="P3073" s="10"/>
      <c r="Q3073" s="10"/>
      <c r="R3073" s="10"/>
      <c r="S3073" s="10"/>
      <c r="T3073" s="10"/>
      <c r="U3073" s="10"/>
      <c r="V3073" s="10"/>
    </row>
    <row r="3074" ht="22.5" customHeight="1">
      <c r="A3074" s="5">
        <v>2.07441654364E11</v>
      </c>
      <c r="B3074" s="5" t="s">
        <v>2879</v>
      </c>
      <c r="C3074" s="5">
        <v>51933253495</v>
      </c>
      <c r="D3074" s="5" t="s">
        <v>13</v>
      </c>
      <c r="E3074" s="5">
        <v>8.0566583E7</v>
      </c>
      <c r="F3074" s="5" t="s">
        <v>39</v>
      </c>
      <c r="G3074" s="5" t="s">
        <v>15</v>
      </c>
      <c r="H3074" s="5" t="s">
        <v>51</v>
      </c>
      <c r="I3074" s="6" t="s">
        <v>17</v>
      </c>
      <c r="J3074" s="7" t="s">
        <v>18</v>
      </c>
      <c r="K3074" s="7" t="s">
        <v>19</v>
      </c>
      <c r="L3074" s="8">
        <v>1.772794624512E12</v>
      </c>
      <c r="M3074" s="9"/>
      <c r="N3074" s="10"/>
      <c r="O3074" s="10"/>
      <c r="P3074" s="10"/>
      <c r="Q3074" s="10"/>
      <c r="R3074" s="10"/>
      <c r="S3074" s="10"/>
      <c r="T3074" s="10"/>
      <c r="U3074" s="10"/>
      <c r="V3074" s="10"/>
    </row>
    <row r="3075" ht="22.5" customHeight="1">
      <c r="A3075" s="5">
        <v>2.07440769626E11</v>
      </c>
      <c r="B3075" s="5" t="s">
        <v>2880</v>
      </c>
      <c r="C3075" s="5">
        <v>51902221931</v>
      </c>
      <c r="D3075" s="5" t="s">
        <v>13</v>
      </c>
      <c r="E3075" s="5">
        <v>8.0566583E7</v>
      </c>
      <c r="F3075" s="5" t="s">
        <v>259</v>
      </c>
      <c r="G3075" s="5" t="s">
        <v>44</v>
      </c>
      <c r="H3075" s="5" t="s">
        <v>24</v>
      </c>
      <c r="I3075" s="6" t="s">
        <v>17</v>
      </c>
      <c r="J3075" s="7" t="s">
        <v>18</v>
      </c>
      <c r="K3075" s="7" t="s">
        <v>19</v>
      </c>
      <c r="L3075" s="8">
        <v>1.772794870546E12</v>
      </c>
      <c r="M3075" s="9"/>
      <c r="N3075" s="10"/>
      <c r="O3075" s="10"/>
      <c r="P3075" s="10"/>
      <c r="Q3075" s="10"/>
      <c r="R3075" s="10"/>
      <c r="S3075" s="10"/>
      <c r="T3075" s="10"/>
      <c r="U3075" s="10"/>
      <c r="V3075" s="10"/>
    </row>
    <row r="3076" ht="22.5" customHeight="1">
      <c r="A3076" s="5">
        <v>2.07444674111E11</v>
      </c>
      <c r="B3076" s="5" t="s">
        <v>2881</v>
      </c>
      <c r="C3076" s="5">
        <v>5567992567297</v>
      </c>
      <c r="D3076" s="5" t="s">
        <v>38</v>
      </c>
      <c r="E3076" s="5">
        <v>7.9360573E7</v>
      </c>
      <c r="F3076" s="5" t="s">
        <v>93</v>
      </c>
      <c r="G3076" s="5" t="s">
        <v>15</v>
      </c>
      <c r="H3076" s="5" t="s">
        <v>114</v>
      </c>
      <c r="I3076" s="6" t="s">
        <v>17</v>
      </c>
      <c r="J3076" s="7" t="s">
        <v>124</v>
      </c>
      <c r="K3076" s="7" t="s">
        <v>1256</v>
      </c>
      <c r="L3076" s="8">
        <v>1.772795396659E12</v>
      </c>
      <c r="M3076" s="9"/>
      <c r="N3076" s="10"/>
      <c r="O3076" s="10"/>
      <c r="P3076" s="10"/>
      <c r="Q3076" s="10"/>
      <c r="R3076" s="10"/>
      <c r="S3076" s="10"/>
      <c r="T3076" s="10"/>
      <c r="U3076" s="10"/>
      <c r="V3076" s="10"/>
    </row>
    <row r="3077" ht="22.5" customHeight="1">
      <c r="A3077" s="5">
        <v>2.07195988338E11</v>
      </c>
      <c r="B3077" s="5" t="s">
        <v>2882</v>
      </c>
      <c r="C3077" s="5">
        <v>5585987433959</v>
      </c>
      <c r="D3077" s="5" t="s">
        <v>22</v>
      </c>
      <c r="E3077" s="5">
        <v>7.9360573E7</v>
      </c>
      <c r="F3077" s="5" t="s">
        <v>65</v>
      </c>
      <c r="G3077" s="5" t="s">
        <v>79</v>
      </c>
      <c r="H3077" s="5" t="s">
        <v>66</v>
      </c>
      <c r="I3077" s="6" t="s">
        <v>17</v>
      </c>
      <c r="J3077" s="7" t="s">
        <v>124</v>
      </c>
      <c r="K3077" s="7" t="s">
        <v>1256</v>
      </c>
      <c r="L3077" s="8">
        <v>1.772795941363E12</v>
      </c>
      <c r="M3077" s="9"/>
      <c r="N3077" s="10"/>
      <c r="O3077" s="10"/>
      <c r="P3077" s="10"/>
      <c r="Q3077" s="10"/>
      <c r="R3077" s="10"/>
      <c r="S3077" s="10"/>
      <c r="T3077" s="10"/>
      <c r="U3077" s="10"/>
      <c r="V3077" s="10"/>
    </row>
    <row r="3078" ht="22.5" customHeight="1">
      <c r="A3078" s="5">
        <v>2.07449004104E11</v>
      </c>
      <c r="B3078" s="5" t="s">
        <v>2883</v>
      </c>
      <c r="C3078" s="5">
        <v>51978854940</v>
      </c>
      <c r="D3078" s="5" t="s">
        <v>13</v>
      </c>
      <c r="E3078" s="5">
        <v>8.0566583E7</v>
      </c>
      <c r="F3078" s="5" t="s">
        <v>259</v>
      </c>
      <c r="G3078" s="5" t="s">
        <v>32</v>
      </c>
      <c r="H3078" s="5" t="s">
        <v>24</v>
      </c>
      <c r="I3078" s="6" t="s">
        <v>17</v>
      </c>
      <c r="J3078" s="7" t="s">
        <v>18</v>
      </c>
      <c r="K3078" s="7" t="s">
        <v>19</v>
      </c>
      <c r="L3078" s="8">
        <v>1.772796597822E12</v>
      </c>
      <c r="M3078" s="9"/>
      <c r="N3078" s="10"/>
      <c r="O3078" s="10"/>
      <c r="P3078" s="10"/>
      <c r="Q3078" s="10"/>
      <c r="R3078" s="10"/>
      <c r="S3078" s="10"/>
      <c r="T3078" s="10"/>
      <c r="U3078" s="10"/>
      <c r="V3078" s="10"/>
    </row>
    <row r="3079" ht="22.5" customHeight="1">
      <c r="A3079" s="5">
        <v>2.07447484343E11</v>
      </c>
      <c r="B3079" s="5" t="s">
        <v>2884</v>
      </c>
      <c r="C3079" s="5">
        <v>51962324375</v>
      </c>
      <c r="D3079" s="5" t="s">
        <v>38</v>
      </c>
      <c r="E3079" s="5">
        <v>8.0566583E7</v>
      </c>
      <c r="F3079" s="5"/>
      <c r="G3079" s="5"/>
      <c r="H3079" s="5"/>
      <c r="I3079" s="6"/>
      <c r="J3079" s="7" t="s">
        <v>18</v>
      </c>
      <c r="K3079" s="7" t="s">
        <v>19</v>
      </c>
      <c r="L3079" s="8">
        <v>1.772797540631E12</v>
      </c>
      <c r="M3079" s="9"/>
      <c r="N3079" s="10"/>
      <c r="O3079" s="10"/>
      <c r="P3079" s="10"/>
      <c r="Q3079" s="10"/>
      <c r="R3079" s="10"/>
      <c r="S3079" s="10"/>
      <c r="T3079" s="10"/>
      <c r="U3079" s="10"/>
      <c r="V3079" s="10"/>
    </row>
    <row r="3080" ht="22.5" customHeight="1">
      <c r="A3080" s="5">
        <v>2.07453236273E11</v>
      </c>
      <c r="B3080" s="5" t="s">
        <v>2885</v>
      </c>
      <c r="C3080" s="5">
        <v>51965002552</v>
      </c>
      <c r="D3080" s="5" t="s">
        <v>13</v>
      </c>
      <c r="E3080" s="5">
        <v>8.0566583E7</v>
      </c>
      <c r="F3080" s="5" t="s">
        <v>259</v>
      </c>
      <c r="G3080" s="5" t="s">
        <v>15</v>
      </c>
      <c r="H3080" s="5" t="s">
        <v>66</v>
      </c>
      <c r="I3080" s="6" t="s">
        <v>17</v>
      </c>
      <c r="J3080" s="7" t="s">
        <v>18</v>
      </c>
      <c r="K3080" s="7" t="s">
        <v>19</v>
      </c>
      <c r="L3080" s="8">
        <v>1.772799848289E12</v>
      </c>
      <c r="M3080" s="9"/>
      <c r="N3080" s="10"/>
      <c r="O3080" s="10"/>
      <c r="P3080" s="10"/>
      <c r="Q3080" s="10"/>
      <c r="R3080" s="10"/>
      <c r="S3080" s="10"/>
      <c r="T3080" s="10"/>
      <c r="U3080" s="10"/>
      <c r="V3080" s="10"/>
    </row>
    <row r="3081" ht="22.5" customHeight="1">
      <c r="A3081" s="5">
        <v>2.07453236273E11</v>
      </c>
      <c r="B3081" s="5" t="s">
        <v>2885</v>
      </c>
      <c r="C3081" s="5">
        <v>51965002552</v>
      </c>
      <c r="D3081" s="5" t="s">
        <v>13</v>
      </c>
      <c r="E3081" s="5">
        <v>8.0566583E7</v>
      </c>
      <c r="F3081" s="5" t="s">
        <v>259</v>
      </c>
      <c r="G3081" s="5" t="s">
        <v>15</v>
      </c>
      <c r="H3081" s="5" t="s">
        <v>66</v>
      </c>
      <c r="I3081" s="6" t="s">
        <v>17</v>
      </c>
      <c r="J3081" s="7" t="s">
        <v>18</v>
      </c>
      <c r="K3081" s="7" t="s">
        <v>19</v>
      </c>
      <c r="L3081" s="8">
        <v>1.772800298633E12</v>
      </c>
      <c r="M3081" s="9"/>
      <c r="N3081" s="10"/>
      <c r="O3081" s="10"/>
      <c r="P3081" s="10"/>
      <c r="Q3081" s="10"/>
      <c r="R3081" s="10"/>
      <c r="S3081" s="10"/>
      <c r="T3081" s="10"/>
      <c r="U3081" s="10"/>
      <c r="V3081" s="10"/>
    </row>
    <row r="3082" ht="22.5" customHeight="1">
      <c r="A3082" s="5">
        <v>2.07452800264E11</v>
      </c>
      <c r="B3082" s="5" t="s">
        <v>2886</v>
      </c>
      <c r="C3082" s="5">
        <v>51938276449</v>
      </c>
      <c r="D3082" s="5" t="s">
        <v>13</v>
      </c>
      <c r="E3082" s="5">
        <v>8.0566583E7</v>
      </c>
      <c r="F3082" s="5" t="s">
        <v>14</v>
      </c>
      <c r="G3082" s="5" t="s">
        <v>15</v>
      </c>
      <c r="H3082" s="5" t="s">
        <v>114</v>
      </c>
      <c r="I3082" s="6" t="s">
        <v>63</v>
      </c>
      <c r="J3082" s="7" t="s">
        <v>34</v>
      </c>
      <c r="K3082" s="7"/>
      <c r="L3082" s="8">
        <v>1.772800384652E12</v>
      </c>
      <c r="M3082" s="9"/>
      <c r="N3082" s="10"/>
      <c r="O3082" s="10"/>
      <c r="P3082" s="10"/>
      <c r="Q3082" s="10"/>
      <c r="R3082" s="10"/>
      <c r="S3082" s="10"/>
      <c r="T3082" s="10"/>
      <c r="U3082" s="10"/>
      <c r="V3082" s="10"/>
    </row>
    <row r="3083" ht="22.5" customHeight="1">
      <c r="A3083" s="5">
        <v>2.06299142559E11</v>
      </c>
      <c r="B3083" s="5" t="s">
        <v>2887</v>
      </c>
      <c r="C3083" s="5">
        <v>5531995603968</v>
      </c>
      <c r="D3083" s="5" t="s">
        <v>13</v>
      </c>
      <c r="E3083" s="5">
        <v>7.9360573E7</v>
      </c>
      <c r="F3083" s="5" t="s">
        <v>259</v>
      </c>
      <c r="G3083" s="5" t="s">
        <v>15</v>
      </c>
      <c r="H3083" s="5" t="s">
        <v>51</v>
      </c>
      <c r="I3083" s="6" t="s">
        <v>36</v>
      </c>
      <c r="J3083" s="7" t="s">
        <v>124</v>
      </c>
      <c r="K3083" s="7" t="s">
        <v>1256</v>
      </c>
      <c r="L3083" s="8">
        <v>1.772800682193E12</v>
      </c>
      <c r="M3083" s="9"/>
      <c r="N3083" s="10"/>
      <c r="O3083" s="10"/>
      <c r="P3083" s="10"/>
      <c r="Q3083" s="10"/>
      <c r="R3083" s="10"/>
      <c r="S3083" s="10"/>
      <c r="T3083" s="10"/>
      <c r="U3083" s="10"/>
      <c r="V3083" s="10"/>
    </row>
    <row r="3084" ht="22.5" customHeight="1">
      <c r="A3084" s="5">
        <v>2.0745701279E11</v>
      </c>
      <c r="B3084" s="5" t="s">
        <v>2888</v>
      </c>
      <c r="C3084" s="5">
        <v>51989598741</v>
      </c>
      <c r="D3084" s="5" t="s">
        <v>13</v>
      </c>
      <c r="E3084" s="5">
        <v>8.0566583E7</v>
      </c>
      <c r="F3084" s="5" t="s">
        <v>28</v>
      </c>
      <c r="G3084" s="5" t="s">
        <v>32</v>
      </c>
      <c r="H3084" s="5" t="s">
        <v>114</v>
      </c>
      <c r="I3084" s="6" t="s">
        <v>17</v>
      </c>
      <c r="J3084" s="7" t="s">
        <v>18</v>
      </c>
      <c r="K3084" s="7" t="s">
        <v>19</v>
      </c>
      <c r="L3084" s="8">
        <v>1.772802152096E12</v>
      </c>
      <c r="M3084" s="9"/>
      <c r="N3084" s="10"/>
      <c r="O3084" s="10"/>
      <c r="P3084" s="10"/>
      <c r="Q3084" s="10"/>
      <c r="R3084" s="10"/>
      <c r="S3084" s="10"/>
      <c r="T3084" s="10"/>
      <c r="U3084" s="10"/>
      <c r="V3084" s="10"/>
    </row>
    <row r="3085" ht="22.5" customHeight="1">
      <c r="A3085" s="5">
        <v>2.07459616387E11</v>
      </c>
      <c r="B3085" s="5" t="s">
        <v>2889</v>
      </c>
      <c r="C3085" s="5">
        <v>51961689851</v>
      </c>
      <c r="D3085" s="5" t="s">
        <v>38</v>
      </c>
      <c r="E3085" s="5">
        <v>8.0566583E7</v>
      </c>
      <c r="F3085" s="5" t="s">
        <v>259</v>
      </c>
      <c r="G3085" s="5" t="s">
        <v>15</v>
      </c>
      <c r="H3085" s="5" t="s">
        <v>16</v>
      </c>
      <c r="I3085" s="6" t="s">
        <v>17</v>
      </c>
      <c r="J3085" s="7" t="s">
        <v>18</v>
      </c>
      <c r="K3085" s="7" t="s">
        <v>19</v>
      </c>
      <c r="L3085" s="8">
        <v>1.772803687626E12</v>
      </c>
      <c r="M3085" s="9"/>
      <c r="N3085" s="10"/>
      <c r="O3085" s="10"/>
      <c r="P3085" s="10"/>
      <c r="Q3085" s="10"/>
      <c r="R3085" s="10"/>
      <c r="S3085" s="10"/>
      <c r="T3085" s="10"/>
      <c r="U3085" s="10"/>
      <c r="V3085" s="10"/>
    </row>
    <row r="3086" ht="22.5" customHeight="1">
      <c r="A3086" s="5">
        <v>2.07466615459E11</v>
      </c>
      <c r="B3086" s="5" t="s">
        <v>2890</v>
      </c>
      <c r="C3086" s="5">
        <v>51962715186</v>
      </c>
      <c r="D3086" s="5" t="s">
        <v>13</v>
      </c>
      <c r="E3086" s="5">
        <v>8.0566583E7</v>
      </c>
      <c r="F3086" s="5"/>
      <c r="G3086" s="5" t="s">
        <v>15</v>
      </c>
      <c r="H3086" s="5" t="s">
        <v>33</v>
      </c>
      <c r="I3086" s="6" t="s">
        <v>17</v>
      </c>
      <c r="J3086" s="7" t="s">
        <v>18</v>
      </c>
      <c r="K3086" s="7" t="s">
        <v>19</v>
      </c>
      <c r="L3086" s="8">
        <v>1.772806593468E12</v>
      </c>
      <c r="M3086" s="9"/>
      <c r="N3086" s="10"/>
      <c r="O3086" s="10"/>
      <c r="P3086" s="10"/>
      <c r="Q3086" s="10"/>
      <c r="R3086" s="10"/>
      <c r="S3086" s="10"/>
      <c r="T3086" s="10"/>
      <c r="U3086" s="10"/>
      <c r="V3086" s="10"/>
    </row>
    <row r="3087" ht="22.5" customHeight="1">
      <c r="A3087" s="5">
        <v>2.07487870738E11</v>
      </c>
      <c r="B3087" s="5" t="s">
        <v>2891</v>
      </c>
      <c r="C3087" s="5">
        <v>51901523988</v>
      </c>
      <c r="D3087" s="5" t="s">
        <v>13</v>
      </c>
      <c r="E3087" s="5">
        <v>8.7547393E7</v>
      </c>
      <c r="F3087" s="5" t="s">
        <v>93</v>
      </c>
      <c r="G3087" s="5" t="s">
        <v>15</v>
      </c>
      <c r="H3087" s="5" t="s">
        <v>24</v>
      </c>
      <c r="I3087" s="6" t="s">
        <v>17</v>
      </c>
      <c r="J3087" s="7" t="s">
        <v>18</v>
      </c>
      <c r="K3087" s="7" t="s">
        <v>19</v>
      </c>
      <c r="L3087" s="8">
        <v>1.77281074842E12</v>
      </c>
      <c r="M3087" s="9"/>
      <c r="N3087" s="10"/>
      <c r="O3087" s="10"/>
      <c r="P3087" s="10"/>
      <c r="Q3087" s="10"/>
      <c r="R3087" s="10"/>
      <c r="S3087" s="10"/>
      <c r="T3087" s="10"/>
      <c r="U3087" s="10"/>
      <c r="V3087" s="10"/>
    </row>
    <row r="3088" ht="22.5" customHeight="1">
      <c r="A3088" s="5">
        <v>2.07488758181E11</v>
      </c>
      <c r="B3088" s="5" t="s">
        <v>2892</v>
      </c>
      <c r="C3088" s="5">
        <v>5594991326083</v>
      </c>
      <c r="D3088" s="5" t="s">
        <v>13</v>
      </c>
      <c r="E3088" s="5">
        <v>7.9360573E7</v>
      </c>
      <c r="F3088" s="5" t="s">
        <v>259</v>
      </c>
      <c r="G3088" s="5" t="s">
        <v>32</v>
      </c>
      <c r="H3088" s="5" t="s">
        <v>66</v>
      </c>
      <c r="I3088" s="6"/>
      <c r="J3088" s="7" t="s">
        <v>34</v>
      </c>
      <c r="K3088" s="7"/>
      <c r="L3088" s="8">
        <v>1.77281099315E12</v>
      </c>
      <c r="M3088" s="9"/>
      <c r="N3088" s="10"/>
      <c r="O3088" s="10"/>
      <c r="P3088" s="10"/>
      <c r="Q3088" s="10"/>
      <c r="R3088" s="10"/>
      <c r="S3088" s="10"/>
      <c r="T3088" s="10"/>
      <c r="U3088" s="10"/>
      <c r="V3088" s="10"/>
    </row>
    <row r="3089" ht="22.5" customHeight="1">
      <c r="A3089" s="5">
        <v>2.07481394047E11</v>
      </c>
      <c r="B3089" s="5" t="s">
        <v>2893</v>
      </c>
      <c r="C3089" s="5">
        <v>50688033039</v>
      </c>
      <c r="D3089" s="5" t="s">
        <v>22</v>
      </c>
      <c r="E3089" s="5">
        <v>8.0566583E7</v>
      </c>
      <c r="F3089" s="5" t="s">
        <v>14</v>
      </c>
      <c r="G3089" s="5" t="s">
        <v>44</v>
      </c>
      <c r="H3089" s="5" t="s">
        <v>16</v>
      </c>
      <c r="I3089" s="6" t="s">
        <v>89</v>
      </c>
      <c r="J3089" s="7" t="s">
        <v>34</v>
      </c>
      <c r="K3089" s="7"/>
      <c r="L3089" s="8">
        <v>1.772812073525E12</v>
      </c>
      <c r="M3089" s="9"/>
      <c r="N3089" s="10"/>
      <c r="O3089" s="10"/>
      <c r="P3089" s="10"/>
      <c r="Q3089" s="10"/>
      <c r="R3089" s="10"/>
      <c r="S3089" s="10"/>
      <c r="T3089" s="10"/>
      <c r="U3089" s="10"/>
      <c r="V3089" s="10"/>
    </row>
    <row r="3090" ht="22.5" customHeight="1">
      <c r="A3090" s="5">
        <v>2.05796211289E11</v>
      </c>
      <c r="B3090" s="5" t="s">
        <v>2894</v>
      </c>
      <c r="C3090" s="5">
        <v>51902497986</v>
      </c>
      <c r="D3090" s="5" t="s">
        <v>13</v>
      </c>
      <c r="E3090" s="5">
        <v>8.7547393E7</v>
      </c>
      <c r="F3090" s="5" t="s">
        <v>14</v>
      </c>
      <c r="G3090" s="5" t="s">
        <v>15</v>
      </c>
      <c r="H3090" s="5" t="s">
        <v>24</v>
      </c>
      <c r="I3090" s="6" t="s">
        <v>17</v>
      </c>
      <c r="J3090" s="7" t="s">
        <v>18</v>
      </c>
      <c r="K3090" s="7" t="s">
        <v>19</v>
      </c>
      <c r="L3090" s="8">
        <v>1.772812769106E12</v>
      </c>
      <c r="M3090" s="9"/>
      <c r="N3090" s="10"/>
      <c r="O3090" s="10"/>
      <c r="P3090" s="10"/>
      <c r="Q3090" s="10"/>
      <c r="R3090" s="10"/>
      <c r="S3090" s="10"/>
      <c r="T3090" s="10"/>
      <c r="U3090" s="10"/>
      <c r="V3090" s="10"/>
    </row>
    <row r="3091" ht="22.5" customHeight="1">
      <c r="A3091" s="5">
        <v>2.07517742906E11</v>
      </c>
      <c r="B3091" s="5" t="s">
        <v>2895</v>
      </c>
      <c r="C3091" s="5">
        <v>51959879170</v>
      </c>
      <c r="D3091" s="5" t="s">
        <v>38</v>
      </c>
      <c r="E3091" s="5">
        <v>8.0566583E7</v>
      </c>
      <c r="F3091" s="5"/>
      <c r="G3091" s="5"/>
      <c r="H3091" s="5"/>
      <c r="I3091" s="6"/>
      <c r="J3091" s="7" t="s">
        <v>18</v>
      </c>
      <c r="K3091" s="7" t="s">
        <v>19</v>
      </c>
      <c r="L3091" s="8">
        <v>1.772814623538E12</v>
      </c>
      <c r="M3091" s="9"/>
      <c r="N3091" s="10"/>
      <c r="O3091" s="10"/>
      <c r="P3091" s="10"/>
      <c r="Q3091" s="10"/>
      <c r="R3091" s="10"/>
      <c r="S3091" s="10"/>
      <c r="T3091" s="10"/>
      <c r="U3091" s="10"/>
      <c r="V3091" s="10"/>
    </row>
    <row r="3092" ht="22.5" customHeight="1">
      <c r="A3092" s="5">
        <v>2.07517742906E11</v>
      </c>
      <c r="B3092" s="5" t="s">
        <v>2895</v>
      </c>
      <c r="C3092" s="5">
        <v>51959879170</v>
      </c>
      <c r="D3092" s="5" t="s">
        <v>38</v>
      </c>
      <c r="E3092" s="5">
        <v>8.0566583E7</v>
      </c>
      <c r="F3092" s="5"/>
      <c r="G3092" s="5"/>
      <c r="H3092" s="5"/>
      <c r="I3092" s="6"/>
      <c r="J3092" s="7" t="s">
        <v>18</v>
      </c>
      <c r="K3092" s="7" t="s">
        <v>19</v>
      </c>
      <c r="L3092" s="8">
        <v>1.77281464353E12</v>
      </c>
      <c r="M3092" s="9"/>
      <c r="N3092" s="10"/>
      <c r="O3092" s="10"/>
      <c r="P3092" s="10"/>
      <c r="Q3092" s="10"/>
      <c r="R3092" s="10"/>
      <c r="S3092" s="10"/>
      <c r="T3092" s="10"/>
      <c r="U3092" s="10"/>
      <c r="V3092" s="10"/>
    </row>
    <row r="3093" ht="22.5" customHeight="1">
      <c r="A3093" s="5">
        <v>2.07524939844E11</v>
      </c>
      <c r="B3093" s="5" t="s">
        <v>2896</v>
      </c>
      <c r="C3093" s="5">
        <v>51937498124</v>
      </c>
      <c r="D3093" s="5" t="s">
        <v>13</v>
      </c>
      <c r="E3093" s="5">
        <v>8.7547393E7</v>
      </c>
      <c r="F3093" s="5" t="s">
        <v>259</v>
      </c>
      <c r="G3093" s="5" t="s">
        <v>15</v>
      </c>
      <c r="H3093" s="5" t="s">
        <v>51</v>
      </c>
      <c r="I3093" s="6" t="s">
        <v>17</v>
      </c>
      <c r="J3093" s="7" t="s">
        <v>18</v>
      </c>
      <c r="K3093" s="7" t="s">
        <v>19</v>
      </c>
      <c r="L3093" s="8">
        <v>1.772814934693E12</v>
      </c>
      <c r="M3093" s="9"/>
      <c r="N3093" s="10"/>
      <c r="O3093" s="10"/>
      <c r="P3093" s="10"/>
      <c r="Q3093" s="10"/>
      <c r="R3093" s="10"/>
      <c r="S3093" s="10"/>
      <c r="T3093" s="10"/>
      <c r="U3093" s="10"/>
      <c r="V3093" s="10"/>
    </row>
    <row r="3094" ht="22.5" customHeight="1">
      <c r="A3094" s="5">
        <v>2.07590735882E11</v>
      </c>
      <c r="B3094" s="5" t="s">
        <v>2897</v>
      </c>
      <c r="C3094" s="5">
        <v>5588992222628</v>
      </c>
      <c r="D3094" s="5" t="s">
        <v>13</v>
      </c>
      <c r="E3094" s="5">
        <v>7.9360573E7</v>
      </c>
      <c r="F3094" s="5" t="s">
        <v>259</v>
      </c>
      <c r="G3094" s="5" t="s">
        <v>15</v>
      </c>
      <c r="H3094" s="5" t="s">
        <v>80</v>
      </c>
      <c r="I3094" s="6" t="s">
        <v>17</v>
      </c>
      <c r="J3094" s="7" t="s">
        <v>124</v>
      </c>
      <c r="K3094" s="7" t="s">
        <v>1256</v>
      </c>
      <c r="L3094" s="8">
        <v>1.772819966309E12</v>
      </c>
      <c r="M3094" s="9"/>
      <c r="N3094" s="10"/>
      <c r="O3094" s="10"/>
      <c r="P3094" s="10"/>
      <c r="Q3094" s="10"/>
      <c r="R3094" s="10"/>
      <c r="S3094" s="10"/>
      <c r="T3094" s="10"/>
      <c r="U3094" s="10"/>
      <c r="V3094" s="10"/>
    </row>
    <row r="3095" ht="22.5" customHeight="1">
      <c r="A3095" s="5">
        <v>2.07596952995E11</v>
      </c>
      <c r="B3095" s="5" t="s">
        <v>2898</v>
      </c>
      <c r="C3095" s="5">
        <v>51940344498</v>
      </c>
      <c r="D3095" s="5" t="s">
        <v>13</v>
      </c>
      <c r="E3095" s="5">
        <v>8.7547393E7</v>
      </c>
      <c r="F3095" s="5" t="s">
        <v>65</v>
      </c>
      <c r="G3095" s="5" t="s">
        <v>15</v>
      </c>
      <c r="H3095" s="5" t="s">
        <v>16</v>
      </c>
      <c r="I3095" s="6" t="s">
        <v>17</v>
      </c>
      <c r="J3095" s="7" t="s">
        <v>18</v>
      </c>
      <c r="K3095" s="7" t="s">
        <v>19</v>
      </c>
      <c r="L3095" s="8">
        <v>1.772823312334E12</v>
      </c>
      <c r="M3095" s="9"/>
      <c r="N3095" s="10"/>
      <c r="O3095" s="10"/>
      <c r="P3095" s="10"/>
      <c r="Q3095" s="10"/>
      <c r="R3095" s="10"/>
      <c r="S3095" s="10"/>
      <c r="T3095" s="10"/>
      <c r="U3095" s="10"/>
      <c r="V3095" s="10"/>
    </row>
    <row r="3096" ht="22.5" customHeight="1">
      <c r="A3096" s="5">
        <v>2.07596953771E11</v>
      </c>
      <c r="B3096" s="5" t="s">
        <v>2899</v>
      </c>
      <c r="C3096" s="5">
        <v>51944468650</v>
      </c>
      <c r="D3096" s="5" t="s">
        <v>13</v>
      </c>
      <c r="E3096" s="5">
        <v>8.7547393E7</v>
      </c>
      <c r="F3096" s="5" t="s">
        <v>259</v>
      </c>
      <c r="G3096" s="5" t="s">
        <v>15</v>
      </c>
      <c r="H3096" s="5" t="s">
        <v>24</v>
      </c>
      <c r="I3096" s="6" t="s">
        <v>17</v>
      </c>
      <c r="J3096" s="7" t="s">
        <v>18</v>
      </c>
      <c r="K3096" s="7" t="s">
        <v>19</v>
      </c>
      <c r="L3096" s="8">
        <v>1.772823460955E12</v>
      </c>
      <c r="M3096" s="9"/>
      <c r="N3096" s="10"/>
      <c r="O3096" s="10"/>
      <c r="P3096" s="10"/>
      <c r="Q3096" s="10"/>
      <c r="R3096" s="10"/>
      <c r="S3096" s="10"/>
      <c r="T3096" s="10"/>
      <c r="U3096" s="10"/>
      <c r="V3096" s="10"/>
    </row>
    <row r="3097" ht="22.5" customHeight="1">
      <c r="A3097" s="5">
        <v>2.07596743987E11</v>
      </c>
      <c r="B3097" s="5" t="s">
        <v>2900</v>
      </c>
      <c r="C3097" s="5">
        <v>573245076709</v>
      </c>
      <c r="D3097" s="5" t="s">
        <v>13</v>
      </c>
      <c r="E3097" s="5">
        <v>8.0566583E7</v>
      </c>
      <c r="F3097" s="5" t="s">
        <v>14</v>
      </c>
      <c r="G3097" s="5" t="s">
        <v>15</v>
      </c>
      <c r="H3097" s="5" t="s">
        <v>114</v>
      </c>
      <c r="I3097" s="6" t="s">
        <v>89</v>
      </c>
      <c r="J3097" s="7" t="s">
        <v>34</v>
      </c>
      <c r="K3097" s="7"/>
      <c r="L3097" s="8">
        <v>1.772823564019E12</v>
      </c>
      <c r="M3097" s="9"/>
      <c r="N3097" s="10"/>
      <c r="O3097" s="10"/>
      <c r="P3097" s="10"/>
      <c r="Q3097" s="10"/>
      <c r="R3097" s="10"/>
      <c r="S3097" s="10"/>
      <c r="T3097" s="10"/>
      <c r="U3097" s="10"/>
      <c r="V3097" s="10"/>
    </row>
    <row r="3098" ht="22.5" customHeight="1">
      <c r="A3098" s="5">
        <v>2.07597111089E11</v>
      </c>
      <c r="B3098" s="5" t="s">
        <v>2901</v>
      </c>
      <c r="C3098" s="5">
        <v>51969574044</v>
      </c>
      <c r="D3098" s="5" t="s">
        <v>13</v>
      </c>
      <c r="E3098" s="5">
        <v>8.7547393E7</v>
      </c>
      <c r="F3098" s="5" t="s">
        <v>39</v>
      </c>
      <c r="G3098" s="5" t="s">
        <v>15</v>
      </c>
      <c r="H3098" s="5" t="s">
        <v>51</v>
      </c>
      <c r="I3098" s="6" t="s">
        <v>63</v>
      </c>
      <c r="J3098" s="7" t="s">
        <v>18</v>
      </c>
      <c r="K3098" s="7" t="s">
        <v>19</v>
      </c>
      <c r="L3098" s="8">
        <v>1.7728238982E12</v>
      </c>
      <c r="M3098" s="9"/>
      <c r="N3098" s="10"/>
      <c r="O3098" s="10"/>
      <c r="P3098" s="10"/>
      <c r="Q3098" s="10"/>
      <c r="R3098" s="10"/>
      <c r="S3098" s="10"/>
      <c r="T3098" s="10"/>
      <c r="U3098" s="10"/>
      <c r="V3098" s="10"/>
    </row>
    <row r="3099" ht="22.5" customHeight="1">
      <c r="A3099" s="5">
        <v>2.02955806299E11</v>
      </c>
      <c r="B3099" s="5" t="s">
        <v>2902</v>
      </c>
      <c r="C3099" s="5">
        <v>51997284596</v>
      </c>
      <c r="D3099" s="5" t="s">
        <v>103</v>
      </c>
      <c r="E3099" s="5">
        <v>8.7547393E7</v>
      </c>
      <c r="F3099" s="5" t="s">
        <v>39</v>
      </c>
      <c r="G3099" s="5" t="s">
        <v>104</v>
      </c>
      <c r="H3099" s="5" t="s">
        <v>69</v>
      </c>
      <c r="I3099" s="6" t="s">
        <v>148</v>
      </c>
      <c r="J3099" s="7" t="s">
        <v>34</v>
      </c>
      <c r="K3099" s="7"/>
      <c r="L3099" s="8">
        <v>1.772824275771E12</v>
      </c>
      <c r="M3099" s="9"/>
      <c r="N3099" s="10"/>
      <c r="O3099" s="10"/>
      <c r="P3099" s="10"/>
      <c r="Q3099" s="10"/>
      <c r="R3099" s="10"/>
      <c r="S3099" s="10"/>
      <c r="T3099" s="10"/>
      <c r="U3099" s="10"/>
      <c r="V3099" s="10"/>
    </row>
    <row r="3100" ht="22.5" customHeight="1">
      <c r="A3100" s="5">
        <v>2.07609619351E11</v>
      </c>
      <c r="B3100" s="5" t="s">
        <v>2903</v>
      </c>
      <c r="C3100" s="5">
        <v>51982296521</v>
      </c>
      <c r="D3100" s="5" t="s">
        <v>38</v>
      </c>
      <c r="E3100" s="5">
        <v>8.7547393E7</v>
      </c>
      <c r="F3100" s="5"/>
      <c r="G3100" s="5"/>
      <c r="H3100" s="5"/>
      <c r="I3100" s="6"/>
      <c r="J3100" s="7" t="s">
        <v>18</v>
      </c>
      <c r="K3100" s="7" t="s">
        <v>19</v>
      </c>
      <c r="L3100" s="8">
        <v>1.772825364358E12</v>
      </c>
      <c r="M3100" s="9"/>
      <c r="N3100" s="10"/>
      <c r="O3100" s="10"/>
      <c r="P3100" s="10"/>
      <c r="Q3100" s="10"/>
      <c r="R3100" s="10"/>
      <c r="S3100" s="10"/>
      <c r="T3100" s="10"/>
      <c r="U3100" s="10"/>
      <c r="V3100" s="10"/>
    </row>
    <row r="3101" ht="22.5" customHeight="1">
      <c r="A3101" s="5">
        <v>2.07603093619E11</v>
      </c>
      <c r="B3101" s="5" t="s">
        <v>2904</v>
      </c>
      <c r="C3101" s="5">
        <v>51908718846</v>
      </c>
      <c r="D3101" s="5" t="s">
        <v>38</v>
      </c>
      <c r="E3101" s="5">
        <v>8.7547393E7</v>
      </c>
      <c r="F3101" s="5"/>
      <c r="G3101" s="5"/>
      <c r="H3101" s="5"/>
      <c r="I3101" s="6"/>
      <c r="J3101" s="7" t="s">
        <v>18</v>
      </c>
      <c r="K3101" s="7" t="s">
        <v>19</v>
      </c>
      <c r="L3101" s="8">
        <v>1.772828414198E12</v>
      </c>
      <c r="M3101" s="9"/>
      <c r="N3101" s="10"/>
      <c r="O3101" s="10"/>
      <c r="P3101" s="10"/>
      <c r="Q3101" s="10"/>
      <c r="R3101" s="10"/>
      <c r="S3101" s="10"/>
      <c r="T3101" s="10"/>
      <c r="U3101" s="10"/>
      <c r="V3101" s="10"/>
    </row>
    <row r="3102" ht="22.5" customHeight="1">
      <c r="A3102" s="5">
        <v>2.07602659399E11</v>
      </c>
      <c r="B3102" s="5" t="s">
        <v>2905</v>
      </c>
      <c r="C3102" s="5">
        <v>51904784373</v>
      </c>
      <c r="D3102" s="5" t="s">
        <v>13</v>
      </c>
      <c r="E3102" s="5">
        <v>8.0566583E7</v>
      </c>
      <c r="F3102" s="5"/>
      <c r="G3102" s="5" t="s">
        <v>15</v>
      </c>
      <c r="H3102" s="5" t="s">
        <v>66</v>
      </c>
      <c r="I3102" s="6" t="s">
        <v>17</v>
      </c>
      <c r="J3102" s="7" t="s">
        <v>18</v>
      </c>
      <c r="K3102" s="7" t="s">
        <v>19</v>
      </c>
      <c r="L3102" s="8">
        <v>1.772829614477E12</v>
      </c>
      <c r="M3102" s="9"/>
      <c r="N3102" s="10"/>
      <c r="O3102" s="10"/>
      <c r="P3102" s="10"/>
      <c r="Q3102" s="10"/>
      <c r="R3102" s="10"/>
      <c r="S3102" s="10"/>
      <c r="T3102" s="10"/>
      <c r="U3102" s="10"/>
      <c r="V3102" s="10"/>
    </row>
    <row r="3103" ht="22.5" customHeight="1">
      <c r="A3103" s="5">
        <v>2.07601991865E11</v>
      </c>
      <c r="B3103" s="5" t="s">
        <v>2906</v>
      </c>
      <c r="C3103" s="5">
        <v>5511997622377</v>
      </c>
      <c r="D3103" s="5" t="s">
        <v>13</v>
      </c>
      <c r="E3103" s="5">
        <v>7.9360573E7</v>
      </c>
      <c r="F3103" s="5" t="s">
        <v>259</v>
      </c>
      <c r="G3103" s="5" t="s">
        <v>15</v>
      </c>
      <c r="H3103" s="5" t="s">
        <v>24</v>
      </c>
      <c r="I3103" s="6" t="s">
        <v>17</v>
      </c>
      <c r="J3103" s="7" t="s">
        <v>124</v>
      </c>
      <c r="K3103" s="7" t="s">
        <v>1256</v>
      </c>
      <c r="L3103" s="8">
        <v>1.772830142778E12</v>
      </c>
      <c r="M3103" s="9"/>
      <c r="N3103" s="10"/>
      <c r="O3103" s="10"/>
      <c r="P3103" s="10"/>
      <c r="Q3103" s="10"/>
      <c r="R3103" s="10"/>
      <c r="S3103" s="10"/>
      <c r="T3103" s="10"/>
      <c r="U3103" s="10"/>
      <c r="V3103" s="10"/>
    </row>
    <row r="3104" ht="22.5" customHeight="1">
      <c r="A3104" s="5">
        <v>2.07596953771E11</v>
      </c>
      <c r="B3104" s="5" t="s">
        <v>2899</v>
      </c>
      <c r="C3104" s="5">
        <v>51944468650</v>
      </c>
      <c r="D3104" s="5" t="s">
        <v>13</v>
      </c>
      <c r="E3104" s="5">
        <v>8.7547393E7</v>
      </c>
      <c r="F3104" s="5" t="s">
        <v>259</v>
      </c>
      <c r="G3104" s="5" t="s">
        <v>15</v>
      </c>
      <c r="H3104" s="5" t="s">
        <v>24</v>
      </c>
      <c r="I3104" s="6" t="s">
        <v>17</v>
      </c>
      <c r="J3104" s="7" t="s">
        <v>34</v>
      </c>
      <c r="K3104" s="7"/>
      <c r="L3104" s="8">
        <v>1.772830256001E12</v>
      </c>
      <c r="M3104" s="9"/>
      <c r="N3104" s="10"/>
      <c r="O3104" s="10"/>
      <c r="P3104" s="10"/>
      <c r="Q3104" s="10"/>
      <c r="R3104" s="10"/>
      <c r="S3104" s="10"/>
      <c r="T3104" s="10"/>
      <c r="U3104" s="10"/>
      <c r="V3104" s="10"/>
    </row>
    <row r="3105" ht="22.5" customHeight="1">
      <c r="A3105" s="5">
        <v>2.07614644552E11</v>
      </c>
      <c r="B3105" s="5" t="s">
        <v>2907</v>
      </c>
      <c r="C3105" s="5">
        <v>51938260603</v>
      </c>
      <c r="D3105" s="5" t="s">
        <v>13</v>
      </c>
      <c r="E3105" s="5">
        <v>8.7547393E7</v>
      </c>
      <c r="F3105" s="5" t="s">
        <v>28</v>
      </c>
      <c r="G3105" s="5" t="s">
        <v>15</v>
      </c>
      <c r="H3105" s="5" t="s">
        <v>29</v>
      </c>
      <c r="I3105" s="6"/>
      <c r="J3105" s="7" t="s">
        <v>34</v>
      </c>
      <c r="K3105" s="7"/>
      <c r="L3105" s="8">
        <v>1.7728312467E12</v>
      </c>
      <c r="M3105" s="9"/>
      <c r="N3105" s="10"/>
      <c r="O3105" s="10"/>
      <c r="P3105" s="10"/>
      <c r="Q3105" s="10"/>
      <c r="R3105" s="10"/>
      <c r="S3105" s="10"/>
      <c r="T3105" s="10"/>
      <c r="U3105" s="10"/>
      <c r="V3105" s="10"/>
    </row>
    <row r="3106" ht="22.5" customHeight="1">
      <c r="A3106" s="5">
        <v>2.07615355308E11</v>
      </c>
      <c r="B3106" s="5" t="s">
        <v>2908</v>
      </c>
      <c r="C3106" s="5">
        <v>51959373497</v>
      </c>
      <c r="D3106" s="5" t="s">
        <v>22</v>
      </c>
      <c r="E3106" s="5">
        <v>8.0566583E7</v>
      </c>
      <c r="F3106" s="5" t="s">
        <v>28</v>
      </c>
      <c r="G3106" s="5" t="s">
        <v>44</v>
      </c>
      <c r="H3106" s="5" t="s">
        <v>16</v>
      </c>
      <c r="I3106" s="6" t="s">
        <v>17</v>
      </c>
      <c r="J3106" s="7" t="s">
        <v>18</v>
      </c>
      <c r="K3106" s="7" t="s">
        <v>19</v>
      </c>
      <c r="L3106" s="8">
        <v>1.772831283802E12</v>
      </c>
      <c r="M3106" s="9"/>
      <c r="N3106" s="10"/>
      <c r="O3106" s="10"/>
      <c r="P3106" s="10"/>
      <c r="Q3106" s="10"/>
      <c r="R3106" s="10"/>
      <c r="S3106" s="10"/>
      <c r="T3106" s="10"/>
      <c r="U3106" s="10"/>
      <c r="V3106" s="10"/>
    </row>
    <row r="3107" ht="22.5" customHeight="1">
      <c r="A3107" s="5">
        <v>1.21827105878E11</v>
      </c>
      <c r="B3107" s="5" t="s">
        <v>2909</v>
      </c>
      <c r="C3107" s="5">
        <v>51937547831</v>
      </c>
      <c r="D3107" s="5" t="s">
        <v>13</v>
      </c>
      <c r="E3107" s="5"/>
      <c r="F3107" s="5" t="s">
        <v>39</v>
      </c>
      <c r="G3107" s="5" t="s">
        <v>15</v>
      </c>
      <c r="H3107" s="5" t="s">
        <v>16</v>
      </c>
      <c r="I3107" s="6" t="s">
        <v>17</v>
      </c>
      <c r="J3107" s="7" t="s">
        <v>34</v>
      </c>
      <c r="K3107" s="7"/>
      <c r="L3107" s="8">
        <v>1.772831383435E12</v>
      </c>
      <c r="M3107" s="9"/>
      <c r="N3107" s="10"/>
      <c r="O3107" s="10"/>
      <c r="P3107" s="10"/>
      <c r="Q3107" s="10"/>
      <c r="R3107" s="10"/>
      <c r="S3107" s="10"/>
      <c r="T3107" s="10"/>
      <c r="U3107" s="10"/>
      <c r="V3107" s="10"/>
    </row>
    <row r="3108" ht="22.5" customHeight="1">
      <c r="A3108" s="5">
        <v>2.07615708199E11</v>
      </c>
      <c r="B3108" s="5" t="s">
        <v>2910</v>
      </c>
      <c r="C3108" s="5">
        <v>51904258281</v>
      </c>
      <c r="D3108" s="5" t="s">
        <v>38</v>
      </c>
      <c r="E3108" s="5">
        <v>8.7547393E7</v>
      </c>
      <c r="F3108" s="5" t="s">
        <v>39</v>
      </c>
      <c r="G3108" s="5" t="s">
        <v>44</v>
      </c>
      <c r="H3108" s="5" t="s">
        <v>24</v>
      </c>
      <c r="I3108" s="6" t="s">
        <v>49</v>
      </c>
      <c r="J3108" s="7" t="s">
        <v>18</v>
      </c>
      <c r="K3108" s="7" t="s">
        <v>19</v>
      </c>
      <c r="L3108" s="8">
        <v>1.772831447584E12</v>
      </c>
      <c r="M3108" s="9"/>
      <c r="N3108" s="10"/>
      <c r="O3108" s="10"/>
      <c r="P3108" s="10"/>
      <c r="Q3108" s="10"/>
      <c r="R3108" s="10"/>
      <c r="S3108" s="10"/>
      <c r="T3108" s="10"/>
      <c r="U3108" s="10"/>
      <c r="V3108" s="10"/>
    </row>
    <row r="3109" ht="22.5" customHeight="1">
      <c r="A3109" s="5">
        <v>2.07616499074E11</v>
      </c>
      <c r="B3109" s="5" t="s">
        <v>2911</v>
      </c>
      <c r="C3109" s="5">
        <v>51912724214</v>
      </c>
      <c r="D3109" s="5" t="s">
        <v>13</v>
      </c>
      <c r="E3109" s="5">
        <v>8.7547393E7</v>
      </c>
      <c r="F3109" s="5" t="s">
        <v>93</v>
      </c>
      <c r="G3109" s="5" t="s">
        <v>15</v>
      </c>
      <c r="H3109" s="5" t="s">
        <v>51</v>
      </c>
      <c r="I3109" s="6" t="s">
        <v>17</v>
      </c>
      <c r="J3109" s="7" t="s">
        <v>18</v>
      </c>
      <c r="K3109" s="7" t="s">
        <v>19</v>
      </c>
      <c r="L3109" s="8">
        <v>1.77283204795E12</v>
      </c>
      <c r="M3109" s="9"/>
      <c r="N3109" s="10"/>
      <c r="O3109" s="10"/>
      <c r="P3109" s="10"/>
      <c r="Q3109" s="10"/>
      <c r="R3109" s="10"/>
      <c r="S3109" s="10"/>
      <c r="T3109" s="10"/>
      <c r="U3109" s="10"/>
      <c r="V3109" s="10"/>
    </row>
    <row r="3110" ht="22.5" customHeight="1">
      <c r="A3110" s="5">
        <v>2.07606433976E11</v>
      </c>
      <c r="B3110" s="5" t="s">
        <v>2912</v>
      </c>
      <c r="C3110" s="5">
        <v>51902799994</v>
      </c>
      <c r="D3110" s="5" t="s">
        <v>13</v>
      </c>
      <c r="E3110" s="5">
        <v>8.7547393E7</v>
      </c>
      <c r="F3110" s="5" t="s">
        <v>93</v>
      </c>
      <c r="G3110" s="5" t="s">
        <v>15</v>
      </c>
      <c r="H3110" s="5" t="s">
        <v>69</v>
      </c>
      <c r="I3110" s="6" t="s">
        <v>49</v>
      </c>
      <c r="J3110" s="7" t="s">
        <v>34</v>
      </c>
      <c r="K3110" s="7"/>
      <c r="L3110" s="8">
        <v>1.772833228157E12</v>
      </c>
      <c r="M3110" s="9"/>
      <c r="N3110" s="10"/>
      <c r="O3110" s="10"/>
      <c r="P3110" s="10"/>
      <c r="Q3110" s="10"/>
      <c r="R3110" s="10"/>
      <c r="S3110" s="10"/>
      <c r="T3110" s="10"/>
      <c r="U3110" s="10"/>
      <c r="V3110" s="10"/>
    </row>
    <row r="3111" ht="22.5" customHeight="1">
      <c r="A3111" s="5">
        <v>2.07615708199E11</v>
      </c>
      <c r="B3111" s="5" t="s">
        <v>2910</v>
      </c>
      <c r="C3111" s="5">
        <v>51904258281</v>
      </c>
      <c r="D3111" s="5" t="s">
        <v>22</v>
      </c>
      <c r="E3111" s="5">
        <v>8.7547393E7</v>
      </c>
      <c r="F3111" s="5" t="s">
        <v>39</v>
      </c>
      <c r="G3111" s="5" t="s">
        <v>44</v>
      </c>
      <c r="H3111" s="5" t="s">
        <v>29</v>
      </c>
      <c r="I3111" s="6" t="s">
        <v>49</v>
      </c>
      <c r="J3111" s="7" t="s">
        <v>18</v>
      </c>
      <c r="K3111" s="7" t="s">
        <v>19</v>
      </c>
      <c r="L3111" s="8">
        <v>1.772833979424E12</v>
      </c>
      <c r="M3111" s="9"/>
      <c r="N3111" s="10"/>
      <c r="O3111" s="10"/>
      <c r="P3111" s="10"/>
      <c r="Q3111" s="10"/>
      <c r="R3111" s="10"/>
      <c r="S3111" s="10"/>
      <c r="T3111" s="10"/>
      <c r="U3111" s="10"/>
      <c r="V3111" s="10"/>
    </row>
    <row r="3112" ht="22.5" customHeight="1">
      <c r="A3112" s="5">
        <v>1.46071412254E11</v>
      </c>
      <c r="B3112" s="5" t="s">
        <v>2913</v>
      </c>
      <c r="C3112" s="5">
        <v>51949104918</v>
      </c>
      <c r="D3112" s="5" t="s">
        <v>13</v>
      </c>
      <c r="E3112" s="5">
        <v>8.7547393E7</v>
      </c>
      <c r="F3112" s="5" t="s">
        <v>259</v>
      </c>
      <c r="G3112" s="5" t="s">
        <v>15</v>
      </c>
      <c r="H3112" s="5" t="s">
        <v>33</v>
      </c>
      <c r="I3112" s="6" t="s">
        <v>17</v>
      </c>
      <c r="J3112" s="7" t="s">
        <v>34</v>
      </c>
      <c r="K3112" s="7"/>
      <c r="L3112" s="8">
        <v>1.772837075186E12</v>
      </c>
      <c r="M3112" s="9"/>
      <c r="N3112" s="10"/>
      <c r="O3112" s="10"/>
      <c r="P3112" s="10"/>
      <c r="Q3112" s="10"/>
      <c r="R3112" s="10"/>
      <c r="S3112" s="10"/>
      <c r="T3112" s="10"/>
      <c r="U3112" s="10"/>
      <c r="V3112" s="10"/>
    </row>
    <row r="3113" ht="22.5" customHeight="1">
      <c r="A3113" s="5">
        <v>2.07621621411E11</v>
      </c>
      <c r="B3113" s="5" t="s">
        <v>2914</v>
      </c>
      <c r="C3113" s="5">
        <v>5537996707522</v>
      </c>
      <c r="D3113" s="5" t="s">
        <v>13</v>
      </c>
      <c r="E3113" s="5">
        <v>7.9360573E7</v>
      </c>
      <c r="F3113" s="5" t="s">
        <v>510</v>
      </c>
      <c r="G3113" s="5" t="s">
        <v>44</v>
      </c>
      <c r="H3113" s="5" t="s">
        <v>74</v>
      </c>
      <c r="I3113" s="6" t="s">
        <v>17</v>
      </c>
      <c r="J3113" s="7" t="s">
        <v>34</v>
      </c>
      <c r="K3113" s="7"/>
      <c r="L3113" s="8">
        <v>1.772837538321E12</v>
      </c>
      <c r="M3113" s="9"/>
      <c r="N3113" s="10"/>
      <c r="O3113" s="10"/>
      <c r="P3113" s="10"/>
      <c r="Q3113" s="10"/>
      <c r="R3113" s="10"/>
      <c r="S3113" s="10"/>
      <c r="T3113" s="10"/>
      <c r="U3113" s="10"/>
      <c r="V3113" s="10"/>
    </row>
    <row r="3114" ht="22.5" customHeight="1">
      <c r="A3114" s="5">
        <v>2.07641728053E11</v>
      </c>
      <c r="B3114" s="5" t="s">
        <v>2915</v>
      </c>
      <c r="C3114" s="5">
        <v>51935755204</v>
      </c>
      <c r="D3114" s="5" t="s">
        <v>13</v>
      </c>
      <c r="E3114" s="5">
        <v>8.7547393E7</v>
      </c>
      <c r="F3114" s="5" t="s">
        <v>39</v>
      </c>
      <c r="G3114" s="5"/>
      <c r="H3114" s="5" t="s">
        <v>51</v>
      </c>
      <c r="I3114" s="6"/>
      <c r="J3114" s="7" t="s">
        <v>18</v>
      </c>
      <c r="K3114" s="7" t="s">
        <v>19</v>
      </c>
      <c r="L3114" s="8">
        <v>1.772839258789E12</v>
      </c>
      <c r="M3114" s="9"/>
      <c r="N3114" s="10"/>
      <c r="O3114" s="10"/>
      <c r="P3114" s="10"/>
      <c r="Q3114" s="10"/>
      <c r="R3114" s="10"/>
      <c r="S3114" s="10"/>
      <c r="T3114" s="10"/>
      <c r="U3114" s="10"/>
      <c r="V3114" s="10"/>
    </row>
    <row r="3115" ht="22.5" customHeight="1">
      <c r="A3115" s="5">
        <v>2.07641927527E11</v>
      </c>
      <c r="B3115" s="5" t="s">
        <v>2916</v>
      </c>
      <c r="C3115" s="5">
        <v>51976797503</v>
      </c>
      <c r="D3115" s="5" t="s">
        <v>22</v>
      </c>
      <c r="E3115" s="5">
        <v>8.0566583E7</v>
      </c>
      <c r="F3115" s="5" t="s">
        <v>39</v>
      </c>
      <c r="G3115" s="5" t="s">
        <v>44</v>
      </c>
      <c r="H3115" s="5" t="s">
        <v>16</v>
      </c>
      <c r="I3115" s="6" t="s">
        <v>17</v>
      </c>
      <c r="J3115" s="7" t="s">
        <v>18</v>
      </c>
      <c r="K3115" s="7" t="s">
        <v>19</v>
      </c>
      <c r="L3115" s="8">
        <v>1.772839570553E12</v>
      </c>
      <c r="M3115" s="9"/>
      <c r="N3115" s="10"/>
      <c r="O3115" s="10"/>
      <c r="P3115" s="10"/>
      <c r="Q3115" s="10"/>
      <c r="R3115" s="10"/>
      <c r="S3115" s="10"/>
      <c r="T3115" s="10"/>
      <c r="U3115" s="10"/>
      <c r="V3115" s="10"/>
    </row>
    <row r="3116" ht="22.5" customHeight="1">
      <c r="A3116" s="5">
        <v>2.07625185196E11</v>
      </c>
      <c r="B3116" s="5" t="s">
        <v>2917</v>
      </c>
      <c r="C3116" s="5">
        <v>51925662597</v>
      </c>
      <c r="D3116" s="5" t="s">
        <v>13</v>
      </c>
      <c r="E3116" s="5">
        <v>8.7547393E7</v>
      </c>
      <c r="F3116" s="5" t="s">
        <v>510</v>
      </c>
      <c r="G3116" s="5" t="s">
        <v>32</v>
      </c>
      <c r="H3116" s="5" t="s">
        <v>16</v>
      </c>
      <c r="I3116" s="6" t="s">
        <v>17</v>
      </c>
      <c r="J3116" s="7" t="s">
        <v>25</v>
      </c>
      <c r="K3116" s="7"/>
      <c r="L3116" s="8">
        <v>1.77284100792E12</v>
      </c>
      <c r="M3116" s="9"/>
      <c r="N3116" s="10"/>
      <c r="O3116" s="10"/>
      <c r="P3116" s="10"/>
      <c r="Q3116" s="10"/>
      <c r="R3116" s="10"/>
      <c r="S3116" s="10"/>
      <c r="T3116" s="10"/>
      <c r="U3116" s="10"/>
      <c r="V3116" s="10"/>
    </row>
    <row r="3117" ht="22.5" customHeight="1">
      <c r="A3117" s="5">
        <v>2.07624288687E11</v>
      </c>
      <c r="B3117" s="5" t="s">
        <v>2918</v>
      </c>
      <c r="C3117" s="5">
        <v>51957281842</v>
      </c>
      <c r="D3117" s="5" t="s">
        <v>13</v>
      </c>
      <c r="E3117" s="5">
        <v>8.7547393E7</v>
      </c>
      <c r="F3117" s="5" t="s">
        <v>39</v>
      </c>
      <c r="G3117" s="5" t="s">
        <v>15</v>
      </c>
      <c r="H3117" s="5" t="s">
        <v>51</v>
      </c>
      <c r="I3117" s="6" t="s">
        <v>17</v>
      </c>
      <c r="J3117" s="7" t="s">
        <v>18</v>
      </c>
      <c r="K3117" s="7" t="s">
        <v>19</v>
      </c>
      <c r="L3117" s="8">
        <v>1.772842858788E12</v>
      </c>
      <c r="M3117" s="9"/>
      <c r="N3117" s="10"/>
      <c r="O3117" s="10"/>
      <c r="P3117" s="10"/>
      <c r="Q3117" s="10"/>
      <c r="R3117" s="10"/>
      <c r="S3117" s="10"/>
      <c r="T3117" s="10"/>
      <c r="U3117" s="10"/>
      <c r="V3117" s="10"/>
    </row>
    <row r="3118" ht="22.5" customHeight="1">
      <c r="A3118" s="5">
        <v>2.07644042856E11</v>
      </c>
      <c r="B3118" s="5" t="s">
        <v>2919</v>
      </c>
      <c r="C3118" s="5">
        <v>51977641349</v>
      </c>
      <c r="D3118" s="5" t="s">
        <v>13</v>
      </c>
      <c r="E3118" s="5">
        <v>8.0566583E7</v>
      </c>
      <c r="F3118" s="5" t="s">
        <v>42</v>
      </c>
      <c r="G3118" s="5" t="s">
        <v>15</v>
      </c>
      <c r="H3118" s="5" t="s">
        <v>51</v>
      </c>
      <c r="I3118" s="6" t="s">
        <v>17</v>
      </c>
      <c r="J3118" s="7" t="s">
        <v>18</v>
      </c>
      <c r="K3118" s="7" t="s">
        <v>19</v>
      </c>
      <c r="L3118" s="8">
        <v>1.772843297168E12</v>
      </c>
      <c r="M3118" s="9"/>
      <c r="N3118" s="10"/>
      <c r="O3118" s="10"/>
      <c r="P3118" s="10"/>
      <c r="Q3118" s="10"/>
      <c r="R3118" s="10"/>
      <c r="S3118" s="10"/>
      <c r="T3118" s="10"/>
      <c r="U3118" s="10"/>
      <c r="V3118" s="10"/>
    </row>
    <row r="3119" ht="22.5" customHeight="1">
      <c r="A3119" s="5">
        <v>2.07637055252E11</v>
      </c>
      <c r="B3119" s="5" t="s">
        <v>2920</v>
      </c>
      <c r="C3119" s="5">
        <v>51974762842</v>
      </c>
      <c r="D3119" s="5" t="s">
        <v>13</v>
      </c>
      <c r="E3119" s="5">
        <v>8.7547393E7</v>
      </c>
      <c r="F3119" s="5" t="s">
        <v>65</v>
      </c>
      <c r="G3119" s="5" t="s">
        <v>32</v>
      </c>
      <c r="H3119" s="5" t="s">
        <v>66</v>
      </c>
      <c r="I3119" s="6" t="s">
        <v>36</v>
      </c>
      <c r="J3119" s="7" t="s">
        <v>34</v>
      </c>
      <c r="K3119" s="7"/>
      <c r="L3119" s="8">
        <v>1.772844219917E12</v>
      </c>
      <c r="M3119" s="9"/>
      <c r="N3119" s="10"/>
      <c r="O3119" s="10"/>
      <c r="P3119" s="10"/>
      <c r="Q3119" s="10"/>
      <c r="R3119" s="10"/>
      <c r="S3119" s="10"/>
      <c r="T3119" s="10"/>
      <c r="U3119" s="10"/>
      <c r="V3119" s="10"/>
    </row>
    <row r="3120" ht="22.5" customHeight="1">
      <c r="A3120" s="5">
        <v>2.0764109992E11</v>
      </c>
      <c r="B3120" s="5" t="s">
        <v>2921</v>
      </c>
      <c r="C3120" s="5">
        <v>51963046142</v>
      </c>
      <c r="D3120" s="5" t="s">
        <v>13</v>
      </c>
      <c r="E3120" s="5">
        <v>8.0566583E7</v>
      </c>
      <c r="F3120" s="5" t="s">
        <v>14</v>
      </c>
      <c r="G3120" s="5" t="s">
        <v>15</v>
      </c>
      <c r="H3120" s="5" t="s">
        <v>33</v>
      </c>
      <c r="I3120" s="6" t="s">
        <v>17</v>
      </c>
      <c r="J3120" s="7" t="s">
        <v>18</v>
      </c>
      <c r="K3120" s="7" t="s">
        <v>19</v>
      </c>
      <c r="L3120" s="8">
        <v>1.772844236185E12</v>
      </c>
      <c r="M3120" s="9"/>
      <c r="N3120" s="10"/>
      <c r="O3120" s="10"/>
      <c r="P3120" s="10"/>
      <c r="Q3120" s="10"/>
      <c r="R3120" s="10"/>
      <c r="S3120" s="10"/>
      <c r="T3120" s="10"/>
      <c r="U3120" s="10"/>
      <c r="V3120" s="10"/>
    </row>
    <row r="3121" ht="22.5" customHeight="1">
      <c r="A3121" s="5">
        <v>2.07647024478E11</v>
      </c>
      <c r="B3121" s="5" t="s">
        <v>2922</v>
      </c>
      <c r="C3121" s="5">
        <v>524774047986</v>
      </c>
      <c r="D3121" s="5" t="s">
        <v>13</v>
      </c>
      <c r="E3121" s="5">
        <v>8.0566583E7</v>
      </c>
      <c r="F3121" s="5" t="s">
        <v>28</v>
      </c>
      <c r="G3121" s="5" t="s">
        <v>32</v>
      </c>
      <c r="H3121" s="5" t="s">
        <v>24</v>
      </c>
      <c r="I3121" s="6" t="s">
        <v>49</v>
      </c>
      <c r="J3121" s="7" t="s">
        <v>177</v>
      </c>
      <c r="K3121" s="7" t="s">
        <v>36</v>
      </c>
      <c r="L3121" s="8">
        <v>1.772845395601E12</v>
      </c>
      <c r="M3121" s="9"/>
      <c r="N3121" s="10"/>
      <c r="O3121" s="10"/>
      <c r="P3121" s="10"/>
      <c r="Q3121" s="10"/>
      <c r="R3121" s="10"/>
      <c r="S3121" s="10"/>
      <c r="T3121" s="10"/>
      <c r="U3121" s="10"/>
      <c r="V3121" s="10"/>
    </row>
    <row r="3122" ht="22.5" customHeight="1">
      <c r="A3122" s="5">
        <v>2.06992157222E11</v>
      </c>
      <c r="B3122" s="5" t="s">
        <v>2923</v>
      </c>
      <c r="C3122" s="5">
        <v>51936674395</v>
      </c>
      <c r="D3122" s="5" t="s">
        <v>13</v>
      </c>
      <c r="E3122" s="5">
        <v>8.7547393E7</v>
      </c>
      <c r="F3122" s="5" t="s">
        <v>259</v>
      </c>
      <c r="G3122" s="5" t="s">
        <v>15</v>
      </c>
      <c r="H3122" s="5" t="s">
        <v>24</v>
      </c>
      <c r="I3122" s="6" t="s">
        <v>63</v>
      </c>
      <c r="J3122" s="7" t="s">
        <v>18</v>
      </c>
      <c r="K3122" s="7" t="s">
        <v>19</v>
      </c>
      <c r="L3122" s="8">
        <v>1.772846557672E12</v>
      </c>
      <c r="M3122" s="9"/>
      <c r="N3122" s="10"/>
      <c r="O3122" s="10"/>
      <c r="P3122" s="10"/>
      <c r="Q3122" s="10"/>
      <c r="R3122" s="10"/>
      <c r="S3122" s="10"/>
      <c r="T3122" s="10"/>
      <c r="U3122" s="10"/>
      <c r="V3122" s="10"/>
    </row>
    <row r="3123" ht="22.5" customHeight="1">
      <c r="A3123" s="5">
        <v>2.07628041533E11</v>
      </c>
      <c r="B3123" s="5" t="s">
        <v>2924</v>
      </c>
      <c r="C3123" s="5">
        <v>51967040406</v>
      </c>
      <c r="D3123" s="5" t="s">
        <v>13</v>
      </c>
      <c r="E3123" s="5">
        <v>8.0566583E7</v>
      </c>
      <c r="F3123" s="5" t="s">
        <v>39</v>
      </c>
      <c r="G3123" s="5" t="s">
        <v>15</v>
      </c>
      <c r="H3123" s="5" t="s">
        <v>51</v>
      </c>
      <c r="I3123" s="6" t="s">
        <v>17</v>
      </c>
      <c r="J3123" s="7" t="s">
        <v>18</v>
      </c>
      <c r="K3123" s="7" t="s">
        <v>19</v>
      </c>
      <c r="L3123" s="8">
        <v>1.772846747458E12</v>
      </c>
      <c r="M3123" s="9"/>
      <c r="N3123" s="10"/>
      <c r="O3123" s="10"/>
      <c r="P3123" s="10"/>
      <c r="Q3123" s="10"/>
      <c r="R3123" s="10"/>
      <c r="S3123" s="10"/>
      <c r="T3123" s="10"/>
      <c r="U3123" s="10"/>
      <c r="V3123" s="10"/>
    </row>
    <row r="3124" ht="22.5" customHeight="1">
      <c r="A3124" s="5">
        <v>2.0763017552E11</v>
      </c>
      <c r="B3124" s="5" t="s">
        <v>2925</v>
      </c>
      <c r="C3124" s="5">
        <v>5521995057568</v>
      </c>
      <c r="D3124" s="5" t="s">
        <v>13</v>
      </c>
      <c r="E3124" s="5">
        <v>7.9360573E7</v>
      </c>
      <c r="F3124" s="5" t="s">
        <v>39</v>
      </c>
      <c r="G3124" s="5" t="s">
        <v>32</v>
      </c>
      <c r="H3124" s="5" t="s">
        <v>16</v>
      </c>
      <c r="I3124" s="6" t="s">
        <v>148</v>
      </c>
      <c r="J3124" s="7" t="s">
        <v>34</v>
      </c>
      <c r="K3124" s="7"/>
      <c r="L3124" s="8">
        <v>1.772847638691E12</v>
      </c>
      <c r="M3124" s="9"/>
      <c r="N3124" s="10"/>
      <c r="O3124" s="10"/>
      <c r="P3124" s="10"/>
      <c r="Q3124" s="10"/>
      <c r="R3124" s="10"/>
      <c r="S3124" s="10"/>
      <c r="T3124" s="10"/>
      <c r="U3124" s="10"/>
      <c r="V3124" s="10"/>
    </row>
    <row r="3125" ht="22.5" customHeight="1">
      <c r="A3125" s="5">
        <v>2.07630365827E11</v>
      </c>
      <c r="B3125" s="5" t="s">
        <v>2926</v>
      </c>
      <c r="C3125" s="5">
        <v>51945022075</v>
      </c>
      <c r="D3125" s="5" t="s">
        <v>13</v>
      </c>
      <c r="E3125" s="5">
        <v>8.0566583E7</v>
      </c>
      <c r="F3125" s="5" t="s">
        <v>28</v>
      </c>
      <c r="G3125" s="5" t="s">
        <v>32</v>
      </c>
      <c r="H3125" s="5" t="s">
        <v>66</v>
      </c>
      <c r="I3125" s="6" t="s">
        <v>17</v>
      </c>
      <c r="J3125" s="7" t="s">
        <v>25</v>
      </c>
      <c r="K3125" s="7" t="s">
        <v>501</v>
      </c>
      <c r="L3125" s="8">
        <v>1.772848030342E12</v>
      </c>
      <c r="M3125" s="9"/>
      <c r="N3125" s="10"/>
      <c r="O3125" s="10"/>
      <c r="P3125" s="10"/>
      <c r="Q3125" s="10"/>
      <c r="R3125" s="10"/>
      <c r="S3125" s="10"/>
      <c r="T3125" s="10"/>
      <c r="U3125" s="10"/>
      <c r="V3125" s="10"/>
    </row>
    <row r="3126" ht="22.5" customHeight="1">
      <c r="A3126" s="5">
        <v>2.07650279318E11</v>
      </c>
      <c r="B3126" s="5" t="s">
        <v>2927</v>
      </c>
      <c r="C3126" s="5">
        <v>5531999208389</v>
      </c>
      <c r="D3126" s="5" t="s">
        <v>13</v>
      </c>
      <c r="E3126" s="5">
        <v>7.9360573E7</v>
      </c>
      <c r="F3126" s="5" t="s">
        <v>28</v>
      </c>
      <c r="G3126" s="5" t="s">
        <v>15</v>
      </c>
      <c r="H3126" s="5" t="s">
        <v>66</v>
      </c>
      <c r="I3126" s="6" t="s">
        <v>17</v>
      </c>
      <c r="J3126" s="7" t="s">
        <v>34</v>
      </c>
      <c r="K3126" s="7"/>
      <c r="L3126" s="8">
        <v>1.772849023716E12</v>
      </c>
      <c r="M3126" s="9"/>
      <c r="N3126" s="10"/>
      <c r="O3126" s="10"/>
      <c r="P3126" s="10"/>
      <c r="Q3126" s="10"/>
      <c r="R3126" s="10"/>
      <c r="S3126" s="10"/>
      <c r="T3126" s="10"/>
      <c r="U3126" s="10"/>
      <c r="V3126" s="10"/>
    </row>
    <row r="3127" ht="22.5" customHeight="1">
      <c r="A3127" s="5">
        <v>2.0763314768E11</v>
      </c>
      <c r="B3127" s="5" t="s">
        <v>2928</v>
      </c>
      <c r="C3127" s="5">
        <v>5571987219027</v>
      </c>
      <c r="D3127" s="5" t="s">
        <v>13</v>
      </c>
      <c r="E3127" s="5">
        <v>7.9360573E7</v>
      </c>
      <c r="F3127" s="5" t="s">
        <v>259</v>
      </c>
      <c r="G3127" s="5" t="s">
        <v>32</v>
      </c>
      <c r="H3127" s="5" t="s">
        <v>188</v>
      </c>
      <c r="I3127" s="6" t="s">
        <v>148</v>
      </c>
      <c r="J3127" s="7" t="s">
        <v>58</v>
      </c>
      <c r="K3127" s="11" t="s">
        <v>59</v>
      </c>
      <c r="L3127" s="8">
        <v>1.77284960802E12</v>
      </c>
      <c r="M3127" s="9"/>
      <c r="N3127" s="10"/>
      <c r="O3127" s="10"/>
      <c r="P3127" s="10"/>
      <c r="Q3127" s="10"/>
      <c r="R3127" s="10"/>
      <c r="S3127" s="10"/>
      <c r="T3127" s="10"/>
      <c r="U3127" s="10"/>
      <c r="V3127" s="10"/>
    </row>
    <row r="3128" ht="22.5" customHeight="1">
      <c r="A3128" s="5">
        <v>2.07632060445E11</v>
      </c>
      <c r="B3128" s="5" t="s">
        <v>2929</v>
      </c>
      <c r="C3128" s="5">
        <v>51978798378</v>
      </c>
      <c r="D3128" s="5" t="s">
        <v>13</v>
      </c>
      <c r="E3128" s="5">
        <v>8.0566583E7</v>
      </c>
      <c r="F3128" s="5" t="s">
        <v>14</v>
      </c>
      <c r="G3128" s="5" t="s">
        <v>15</v>
      </c>
      <c r="H3128" s="5" t="s">
        <v>51</v>
      </c>
      <c r="I3128" s="6" t="s">
        <v>17</v>
      </c>
      <c r="J3128" s="7" t="s">
        <v>18</v>
      </c>
      <c r="K3128" s="7" t="s">
        <v>2930</v>
      </c>
      <c r="L3128" s="8">
        <v>1.772850905099E12</v>
      </c>
      <c r="M3128" s="9"/>
      <c r="N3128" s="10"/>
      <c r="O3128" s="10"/>
      <c r="P3128" s="10"/>
      <c r="Q3128" s="10"/>
      <c r="R3128" s="10"/>
      <c r="S3128" s="10"/>
      <c r="T3128" s="10"/>
      <c r="U3128" s="10"/>
      <c r="V3128" s="10"/>
    </row>
    <row r="3129" ht="22.5" customHeight="1">
      <c r="A3129" s="5">
        <v>2.07647320986E11</v>
      </c>
      <c r="B3129" s="5" t="s">
        <v>2931</v>
      </c>
      <c r="C3129" s="5">
        <v>5519988111514</v>
      </c>
      <c r="D3129" s="5" t="s">
        <v>22</v>
      </c>
      <c r="E3129" s="5">
        <v>7.9360573E7</v>
      </c>
      <c r="F3129" s="5"/>
      <c r="G3129" s="5" t="s">
        <v>79</v>
      </c>
      <c r="H3129" s="5" t="s">
        <v>114</v>
      </c>
      <c r="I3129" s="6" t="s">
        <v>148</v>
      </c>
      <c r="J3129" s="7" t="s">
        <v>34</v>
      </c>
      <c r="K3129" s="7"/>
      <c r="L3129" s="8">
        <v>1.772851549927E12</v>
      </c>
      <c r="M3129" s="9"/>
      <c r="N3129" s="10"/>
      <c r="O3129" s="10"/>
      <c r="P3129" s="10"/>
      <c r="Q3129" s="10"/>
      <c r="R3129" s="10"/>
      <c r="S3129" s="10"/>
      <c r="T3129" s="10"/>
      <c r="U3129" s="10"/>
      <c r="V3129" s="10"/>
    </row>
    <row r="3130" ht="22.5" customHeight="1">
      <c r="A3130" s="5">
        <v>2.07634110378E11</v>
      </c>
      <c r="B3130" s="5" t="s">
        <v>2932</v>
      </c>
      <c r="C3130" s="5">
        <v>51927800912</v>
      </c>
      <c r="D3130" s="5" t="s">
        <v>13</v>
      </c>
      <c r="E3130" s="5">
        <v>8.0566583E7</v>
      </c>
      <c r="F3130" s="5" t="s">
        <v>28</v>
      </c>
      <c r="G3130" s="5" t="s">
        <v>15</v>
      </c>
      <c r="H3130" s="5" t="s">
        <v>51</v>
      </c>
      <c r="I3130" s="6" t="s">
        <v>63</v>
      </c>
      <c r="J3130" s="7" t="s">
        <v>18</v>
      </c>
      <c r="K3130" s="7" t="s">
        <v>19</v>
      </c>
      <c r="L3130" s="8">
        <v>1.772851823388E12</v>
      </c>
      <c r="M3130" s="9"/>
      <c r="N3130" s="10"/>
      <c r="O3130" s="10"/>
      <c r="P3130" s="10"/>
      <c r="Q3130" s="10"/>
      <c r="R3130" s="10"/>
      <c r="S3130" s="10"/>
      <c r="T3130" s="10"/>
      <c r="U3130" s="10"/>
      <c r="V3130" s="10"/>
    </row>
    <row r="3131" ht="22.5" customHeight="1">
      <c r="A3131" s="5">
        <v>2.0765318034E11</v>
      </c>
      <c r="B3131" s="5" t="s">
        <v>2933</v>
      </c>
      <c r="C3131" s="5">
        <v>5591993434500</v>
      </c>
      <c r="D3131" s="5" t="s">
        <v>38</v>
      </c>
      <c r="E3131" s="5">
        <v>7.9360573E7</v>
      </c>
      <c r="F3131" s="5"/>
      <c r="G3131" s="5" t="s">
        <v>32</v>
      </c>
      <c r="H3131" s="5" t="s">
        <v>114</v>
      </c>
      <c r="I3131" s="6" t="s">
        <v>17</v>
      </c>
      <c r="J3131" s="7" t="s">
        <v>34</v>
      </c>
      <c r="K3131" s="7"/>
      <c r="L3131" s="8">
        <v>1.772852742256E12</v>
      </c>
      <c r="M3131" s="9"/>
      <c r="N3131" s="10"/>
      <c r="O3131" s="10"/>
      <c r="P3131" s="10"/>
      <c r="Q3131" s="10"/>
      <c r="R3131" s="10"/>
      <c r="S3131" s="10"/>
      <c r="T3131" s="10"/>
      <c r="U3131" s="10"/>
      <c r="V3131" s="10"/>
    </row>
    <row r="3132" ht="22.5" customHeight="1">
      <c r="A3132" s="5">
        <v>2.07635542528E11</v>
      </c>
      <c r="B3132" s="5" t="s">
        <v>2934</v>
      </c>
      <c r="C3132" s="5">
        <v>51905801944</v>
      </c>
      <c r="D3132" s="5" t="s">
        <v>13</v>
      </c>
      <c r="E3132" s="5">
        <v>8.0566583E7</v>
      </c>
      <c r="F3132" s="5" t="s">
        <v>93</v>
      </c>
      <c r="G3132" s="5" t="s">
        <v>15</v>
      </c>
      <c r="H3132" s="5" t="s">
        <v>66</v>
      </c>
      <c r="I3132" s="6" t="s">
        <v>17</v>
      </c>
      <c r="J3132" s="7" t="s">
        <v>18</v>
      </c>
      <c r="K3132" s="7" t="s">
        <v>19</v>
      </c>
      <c r="L3132" s="8">
        <v>1.772852454624E12</v>
      </c>
      <c r="M3132" s="9"/>
      <c r="N3132" s="10"/>
      <c r="O3132" s="10"/>
      <c r="P3132" s="10"/>
      <c r="Q3132" s="10"/>
      <c r="R3132" s="10"/>
      <c r="S3132" s="10"/>
      <c r="T3132" s="10"/>
      <c r="U3132" s="10"/>
      <c r="V3132" s="10"/>
    </row>
    <row r="3133" ht="22.5" customHeight="1">
      <c r="A3133" s="5">
        <v>2.07654158209E11</v>
      </c>
      <c r="B3133" s="5" t="s">
        <v>2935</v>
      </c>
      <c r="C3133" s="5">
        <v>51924774554</v>
      </c>
      <c r="D3133" s="5" t="s">
        <v>13</v>
      </c>
      <c r="E3133" s="5">
        <v>8.0566583E7</v>
      </c>
      <c r="F3133" s="5" t="s">
        <v>259</v>
      </c>
      <c r="G3133" s="5" t="s">
        <v>15</v>
      </c>
      <c r="H3133" s="5" t="s">
        <v>24</v>
      </c>
      <c r="I3133" s="6" t="s">
        <v>17</v>
      </c>
      <c r="J3133" s="7" t="s">
        <v>18</v>
      </c>
      <c r="K3133" s="7" t="s">
        <v>19</v>
      </c>
      <c r="L3133" s="8">
        <v>1.772853045931E12</v>
      </c>
      <c r="M3133" s="9"/>
      <c r="N3133" s="10"/>
      <c r="O3133" s="10"/>
      <c r="P3133" s="10"/>
      <c r="Q3133" s="10"/>
      <c r="R3133" s="10"/>
      <c r="S3133" s="10"/>
      <c r="T3133" s="10"/>
      <c r="U3133" s="10"/>
      <c r="V3133" s="10"/>
    </row>
    <row r="3134" ht="22.5" customHeight="1">
      <c r="A3134" s="5">
        <v>5.6774379104E10</v>
      </c>
      <c r="B3134" s="5" t="s">
        <v>2936</v>
      </c>
      <c r="C3134" s="5">
        <v>51916683004</v>
      </c>
      <c r="D3134" s="5" t="s">
        <v>13</v>
      </c>
      <c r="E3134" s="5">
        <v>8.0566583E7</v>
      </c>
      <c r="F3134" s="5" t="s">
        <v>28</v>
      </c>
      <c r="G3134" s="5" t="s">
        <v>15</v>
      </c>
      <c r="H3134" s="5" t="s">
        <v>16</v>
      </c>
      <c r="I3134" s="6" t="s">
        <v>17</v>
      </c>
      <c r="J3134" s="7" t="s">
        <v>18</v>
      </c>
      <c r="K3134" s="7" t="s">
        <v>19</v>
      </c>
      <c r="L3134" s="8">
        <v>1.772853063171E12</v>
      </c>
      <c r="M3134" s="9"/>
      <c r="N3134" s="10"/>
      <c r="O3134" s="10"/>
      <c r="P3134" s="10"/>
      <c r="Q3134" s="10"/>
      <c r="R3134" s="10"/>
      <c r="S3134" s="10"/>
      <c r="T3134" s="10"/>
      <c r="U3134" s="10"/>
      <c r="V3134" s="10"/>
    </row>
    <row r="3135" ht="22.5" customHeight="1">
      <c r="A3135" s="5">
        <v>2.07654035473E11</v>
      </c>
      <c r="B3135" s="5" t="s">
        <v>2937</v>
      </c>
      <c r="C3135" s="5">
        <v>573105305151</v>
      </c>
      <c r="D3135" s="5" t="s">
        <v>13</v>
      </c>
      <c r="E3135" s="5">
        <v>8.7547393E7</v>
      </c>
      <c r="F3135" s="5" t="s">
        <v>39</v>
      </c>
      <c r="G3135" s="5" t="s">
        <v>15</v>
      </c>
      <c r="H3135" s="5" t="s">
        <v>100</v>
      </c>
      <c r="I3135" s="6" t="s">
        <v>63</v>
      </c>
      <c r="J3135" s="7" t="s">
        <v>34</v>
      </c>
      <c r="K3135" s="7"/>
      <c r="L3135" s="8">
        <v>1.772853380992E12</v>
      </c>
      <c r="M3135" s="9"/>
      <c r="N3135" s="10"/>
      <c r="O3135" s="10"/>
      <c r="P3135" s="10"/>
      <c r="Q3135" s="10"/>
      <c r="R3135" s="10"/>
      <c r="S3135" s="10"/>
      <c r="T3135" s="10"/>
      <c r="U3135" s="10"/>
      <c r="V3135" s="10"/>
    </row>
    <row r="3136" ht="22.5" customHeight="1">
      <c r="A3136" s="5">
        <v>2.07662549944E11</v>
      </c>
      <c r="B3136" s="5" t="s">
        <v>2938</v>
      </c>
      <c r="C3136" s="5">
        <v>51954807555</v>
      </c>
      <c r="D3136" s="5" t="s">
        <v>38</v>
      </c>
      <c r="E3136" s="5">
        <v>8.7547393E7</v>
      </c>
      <c r="F3136" s="5" t="s">
        <v>259</v>
      </c>
      <c r="G3136" s="5" t="s">
        <v>15</v>
      </c>
      <c r="H3136" s="5" t="s">
        <v>51</v>
      </c>
      <c r="I3136" s="6" t="s">
        <v>63</v>
      </c>
      <c r="J3136" s="7" t="s">
        <v>18</v>
      </c>
      <c r="K3136" s="7" t="s">
        <v>19</v>
      </c>
      <c r="L3136" s="8">
        <v>1.772854341292E12</v>
      </c>
      <c r="M3136" s="9"/>
      <c r="N3136" s="10"/>
      <c r="O3136" s="10"/>
      <c r="P3136" s="10"/>
      <c r="Q3136" s="10"/>
      <c r="R3136" s="10"/>
      <c r="S3136" s="10"/>
      <c r="T3136" s="10"/>
      <c r="U3136" s="10"/>
      <c r="V3136" s="10"/>
    </row>
    <row r="3137" ht="22.5" customHeight="1">
      <c r="A3137" s="5">
        <v>2.07656159375E11</v>
      </c>
      <c r="B3137" s="5" t="s">
        <v>2939</v>
      </c>
      <c r="C3137" s="5">
        <v>51945352008</v>
      </c>
      <c r="D3137" s="5" t="s">
        <v>13</v>
      </c>
      <c r="E3137" s="5">
        <v>8.0566583E7</v>
      </c>
      <c r="F3137" s="5" t="s">
        <v>28</v>
      </c>
      <c r="G3137" s="5" t="s">
        <v>15</v>
      </c>
      <c r="H3137" s="5" t="s">
        <v>51</v>
      </c>
      <c r="I3137" s="6"/>
      <c r="J3137" s="7" t="s">
        <v>18</v>
      </c>
      <c r="K3137" s="7" t="s">
        <v>19</v>
      </c>
      <c r="L3137" s="8">
        <v>1.77285518506E12</v>
      </c>
      <c r="M3137" s="9"/>
      <c r="N3137" s="10"/>
      <c r="O3137" s="10"/>
      <c r="P3137" s="10"/>
      <c r="Q3137" s="10"/>
      <c r="R3137" s="10"/>
      <c r="S3137" s="10"/>
      <c r="T3137" s="10"/>
      <c r="U3137" s="10"/>
      <c r="V3137" s="10"/>
    </row>
    <row r="3138" ht="22.5" customHeight="1">
      <c r="A3138" s="5">
        <v>2.07656013144E11</v>
      </c>
      <c r="B3138" s="5" t="s">
        <v>2940</v>
      </c>
      <c r="C3138" s="5">
        <v>51924763168</v>
      </c>
      <c r="D3138" s="5" t="s">
        <v>13</v>
      </c>
      <c r="E3138" s="5">
        <v>8.0566583E7</v>
      </c>
      <c r="F3138" s="5" t="s">
        <v>28</v>
      </c>
      <c r="G3138" s="5" t="s">
        <v>15</v>
      </c>
      <c r="H3138" s="5" t="s">
        <v>16</v>
      </c>
      <c r="I3138" s="6" t="s">
        <v>63</v>
      </c>
      <c r="J3138" s="7" t="s">
        <v>25</v>
      </c>
      <c r="K3138" s="7" t="s">
        <v>26</v>
      </c>
      <c r="L3138" s="8">
        <v>1.772855283869E12</v>
      </c>
      <c r="M3138" s="9"/>
      <c r="N3138" s="10"/>
      <c r="O3138" s="10"/>
      <c r="P3138" s="10"/>
      <c r="Q3138" s="10"/>
      <c r="R3138" s="10"/>
      <c r="S3138" s="10"/>
      <c r="T3138" s="10"/>
      <c r="U3138" s="10"/>
      <c r="V3138" s="10"/>
    </row>
    <row r="3139" ht="22.5" customHeight="1">
      <c r="A3139" s="5">
        <v>2.07657275543E11</v>
      </c>
      <c r="B3139" s="5" t="s">
        <v>2941</v>
      </c>
      <c r="C3139" s="5">
        <v>51907566882</v>
      </c>
      <c r="D3139" s="5" t="s">
        <v>13</v>
      </c>
      <c r="E3139" s="5">
        <v>8.7547393E7</v>
      </c>
      <c r="F3139" s="5" t="s">
        <v>39</v>
      </c>
      <c r="G3139" s="5" t="s">
        <v>15</v>
      </c>
      <c r="H3139" s="5" t="s">
        <v>16</v>
      </c>
      <c r="I3139" s="6" t="s">
        <v>17</v>
      </c>
      <c r="J3139" s="7" t="s">
        <v>18</v>
      </c>
      <c r="K3139" s="7" t="s">
        <v>19</v>
      </c>
      <c r="L3139" s="8">
        <v>1.772858601719E12</v>
      </c>
      <c r="M3139" s="9"/>
      <c r="N3139" s="10"/>
      <c r="O3139" s="10"/>
      <c r="P3139" s="10"/>
      <c r="Q3139" s="10"/>
      <c r="R3139" s="10"/>
      <c r="S3139" s="10"/>
      <c r="T3139" s="10"/>
      <c r="U3139" s="10"/>
      <c r="V3139" s="10"/>
    </row>
    <row r="3140" ht="22.5" customHeight="1">
      <c r="A3140" s="5">
        <v>2.07658464816E11</v>
      </c>
      <c r="B3140" s="5" t="s">
        <v>2942</v>
      </c>
      <c r="C3140" s="5">
        <v>51997398048</v>
      </c>
      <c r="D3140" s="5" t="s">
        <v>13</v>
      </c>
      <c r="E3140" s="5">
        <v>8.7547393E7</v>
      </c>
      <c r="F3140" s="5" t="s">
        <v>39</v>
      </c>
      <c r="G3140" s="5" t="s">
        <v>15</v>
      </c>
      <c r="H3140" s="5" t="s">
        <v>51</v>
      </c>
      <c r="I3140" s="6" t="s">
        <v>17</v>
      </c>
      <c r="J3140" s="7" t="s">
        <v>18</v>
      </c>
      <c r="K3140" s="7" t="s">
        <v>2930</v>
      </c>
      <c r="L3140" s="8">
        <v>1.7728594342E12</v>
      </c>
      <c r="M3140" s="9"/>
      <c r="N3140" s="10"/>
      <c r="O3140" s="10"/>
      <c r="P3140" s="10"/>
      <c r="Q3140" s="10"/>
      <c r="R3140" s="10"/>
      <c r="S3140" s="10"/>
      <c r="T3140" s="10"/>
      <c r="U3140" s="10"/>
      <c r="V3140" s="10"/>
    </row>
    <row r="3141" ht="22.5" customHeight="1">
      <c r="A3141" s="5">
        <v>2.0713995582E11</v>
      </c>
      <c r="B3141" s="5" t="s">
        <v>2943</v>
      </c>
      <c r="C3141" s="5">
        <v>51905903761</v>
      </c>
      <c r="D3141" s="5" t="s">
        <v>13</v>
      </c>
      <c r="E3141" s="5">
        <v>8.0566583E7</v>
      </c>
      <c r="F3141" s="5" t="s">
        <v>39</v>
      </c>
      <c r="G3141" s="5" t="s">
        <v>15</v>
      </c>
      <c r="H3141" s="5" t="s">
        <v>24</v>
      </c>
      <c r="I3141" s="6" t="s">
        <v>17</v>
      </c>
      <c r="J3141" s="7" t="s">
        <v>25</v>
      </c>
      <c r="K3141" s="7"/>
      <c r="L3141" s="8">
        <v>1.772864909937E12</v>
      </c>
      <c r="M3141" s="9"/>
      <c r="N3141" s="10"/>
      <c r="O3141" s="10"/>
      <c r="P3141" s="10"/>
      <c r="Q3141" s="10"/>
      <c r="R3141" s="10"/>
      <c r="S3141" s="10"/>
      <c r="T3141" s="10"/>
      <c r="U3141" s="10"/>
      <c r="V3141" s="10"/>
    </row>
    <row r="3142" ht="22.5" customHeight="1">
      <c r="A3142" s="5">
        <v>2.07674383666E11</v>
      </c>
      <c r="B3142" s="5" t="s">
        <v>2944</v>
      </c>
      <c r="C3142" s="5">
        <v>5521983144504</v>
      </c>
      <c r="D3142" s="5" t="s">
        <v>13</v>
      </c>
      <c r="E3142" s="5">
        <v>7.9360573E7</v>
      </c>
      <c r="F3142" s="5" t="s">
        <v>93</v>
      </c>
      <c r="G3142" s="5" t="s">
        <v>15</v>
      </c>
      <c r="H3142" s="5" t="s">
        <v>55</v>
      </c>
      <c r="I3142" s="6" t="s">
        <v>63</v>
      </c>
      <c r="J3142" s="7" t="s">
        <v>34</v>
      </c>
      <c r="K3142" s="7"/>
      <c r="L3142" s="8">
        <v>1.772872465713E12</v>
      </c>
      <c r="M3142" s="9"/>
      <c r="N3142" s="10"/>
      <c r="O3142" s="10"/>
      <c r="P3142" s="10"/>
      <c r="Q3142" s="10"/>
      <c r="R3142" s="10"/>
      <c r="S3142" s="10"/>
      <c r="T3142" s="10"/>
      <c r="U3142" s="10"/>
      <c r="V3142" s="10"/>
    </row>
    <row r="3143" ht="22.5" customHeight="1">
      <c r="A3143" s="5">
        <v>2.0767658538E11</v>
      </c>
      <c r="B3143" s="5" t="s">
        <v>2945</v>
      </c>
      <c r="C3143" s="5">
        <v>5527997410057</v>
      </c>
      <c r="D3143" s="5" t="s">
        <v>13</v>
      </c>
      <c r="E3143" s="5">
        <v>7.9360573E7</v>
      </c>
      <c r="F3143" s="5" t="s">
        <v>93</v>
      </c>
      <c r="G3143" s="5" t="s">
        <v>15</v>
      </c>
      <c r="H3143" s="5" t="s">
        <v>114</v>
      </c>
      <c r="I3143" s="6" t="s">
        <v>89</v>
      </c>
      <c r="J3143" s="7" t="s">
        <v>34</v>
      </c>
      <c r="K3143" s="7"/>
      <c r="L3143" s="8">
        <v>1.772874311072E12</v>
      </c>
      <c r="M3143" s="9"/>
      <c r="N3143" s="10"/>
      <c r="O3143" s="10"/>
      <c r="P3143" s="10"/>
      <c r="Q3143" s="10"/>
      <c r="R3143" s="10"/>
      <c r="S3143" s="10"/>
      <c r="T3143" s="10"/>
      <c r="U3143" s="10"/>
      <c r="V3143" s="10"/>
    </row>
    <row r="3144" ht="22.5" customHeight="1">
      <c r="A3144" s="5">
        <v>2.07679586459E11</v>
      </c>
      <c r="B3144" s="5" t="s">
        <v>2946</v>
      </c>
      <c r="C3144" s="5">
        <v>5511951608876</v>
      </c>
      <c r="D3144" s="5" t="s">
        <v>13</v>
      </c>
      <c r="E3144" s="5">
        <v>7.9360573E7</v>
      </c>
      <c r="F3144" s="5" t="s">
        <v>42</v>
      </c>
      <c r="G3144" s="5" t="s">
        <v>15</v>
      </c>
      <c r="H3144" s="5" t="s">
        <v>24</v>
      </c>
      <c r="I3144" s="6" t="s">
        <v>17</v>
      </c>
      <c r="J3144" s="7" t="s">
        <v>124</v>
      </c>
      <c r="K3144" s="7" t="s">
        <v>1256</v>
      </c>
      <c r="L3144" s="8">
        <v>1.772878675441E12</v>
      </c>
      <c r="M3144" s="9"/>
      <c r="N3144" s="10"/>
      <c r="O3144" s="10"/>
      <c r="P3144" s="10"/>
      <c r="Q3144" s="10"/>
      <c r="R3144" s="10"/>
      <c r="S3144" s="10"/>
      <c r="T3144" s="10"/>
      <c r="U3144" s="10"/>
      <c r="V3144" s="10"/>
    </row>
    <row r="3145" ht="22.5" customHeight="1">
      <c r="A3145" s="5">
        <v>2.07680849683E11</v>
      </c>
      <c r="B3145" s="5" t="s">
        <v>2947</v>
      </c>
      <c r="C3145" s="5">
        <v>51951000102</v>
      </c>
      <c r="D3145" s="5" t="s">
        <v>13</v>
      </c>
      <c r="E3145" s="5">
        <v>8.0566583E7</v>
      </c>
      <c r="F3145" s="5" t="s">
        <v>28</v>
      </c>
      <c r="G3145" s="5" t="s">
        <v>32</v>
      </c>
      <c r="H3145" s="5" t="s">
        <v>16</v>
      </c>
      <c r="I3145" s="6" t="s">
        <v>17</v>
      </c>
      <c r="J3145" s="7" t="s">
        <v>34</v>
      </c>
      <c r="K3145" s="7"/>
      <c r="L3145" s="8">
        <v>1.772879978662E12</v>
      </c>
      <c r="M3145" s="9"/>
      <c r="N3145" s="10"/>
      <c r="O3145" s="10"/>
      <c r="P3145" s="10"/>
      <c r="Q3145" s="10"/>
      <c r="R3145" s="10"/>
      <c r="S3145" s="10"/>
      <c r="T3145" s="10"/>
      <c r="U3145" s="10"/>
      <c r="V3145" s="10"/>
    </row>
    <row r="3146" ht="22.5" customHeight="1">
      <c r="A3146" s="5">
        <v>2.07697767455E11</v>
      </c>
      <c r="B3146" s="5" t="s">
        <v>2948</v>
      </c>
      <c r="C3146" s="5">
        <v>5575988006950</v>
      </c>
      <c r="D3146" s="5" t="s">
        <v>13</v>
      </c>
      <c r="E3146" s="5">
        <v>7.9360573E7</v>
      </c>
      <c r="F3146" s="5" t="s">
        <v>259</v>
      </c>
      <c r="G3146" s="5" t="s">
        <v>15</v>
      </c>
      <c r="H3146" s="5" t="s">
        <v>66</v>
      </c>
      <c r="I3146" s="6" t="s">
        <v>17</v>
      </c>
      <c r="J3146" s="7" t="s">
        <v>124</v>
      </c>
      <c r="K3146" s="7" t="s">
        <v>1256</v>
      </c>
      <c r="L3146" s="8">
        <v>1.772882587974E12</v>
      </c>
      <c r="M3146" s="9"/>
      <c r="N3146" s="10"/>
      <c r="O3146" s="10"/>
      <c r="P3146" s="10"/>
      <c r="Q3146" s="10"/>
      <c r="R3146" s="10"/>
      <c r="S3146" s="10"/>
      <c r="T3146" s="10"/>
      <c r="U3146" s="10"/>
      <c r="V3146" s="10"/>
    </row>
    <row r="3147" ht="22.5" customHeight="1">
      <c r="A3147" s="5">
        <v>2.07681932312E11</v>
      </c>
      <c r="B3147" s="5" t="s">
        <v>2949</v>
      </c>
      <c r="C3147" s="5">
        <v>5511994844338</v>
      </c>
      <c r="D3147" s="5" t="s">
        <v>22</v>
      </c>
      <c r="E3147" s="5">
        <v>7.9360573E7</v>
      </c>
      <c r="F3147" s="5" t="s">
        <v>93</v>
      </c>
      <c r="G3147" s="5" t="s">
        <v>32</v>
      </c>
      <c r="H3147" s="5" t="s">
        <v>112</v>
      </c>
      <c r="I3147" s="6" t="s">
        <v>17</v>
      </c>
      <c r="J3147" s="7" t="s">
        <v>403</v>
      </c>
      <c r="K3147" s="7">
        <v>236025.0</v>
      </c>
      <c r="L3147" s="8">
        <v>1.772882781447E12</v>
      </c>
      <c r="M3147" s="9"/>
      <c r="N3147" s="10"/>
      <c r="O3147" s="10"/>
      <c r="P3147" s="10"/>
      <c r="Q3147" s="10"/>
      <c r="R3147" s="10"/>
      <c r="S3147" s="10"/>
      <c r="T3147" s="10"/>
      <c r="U3147" s="10"/>
      <c r="V3147" s="10"/>
    </row>
    <row r="3148" ht="22.5" customHeight="1">
      <c r="A3148" s="5">
        <v>2.07698322024E11</v>
      </c>
      <c r="B3148" s="5" t="s">
        <v>2950</v>
      </c>
      <c r="C3148" s="5">
        <v>51931796762</v>
      </c>
      <c r="D3148" s="5" t="s">
        <v>13</v>
      </c>
      <c r="E3148" s="5">
        <v>8.0566583E7</v>
      </c>
      <c r="F3148" s="5" t="s">
        <v>93</v>
      </c>
      <c r="G3148" s="5" t="s">
        <v>15</v>
      </c>
      <c r="H3148" s="5" t="s">
        <v>807</v>
      </c>
      <c r="I3148" s="6" t="s">
        <v>63</v>
      </c>
      <c r="J3148" s="7" t="s">
        <v>18</v>
      </c>
      <c r="K3148" s="7" t="s">
        <v>19</v>
      </c>
      <c r="L3148" s="8">
        <v>1.772882810819E12</v>
      </c>
      <c r="M3148" s="9"/>
      <c r="N3148" s="10"/>
      <c r="O3148" s="10"/>
      <c r="P3148" s="10"/>
      <c r="Q3148" s="10"/>
      <c r="R3148" s="10"/>
      <c r="S3148" s="10"/>
      <c r="T3148" s="10"/>
      <c r="U3148" s="10"/>
      <c r="V3148" s="10"/>
    </row>
    <row r="3149" ht="22.5" customHeight="1">
      <c r="A3149" s="5">
        <v>2.07698406726E11</v>
      </c>
      <c r="B3149" s="5" t="s">
        <v>2951</v>
      </c>
      <c r="C3149" s="5">
        <v>51925679314</v>
      </c>
      <c r="D3149" s="5" t="s">
        <v>38</v>
      </c>
      <c r="E3149" s="5">
        <v>8.0566583E7</v>
      </c>
      <c r="F3149" s="5"/>
      <c r="G3149" s="5"/>
      <c r="H3149" s="5"/>
      <c r="I3149" s="6"/>
      <c r="J3149" s="7" t="s">
        <v>18</v>
      </c>
      <c r="K3149" s="7" t="s">
        <v>19</v>
      </c>
      <c r="L3149" s="8">
        <v>1.772884802406E12</v>
      </c>
      <c r="M3149" s="9"/>
      <c r="N3149" s="10"/>
      <c r="O3149" s="10"/>
      <c r="P3149" s="10"/>
      <c r="Q3149" s="10"/>
      <c r="R3149" s="10"/>
      <c r="S3149" s="10"/>
      <c r="T3149" s="10"/>
      <c r="U3149" s="10"/>
      <c r="V3149" s="10"/>
    </row>
    <row r="3150" ht="22.5" customHeight="1">
      <c r="A3150" s="5">
        <v>2.0769874872E11</v>
      </c>
      <c r="B3150" s="5" t="s">
        <v>2952</v>
      </c>
      <c r="C3150" s="5">
        <v>51910588470</v>
      </c>
      <c r="D3150" s="5" t="s">
        <v>13</v>
      </c>
      <c r="E3150" s="5">
        <v>8.0566583E7</v>
      </c>
      <c r="F3150" s="5" t="s">
        <v>14</v>
      </c>
      <c r="G3150" s="5" t="s">
        <v>32</v>
      </c>
      <c r="H3150" s="5" t="s">
        <v>66</v>
      </c>
      <c r="I3150" s="6" t="s">
        <v>17</v>
      </c>
      <c r="J3150" s="7" t="s">
        <v>18</v>
      </c>
      <c r="K3150" s="7" t="s">
        <v>116</v>
      </c>
      <c r="L3150" s="8">
        <v>1.772885686564E12</v>
      </c>
      <c r="M3150" s="9"/>
      <c r="N3150" s="10"/>
      <c r="O3150" s="10"/>
      <c r="P3150" s="10"/>
      <c r="Q3150" s="10"/>
      <c r="R3150" s="10"/>
      <c r="S3150" s="10"/>
      <c r="T3150" s="10"/>
      <c r="U3150" s="10"/>
      <c r="V3150" s="10"/>
    </row>
    <row r="3151" ht="22.5" customHeight="1">
      <c r="A3151" s="5">
        <v>2.0769947317E11</v>
      </c>
      <c r="B3151" s="5" t="s">
        <v>2953</v>
      </c>
      <c r="C3151" s="5">
        <v>51912601146</v>
      </c>
      <c r="D3151" s="5" t="s">
        <v>13</v>
      </c>
      <c r="E3151" s="5">
        <v>8.7547393E7</v>
      </c>
      <c r="F3151" s="5" t="s">
        <v>259</v>
      </c>
      <c r="G3151" s="5" t="s">
        <v>32</v>
      </c>
      <c r="H3151" s="5" t="s">
        <v>16</v>
      </c>
      <c r="I3151" s="6" t="s">
        <v>17</v>
      </c>
      <c r="J3151" s="7" t="s">
        <v>34</v>
      </c>
      <c r="K3151" s="7"/>
      <c r="L3151" s="8">
        <v>1.772885981222E12</v>
      </c>
      <c r="M3151" s="9"/>
      <c r="N3151" s="10"/>
      <c r="O3151" s="10"/>
      <c r="P3151" s="10"/>
      <c r="Q3151" s="10"/>
      <c r="R3151" s="10"/>
      <c r="S3151" s="10"/>
      <c r="T3151" s="10"/>
      <c r="U3151" s="10"/>
      <c r="V3151" s="10"/>
    </row>
    <row r="3152" ht="22.5" customHeight="1">
      <c r="A3152" s="5">
        <v>2.0769982926E11</v>
      </c>
      <c r="B3152" s="5" t="s">
        <v>2954</v>
      </c>
      <c r="C3152" s="5">
        <v>51963750330</v>
      </c>
      <c r="D3152" s="5" t="s">
        <v>13</v>
      </c>
      <c r="E3152" s="5">
        <v>8.0566583E7</v>
      </c>
      <c r="F3152" s="5" t="s">
        <v>14</v>
      </c>
      <c r="G3152" s="5" t="s">
        <v>15</v>
      </c>
      <c r="H3152" s="5" t="s">
        <v>69</v>
      </c>
      <c r="I3152" s="6" t="s">
        <v>17</v>
      </c>
      <c r="J3152" s="7" t="s">
        <v>18</v>
      </c>
      <c r="K3152" s="7" t="s">
        <v>19</v>
      </c>
      <c r="L3152" s="8">
        <v>1.772886323236E12</v>
      </c>
      <c r="M3152" s="9"/>
      <c r="N3152" s="10"/>
      <c r="O3152" s="10"/>
      <c r="P3152" s="10"/>
      <c r="Q3152" s="10"/>
      <c r="R3152" s="10"/>
      <c r="S3152" s="10"/>
      <c r="T3152" s="10"/>
      <c r="U3152" s="10"/>
      <c r="V3152" s="10"/>
    </row>
    <row r="3153" ht="22.5" customHeight="1">
      <c r="A3153" s="5">
        <v>2.07700910425E11</v>
      </c>
      <c r="B3153" s="5" t="s">
        <v>2955</v>
      </c>
      <c r="C3153" s="5">
        <v>51912180025</v>
      </c>
      <c r="D3153" s="5" t="s">
        <v>13</v>
      </c>
      <c r="E3153" s="5">
        <v>8.0566583E7</v>
      </c>
      <c r="F3153" s="5" t="s">
        <v>259</v>
      </c>
      <c r="G3153" s="5" t="s">
        <v>15</v>
      </c>
      <c r="H3153" s="5" t="s">
        <v>51</v>
      </c>
      <c r="I3153" s="6" t="s">
        <v>36</v>
      </c>
      <c r="J3153" s="7" t="s">
        <v>18</v>
      </c>
      <c r="K3153" s="7" t="s">
        <v>19</v>
      </c>
      <c r="L3153" s="8">
        <v>1.772886806151E12</v>
      </c>
      <c r="M3153" s="9"/>
      <c r="N3153" s="10"/>
      <c r="O3153" s="10"/>
      <c r="P3153" s="10"/>
      <c r="Q3153" s="10"/>
      <c r="R3153" s="10"/>
      <c r="S3153" s="10"/>
      <c r="T3153" s="10"/>
      <c r="U3153" s="10"/>
      <c r="V3153" s="10"/>
    </row>
    <row r="3154" ht="22.5" customHeight="1">
      <c r="A3154" s="5">
        <v>2.07706748505E11</v>
      </c>
      <c r="B3154" s="5" t="s">
        <v>2956</v>
      </c>
      <c r="C3154" s="5">
        <v>51944452514</v>
      </c>
      <c r="D3154" s="5" t="s">
        <v>103</v>
      </c>
      <c r="E3154" s="5">
        <v>8.0566583E7</v>
      </c>
      <c r="F3154" s="5" t="s">
        <v>42</v>
      </c>
      <c r="G3154" s="5" t="s">
        <v>79</v>
      </c>
      <c r="H3154" s="5" t="s">
        <v>69</v>
      </c>
      <c r="I3154" s="6" t="s">
        <v>148</v>
      </c>
      <c r="J3154" s="7" t="s">
        <v>18</v>
      </c>
      <c r="K3154" s="7" t="s">
        <v>19</v>
      </c>
      <c r="L3154" s="8">
        <v>1.772886886205E12</v>
      </c>
      <c r="M3154" s="9"/>
      <c r="N3154" s="10"/>
      <c r="O3154" s="10"/>
      <c r="P3154" s="10"/>
      <c r="Q3154" s="10"/>
      <c r="R3154" s="10"/>
      <c r="S3154" s="10"/>
      <c r="T3154" s="10"/>
      <c r="U3154" s="10"/>
      <c r="V3154" s="10"/>
    </row>
    <row r="3155" ht="22.5" customHeight="1">
      <c r="A3155" s="5">
        <v>2.07701553047E11</v>
      </c>
      <c r="B3155" s="5" t="s">
        <v>2957</v>
      </c>
      <c r="C3155" s="5">
        <v>51946391914</v>
      </c>
      <c r="D3155" s="5" t="s">
        <v>103</v>
      </c>
      <c r="E3155" s="5">
        <v>8.0566583E7</v>
      </c>
      <c r="F3155" s="5" t="s">
        <v>259</v>
      </c>
      <c r="G3155" s="5" t="s">
        <v>79</v>
      </c>
      <c r="H3155" s="5" t="s">
        <v>66</v>
      </c>
      <c r="I3155" s="6" t="s">
        <v>17</v>
      </c>
      <c r="J3155" s="7" t="s">
        <v>18</v>
      </c>
      <c r="K3155" s="7" t="s">
        <v>19</v>
      </c>
      <c r="L3155" s="8">
        <v>1.772887419761E12</v>
      </c>
      <c r="M3155" s="9"/>
      <c r="N3155" s="10"/>
      <c r="O3155" s="10"/>
      <c r="P3155" s="10"/>
      <c r="Q3155" s="10"/>
      <c r="R3155" s="10"/>
      <c r="S3155" s="10"/>
      <c r="T3155" s="10"/>
      <c r="U3155" s="10"/>
      <c r="V3155" s="10"/>
    </row>
    <row r="3156" ht="22.5" customHeight="1">
      <c r="A3156" s="5">
        <v>2.07706321169E11</v>
      </c>
      <c r="B3156" s="5" t="s">
        <v>2958</v>
      </c>
      <c r="C3156" s="5">
        <v>51918438565</v>
      </c>
      <c r="D3156" s="5" t="s">
        <v>13</v>
      </c>
      <c r="E3156" s="5">
        <v>8.0566583E7</v>
      </c>
      <c r="F3156" s="5" t="s">
        <v>510</v>
      </c>
      <c r="G3156" s="5" t="s">
        <v>15</v>
      </c>
      <c r="H3156" s="5" t="s">
        <v>239</v>
      </c>
      <c r="I3156" s="6" t="s">
        <v>17</v>
      </c>
      <c r="J3156" s="7" t="s">
        <v>18</v>
      </c>
      <c r="K3156" s="7" t="s">
        <v>19</v>
      </c>
      <c r="L3156" s="8">
        <v>1.772887510615E12</v>
      </c>
      <c r="M3156" s="9"/>
      <c r="N3156" s="10"/>
      <c r="O3156" s="10"/>
      <c r="P3156" s="10"/>
      <c r="Q3156" s="10"/>
      <c r="R3156" s="10"/>
      <c r="S3156" s="10"/>
      <c r="T3156" s="10"/>
      <c r="U3156" s="10"/>
      <c r="V3156" s="10"/>
    </row>
    <row r="3157" ht="22.5" customHeight="1">
      <c r="A3157" s="5">
        <v>2.07706909791E11</v>
      </c>
      <c r="B3157" s="5" t="s">
        <v>2959</v>
      </c>
      <c r="C3157" s="5">
        <v>5545998055761</v>
      </c>
      <c r="D3157" s="5" t="s">
        <v>22</v>
      </c>
      <c r="E3157" s="5">
        <v>7.9360573E7</v>
      </c>
      <c r="F3157" s="5" t="s">
        <v>42</v>
      </c>
      <c r="G3157" s="5" t="s">
        <v>32</v>
      </c>
      <c r="H3157" s="5" t="s">
        <v>114</v>
      </c>
      <c r="I3157" s="6" t="s">
        <v>17</v>
      </c>
      <c r="J3157" s="7" t="s">
        <v>34</v>
      </c>
      <c r="K3157" s="7"/>
      <c r="L3157" s="8">
        <v>1.772887926272E12</v>
      </c>
      <c r="M3157" s="9"/>
      <c r="N3157" s="10"/>
      <c r="O3157" s="10"/>
      <c r="P3157" s="10"/>
      <c r="Q3157" s="10"/>
      <c r="R3157" s="10"/>
      <c r="S3157" s="10"/>
      <c r="T3157" s="10"/>
      <c r="U3157" s="10"/>
      <c r="V3157" s="10"/>
    </row>
    <row r="3158" ht="22.5" customHeight="1">
      <c r="A3158" s="5">
        <v>2.07701465144E11</v>
      </c>
      <c r="B3158" s="5" t="s">
        <v>2960</v>
      </c>
      <c r="C3158" s="5">
        <v>5537999707606</v>
      </c>
      <c r="D3158" s="5" t="s">
        <v>13</v>
      </c>
      <c r="E3158" s="5">
        <v>7.9360573E7</v>
      </c>
      <c r="F3158" s="5" t="s">
        <v>259</v>
      </c>
      <c r="G3158" s="5" t="s">
        <v>15</v>
      </c>
      <c r="H3158" s="5" t="s">
        <v>66</v>
      </c>
      <c r="I3158" s="6" t="s">
        <v>17</v>
      </c>
      <c r="J3158" s="7" t="s">
        <v>124</v>
      </c>
      <c r="K3158" s="7" t="s">
        <v>1256</v>
      </c>
      <c r="L3158" s="8">
        <v>1.772888077125E12</v>
      </c>
      <c r="M3158" s="9"/>
      <c r="N3158" s="10"/>
      <c r="O3158" s="10"/>
      <c r="P3158" s="10"/>
      <c r="Q3158" s="10"/>
      <c r="R3158" s="10"/>
      <c r="S3158" s="10"/>
      <c r="T3158" s="10"/>
      <c r="U3158" s="10"/>
      <c r="V3158" s="10"/>
    </row>
    <row r="3159" ht="22.5" customHeight="1">
      <c r="A3159" s="5">
        <v>2.07701694807E11</v>
      </c>
      <c r="B3159" s="5" t="s">
        <v>2961</v>
      </c>
      <c r="C3159" s="5">
        <v>51946201987</v>
      </c>
      <c r="D3159" s="5" t="s">
        <v>13</v>
      </c>
      <c r="E3159" s="5">
        <v>8.7547393E7</v>
      </c>
      <c r="F3159" s="5" t="s">
        <v>65</v>
      </c>
      <c r="G3159" s="5" t="s">
        <v>15</v>
      </c>
      <c r="H3159" s="5" t="s">
        <v>24</v>
      </c>
      <c r="I3159" s="6" t="s">
        <v>17</v>
      </c>
      <c r="J3159" s="7" t="s">
        <v>18</v>
      </c>
      <c r="K3159" s="7" t="s">
        <v>19</v>
      </c>
      <c r="L3159" s="8">
        <v>1.772888166043E12</v>
      </c>
      <c r="M3159" s="9"/>
      <c r="N3159" s="10"/>
      <c r="O3159" s="10"/>
      <c r="P3159" s="10"/>
      <c r="Q3159" s="10"/>
      <c r="R3159" s="10"/>
      <c r="S3159" s="10"/>
      <c r="T3159" s="10"/>
      <c r="U3159" s="10"/>
      <c r="V3159" s="10"/>
    </row>
    <row r="3160" ht="22.5" customHeight="1">
      <c r="A3160" s="5">
        <v>2.07702330989E11</v>
      </c>
      <c r="B3160" s="5" t="s">
        <v>2962</v>
      </c>
      <c r="C3160" s="5">
        <v>51991160116</v>
      </c>
      <c r="D3160" s="5" t="s">
        <v>13</v>
      </c>
      <c r="E3160" s="5">
        <v>8.7547393E7</v>
      </c>
      <c r="F3160" s="5" t="s">
        <v>510</v>
      </c>
      <c r="G3160" s="5">
        <v>50</v>
      </c>
      <c r="H3160" s="5" t="s">
        <v>16</v>
      </c>
      <c r="I3160" s="6" t="s">
        <v>17</v>
      </c>
      <c r="J3160" s="7" t="s">
        <v>18</v>
      </c>
      <c r="K3160" s="7" t="s">
        <v>19</v>
      </c>
      <c r="L3160" s="8">
        <v>1.772888399717E12</v>
      </c>
      <c r="M3160" s="9"/>
      <c r="N3160" s="10"/>
      <c r="O3160" s="10"/>
      <c r="P3160" s="10"/>
      <c r="Q3160" s="10"/>
      <c r="R3160" s="10"/>
      <c r="S3160" s="10"/>
      <c r="T3160" s="10"/>
      <c r="U3160" s="10"/>
      <c r="V3160" s="10"/>
    </row>
    <row r="3161" ht="22.5" customHeight="1">
      <c r="A3161" s="5">
        <v>2.07702334494E11</v>
      </c>
      <c r="B3161" s="5" t="s">
        <v>2963</v>
      </c>
      <c r="C3161" s="5">
        <v>51982844599</v>
      </c>
      <c r="D3161" s="5" t="s">
        <v>38</v>
      </c>
      <c r="E3161" s="5"/>
      <c r="F3161" s="5" t="s">
        <v>259</v>
      </c>
      <c r="G3161" s="5" t="s">
        <v>79</v>
      </c>
      <c r="H3161" s="5" t="s">
        <v>24</v>
      </c>
      <c r="I3161" s="6" t="s">
        <v>49</v>
      </c>
      <c r="J3161" s="7" t="s">
        <v>18</v>
      </c>
      <c r="K3161" s="7" t="s">
        <v>19</v>
      </c>
      <c r="L3161" s="8">
        <v>1.772888592896E12</v>
      </c>
      <c r="M3161" s="9"/>
      <c r="N3161" s="10"/>
      <c r="O3161" s="10"/>
      <c r="P3161" s="10"/>
      <c r="Q3161" s="10"/>
      <c r="R3161" s="10"/>
      <c r="S3161" s="10"/>
      <c r="T3161" s="10"/>
      <c r="U3161" s="10"/>
      <c r="V3161" s="10"/>
    </row>
    <row r="3162" ht="22.5" customHeight="1">
      <c r="A3162" s="5">
        <v>2.07707915614E11</v>
      </c>
      <c r="B3162" s="5" t="s">
        <v>2964</v>
      </c>
      <c r="C3162" s="5">
        <v>51991536323</v>
      </c>
      <c r="D3162" s="5" t="s">
        <v>22</v>
      </c>
      <c r="E3162" s="5">
        <v>8.0566583E7</v>
      </c>
      <c r="F3162" s="5" t="s">
        <v>28</v>
      </c>
      <c r="G3162" s="5" t="s">
        <v>44</v>
      </c>
      <c r="H3162" s="5" t="s">
        <v>24</v>
      </c>
      <c r="I3162" s="6" t="s">
        <v>17</v>
      </c>
      <c r="J3162" s="7" t="s">
        <v>18</v>
      </c>
      <c r="K3162" s="7" t="s">
        <v>19</v>
      </c>
      <c r="L3162" s="8">
        <v>1.772888630306E12</v>
      </c>
      <c r="M3162" s="9"/>
      <c r="N3162" s="10"/>
      <c r="O3162" s="10"/>
      <c r="P3162" s="10"/>
      <c r="Q3162" s="10"/>
      <c r="R3162" s="10"/>
      <c r="S3162" s="10"/>
      <c r="T3162" s="10"/>
      <c r="U3162" s="10"/>
      <c r="V3162" s="10"/>
    </row>
    <row r="3163" ht="22.5" customHeight="1">
      <c r="A3163" s="5">
        <v>2.07706207388E11</v>
      </c>
      <c r="B3163" s="5" t="s">
        <v>2965</v>
      </c>
      <c r="C3163" s="5">
        <v>51993093478</v>
      </c>
      <c r="D3163" s="5" t="s">
        <v>13</v>
      </c>
      <c r="E3163" s="5">
        <v>8.0566583E7</v>
      </c>
      <c r="F3163" s="5" t="s">
        <v>510</v>
      </c>
      <c r="G3163" s="5" t="s">
        <v>15</v>
      </c>
      <c r="H3163" s="5" t="s">
        <v>66</v>
      </c>
      <c r="I3163" s="6" t="s">
        <v>17</v>
      </c>
      <c r="J3163" s="7" t="s">
        <v>34</v>
      </c>
      <c r="K3163" s="7"/>
      <c r="L3163" s="8">
        <v>1.772889927414E12</v>
      </c>
      <c r="M3163" s="9"/>
      <c r="N3163" s="10"/>
      <c r="O3163" s="10"/>
      <c r="P3163" s="10"/>
      <c r="Q3163" s="10"/>
      <c r="R3163" s="10"/>
      <c r="S3163" s="10"/>
      <c r="T3163" s="10"/>
      <c r="U3163" s="10"/>
      <c r="V3163" s="10"/>
    </row>
    <row r="3164" ht="22.5" customHeight="1">
      <c r="A3164" s="5">
        <v>2.07704600602E11</v>
      </c>
      <c r="B3164" s="5" t="s">
        <v>2966</v>
      </c>
      <c r="C3164" s="5">
        <v>51944606387</v>
      </c>
      <c r="D3164" s="5" t="s">
        <v>13</v>
      </c>
      <c r="E3164" s="5">
        <v>8.7547393E7</v>
      </c>
      <c r="F3164" s="5" t="s">
        <v>65</v>
      </c>
      <c r="G3164" s="5" t="s">
        <v>15</v>
      </c>
      <c r="H3164" s="5" t="s">
        <v>165</v>
      </c>
      <c r="I3164" s="6" t="s">
        <v>17</v>
      </c>
      <c r="J3164" s="7" t="s">
        <v>18</v>
      </c>
      <c r="K3164" s="7" t="s">
        <v>19</v>
      </c>
      <c r="L3164" s="8">
        <v>1.772890141662E12</v>
      </c>
      <c r="M3164" s="9"/>
      <c r="N3164" s="10"/>
      <c r="O3164" s="10"/>
      <c r="P3164" s="10"/>
      <c r="Q3164" s="10"/>
      <c r="R3164" s="10"/>
      <c r="S3164" s="10"/>
      <c r="T3164" s="10"/>
      <c r="U3164" s="10"/>
      <c r="V3164" s="10"/>
    </row>
    <row r="3165" ht="22.5" customHeight="1">
      <c r="A3165" s="5">
        <v>2.07706918418E11</v>
      </c>
      <c r="B3165" s="5" t="s">
        <v>2967</v>
      </c>
      <c r="C3165" s="5">
        <v>51981551442</v>
      </c>
      <c r="D3165" s="5" t="s">
        <v>13</v>
      </c>
      <c r="E3165" s="5">
        <v>8.7547393E7</v>
      </c>
      <c r="F3165" s="5" t="s">
        <v>39</v>
      </c>
      <c r="G3165" s="5" t="s">
        <v>15</v>
      </c>
      <c r="H3165" s="5" t="s">
        <v>29</v>
      </c>
      <c r="I3165" s="6" t="s">
        <v>89</v>
      </c>
      <c r="J3165" s="7" t="s">
        <v>18</v>
      </c>
      <c r="K3165" s="7" t="s">
        <v>19</v>
      </c>
      <c r="L3165" s="8">
        <v>1.772890158582E12</v>
      </c>
      <c r="M3165" s="9"/>
      <c r="N3165" s="10"/>
      <c r="O3165" s="10"/>
      <c r="P3165" s="10"/>
      <c r="Q3165" s="10"/>
      <c r="R3165" s="10"/>
      <c r="S3165" s="10"/>
      <c r="T3165" s="10"/>
      <c r="U3165" s="10"/>
      <c r="V3165" s="10"/>
    </row>
    <row r="3166" ht="22.5" customHeight="1">
      <c r="A3166" s="5">
        <v>2.07708918878E11</v>
      </c>
      <c r="B3166" s="5" t="s">
        <v>2968</v>
      </c>
      <c r="C3166" s="5">
        <v>51984261766</v>
      </c>
      <c r="D3166" s="5" t="s">
        <v>38</v>
      </c>
      <c r="E3166" s="5">
        <v>8.0566583E7</v>
      </c>
      <c r="F3166" s="5"/>
      <c r="G3166" s="5"/>
      <c r="H3166" s="5"/>
      <c r="I3166" s="6"/>
      <c r="J3166" s="7" t="s">
        <v>18</v>
      </c>
      <c r="K3166" s="7" t="s">
        <v>19</v>
      </c>
      <c r="L3166" s="8">
        <v>1.772890195918E12</v>
      </c>
      <c r="M3166" s="9"/>
      <c r="N3166" s="10"/>
      <c r="O3166" s="10"/>
      <c r="P3166" s="10"/>
      <c r="Q3166" s="10"/>
      <c r="R3166" s="10"/>
      <c r="S3166" s="10"/>
      <c r="T3166" s="10"/>
      <c r="U3166" s="10"/>
      <c r="V3166" s="10"/>
    </row>
    <row r="3167" ht="22.5" customHeight="1">
      <c r="A3167" s="5">
        <v>2.07710375235E11</v>
      </c>
      <c r="B3167" s="5" t="s">
        <v>2969</v>
      </c>
      <c r="C3167" s="5">
        <v>5545984010939</v>
      </c>
      <c r="D3167" s="5" t="s">
        <v>13</v>
      </c>
      <c r="E3167" s="5">
        <v>7.9360573E7</v>
      </c>
      <c r="F3167" s="5" t="s">
        <v>259</v>
      </c>
      <c r="G3167" s="5" t="s">
        <v>15</v>
      </c>
      <c r="H3167" s="5" t="s">
        <v>128</v>
      </c>
      <c r="I3167" s="6" t="s">
        <v>148</v>
      </c>
      <c r="J3167" s="7" t="s">
        <v>124</v>
      </c>
      <c r="K3167" s="7" t="s">
        <v>1256</v>
      </c>
      <c r="L3167" s="8">
        <v>1.772892601474E12</v>
      </c>
      <c r="M3167" s="9"/>
      <c r="N3167" s="10"/>
      <c r="O3167" s="10"/>
      <c r="P3167" s="10"/>
      <c r="Q3167" s="10"/>
      <c r="R3167" s="10"/>
      <c r="S3167" s="10"/>
      <c r="T3167" s="10"/>
      <c r="U3167" s="10"/>
      <c r="V3167" s="10"/>
    </row>
    <row r="3168" ht="22.5" customHeight="1">
      <c r="A3168" s="5">
        <v>2.07712430169E11</v>
      </c>
      <c r="B3168" s="5" t="s">
        <v>2970</v>
      </c>
      <c r="C3168" s="5">
        <v>51938775254</v>
      </c>
      <c r="D3168" s="5" t="s">
        <v>13</v>
      </c>
      <c r="E3168" s="5">
        <v>8.0566583E7</v>
      </c>
      <c r="F3168" s="5" t="s">
        <v>93</v>
      </c>
      <c r="G3168" s="5" t="s">
        <v>15</v>
      </c>
      <c r="H3168" s="5" t="s">
        <v>88</v>
      </c>
      <c r="I3168" s="6" t="s">
        <v>17</v>
      </c>
      <c r="J3168" s="7" t="s">
        <v>18</v>
      </c>
      <c r="K3168" s="7" t="s">
        <v>19</v>
      </c>
      <c r="L3168" s="8">
        <v>1.772893146982E12</v>
      </c>
      <c r="M3168" s="9"/>
      <c r="N3168" s="10"/>
      <c r="O3168" s="10"/>
      <c r="P3168" s="10"/>
      <c r="Q3168" s="10"/>
      <c r="R3168" s="10"/>
      <c r="S3168" s="10"/>
      <c r="T3168" s="10"/>
      <c r="U3168" s="10"/>
      <c r="V3168" s="10"/>
    </row>
    <row r="3169" ht="22.5" customHeight="1">
      <c r="A3169" s="5">
        <v>2.077125518E11</v>
      </c>
      <c r="B3169" s="5" t="s">
        <v>2971</v>
      </c>
      <c r="C3169" s="5">
        <v>51927195924</v>
      </c>
      <c r="D3169" s="5" t="s">
        <v>13</v>
      </c>
      <c r="E3169" s="5">
        <v>8.7547393E7</v>
      </c>
      <c r="F3169" s="5" t="s">
        <v>82</v>
      </c>
      <c r="G3169" s="5" t="s">
        <v>32</v>
      </c>
      <c r="H3169" s="5" t="s">
        <v>51</v>
      </c>
      <c r="I3169" s="6" t="s">
        <v>17</v>
      </c>
      <c r="J3169" s="7" t="s">
        <v>34</v>
      </c>
      <c r="K3169" s="7"/>
      <c r="L3169" s="8">
        <v>1.772893291257E12</v>
      </c>
      <c r="M3169" s="9"/>
      <c r="N3169" s="10"/>
      <c r="O3169" s="10"/>
      <c r="P3169" s="10"/>
      <c r="Q3169" s="10"/>
      <c r="R3169" s="10"/>
      <c r="S3169" s="10"/>
      <c r="T3169" s="10"/>
      <c r="U3169" s="10"/>
      <c r="V3169" s="10"/>
    </row>
    <row r="3170" ht="22.5" customHeight="1">
      <c r="A3170" s="5">
        <v>2.07716757248E11</v>
      </c>
      <c r="B3170" s="5" t="s">
        <v>2972</v>
      </c>
      <c r="C3170" s="5">
        <v>51902866593</v>
      </c>
      <c r="D3170" s="5" t="s">
        <v>13</v>
      </c>
      <c r="E3170" s="5">
        <v>8.7547393E7</v>
      </c>
      <c r="F3170" s="5" t="s">
        <v>510</v>
      </c>
      <c r="G3170" s="5" t="s">
        <v>15</v>
      </c>
      <c r="H3170" s="5" t="s">
        <v>16</v>
      </c>
      <c r="I3170" s="6" t="s">
        <v>49</v>
      </c>
      <c r="J3170" s="7" t="s">
        <v>34</v>
      </c>
      <c r="K3170" s="7"/>
      <c r="L3170" s="8">
        <v>1.772896053271E12</v>
      </c>
      <c r="M3170" s="9"/>
      <c r="N3170" s="10"/>
      <c r="O3170" s="10"/>
      <c r="P3170" s="10"/>
      <c r="Q3170" s="10"/>
      <c r="R3170" s="10"/>
      <c r="S3170" s="10"/>
      <c r="T3170" s="10"/>
      <c r="U3170" s="10"/>
      <c r="V3170" s="10"/>
    </row>
    <row r="3171" ht="22.5" customHeight="1">
      <c r="A3171" s="5">
        <v>2.0772185656E11</v>
      </c>
      <c r="B3171" s="5" t="s">
        <v>2973</v>
      </c>
      <c r="C3171" s="5">
        <v>51985319023</v>
      </c>
      <c r="D3171" s="5" t="s">
        <v>13</v>
      </c>
      <c r="E3171" s="5">
        <v>8.7547393E7</v>
      </c>
      <c r="F3171" s="5" t="s">
        <v>93</v>
      </c>
      <c r="G3171" s="5" t="s">
        <v>15</v>
      </c>
      <c r="H3171" s="5" t="s">
        <v>51</v>
      </c>
      <c r="I3171" s="6" t="s">
        <v>17</v>
      </c>
      <c r="J3171" s="7" t="s">
        <v>18</v>
      </c>
      <c r="K3171" s="7" t="s">
        <v>19</v>
      </c>
      <c r="L3171" s="8">
        <v>1.77289608572E12</v>
      </c>
      <c r="M3171" s="9"/>
      <c r="N3171" s="10"/>
      <c r="O3171" s="10"/>
      <c r="P3171" s="10"/>
      <c r="Q3171" s="10"/>
      <c r="R3171" s="10"/>
      <c r="S3171" s="10"/>
      <c r="T3171" s="10"/>
      <c r="U3171" s="10"/>
      <c r="V3171" s="10"/>
    </row>
    <row r="3172" ht="22.5" customHeight="1">
      <c r="A3172" s="5">
        <v>2.050885382E11</v>
      </c>
      <c r="B3172" s="5" t="s">
        <v>2048</v>
      </c>
      <c r="C3172" s="5">
        <v>5592985964565</v>
      </c>
      <c r="D3172" s="5" t="s">
        <v>13</v>
      </c>
      <c r="E3172" s="5">
        <v>7.9360573E7</v>
      </c>
      <c r="F3172" s="5" t="s">
        <v>714</v>
      </c>
      <c r="G3172" s="5" t="s">
        <v>44</v>
      </c>
      <c r="H3172" s="5" t="s">
        <v>33</v>
      </c>
      <c r="I3172" s="6" t="s">
        <v>17</v>
      </c>
      <c r="J3172" s="7" t="s">
        <v>34</v>
      </c>
      <c r="K3172" s="7"/>
      <c r="L3172" s="8">
        <v>1.772898351919E12</v>
      </c>
      <c r="M3172" s="9"/>
      <c r="N3172" s="10"/>
      <c r="O3172" s="10"/>
      <c r="P3172" s="10"/>
      <c r="Q3172" s="10"/>
      <c r="R3172" s="10"/>
      <c r="S3172" s="10"/>
      <c r="T3172" s="10"/>
      <c r="U3172" s="10"/>
      <c r="V3172" s="10"/>
    </row>
    <row r="3173" ht="22.5" customHeight="1">
      <c r="A3173" s="5">
        <v>2.07724609203E11</v>
      </c>
      <c r="B3173" s="5" t="s">
        <v>2974</v>
      </c>
      <c r="C3173" s="5">
        <v>5511994900606</v>
      </c>
      <c r="D3173" s="5" t="s">
        <v>13</v>
      </c>
      <c r="E3173" s="5">
        <v>7.9360573E7</v>
      </c>
      <c r="F3173" s="5" t="s">
        <v>93</v>
      </c>
      <c r="G3173" s="5" t="s">
        <v>15</v>
      </c>
      <c r="H3173" s="5" t="s">
        <v>51</v>
      </c>
      <c r="I3173" s="6" t="s">
        <v>17</v>
      </c>
      <c r="J3173" s="7" t="s">
        <v>124</v>
      </c>
      <c r="K3173" s="7" t="s">
        <v>1256</v>
      </c>
      <c r="L3173" s="8">
        <v>1.77289840264E12</v>
      </c>
      <c r="M3173" s="9"/>
      <c r="N3173" s="10"/>
      <c r="O3173" s="10"/>
      <c r="P3173" s="10"/>
      <c r="Q3173" s="10"/>
      <c r="R3173" s="10"/>
      <c r="S3173" s="10"/>
      <c r="T3173" s="10"/>
      <c r="U3173" s="10"/>
      <c r="V3173" s="10"/>
    </row>
    <row r="3174" ht="22.5" customHeight="1">
      <c r="A3174" s="5">
        <v>2.07724497459E11</v>
      </c>
      <c r="B3174" s="5" t="s">
        <v>2975</v>
      </c>
      <c r="C3174" s="5">
        <v>51967440490</v>
      </c>
      <c r="D3174" s="5" t="s">
        <v>13</v>
      </c>
      <c r="E3174" s="5">
        <v>8.7547393E7</v>
      </c>
      <c r="F3174" s="5" t="s">
        <v>510</v>
      </c>
      <c r="G3174" s="5" t="s">
        <v>15</v>
      </c>
      <c r="H3174" s="5" t="s">
        <v>24</v>
      </c>
      <c r="I3174" s="6"/>
      <c r="J3174" s="7" t="s">
        <v>18</v>
      </c>
      <c r="K3174" s="7" t="s">
        <v>19</v>
      </c>
      <c r="L3174" s="8">
        <v>1.772898509105E12</v>
      </c>
      <c r="M3174" s="9"/>
      <c r="N3174" s="10"/>
      <c r="O3174" s="10"/>
      <c r="P3174" s="10"/>
      <c r="Q3174" s="10"/>
      <c r="R3174" s="10"/>
      <c r="S3174" s="10"/>
      <c r="T3174" s="10"/>
      <c r="U3174" s="10"/>
      <c r="V3174" s="10"/>
    </row>
    <row r="3175" ht="22.5" customHeight="1">
      <c r="A3175" s="5">
        <v>2.07723661324E11</v>
      </c>
      <c r="B3175" s="5" t="s">
        <v>2976</v>
      </c>
      <c r="C3175" s="5">
        <v>51918378865</v>
      </c>
      <c r="D3175" s="5" t="s">
        <v>13</v>
      </c>
      <c r="E3175" s="5">
        <v>8.0566583E7</v>
      </c>
      <c r="F3175" s="5" t="s">
        <v>39</v>
      </c>
      <c r="G3175" s="5" t="s">
        <v>15</v>
      </c>
      <c r="H3175" s="5" t="s">
        <v>24</v>
      </c>
      <c r="I3175" s="6" t="s">
        <v>17</v>
      </c>
      <c r="J3175" s="7" t="s">
        <v>18</v>
      </c>
      <c r="K3175" s="7" t="s">
        <v>19</v>
      </c>
      <c r="L3175" s="8">
        <v>1.772898526497E12</v>
      </c>
      <c r="M3175" s="9"/>
      <c r="N3175" s="10"/>
      <c r="O3175" s="10"/>
      <c r="P3175" s="10"/>
      <c r="Q3175" s="10"/>
      <c r="R3175" s="10"/>
      <c r="S3175" s="10"/>
      <c r="T3175" s="10"/>
      <c r="U3175" s="10"/>
      <c r="V3175" s="10"/>
    </row>
    <row r="3176" ht="22.5" customHeight="1">
      <c r="A3176" s="5">
        <v>2.07724019462E11</v>
      </c>
      <c r="B3176" s="5" t="s">
        <v>2977</v>
      </c>
      <c r="C3176" s="5">
        <v>51972561996</v>
      </c>
      <c r="D3176" s="5" t="s">
        <v>13</v>
      </c>
      <c r="E3176" s="5">
        <v>8.7547393E7</v>
      </c>
      <c r="F3176" s="5" t="s">
        <v>510</v>
      </c>
      <c r="G3176" s="5" t="s">
        <v>15</v>
      </c>
      <c r="H3176" s="5" t="s">
        <v>16</v>
      </c>
      <c r="I3176" s="6" t="s">
        <v>17</v>
      </c>
      <c r="J3176" s="7" t="s">
        <v>34</v>
      </c>
      <c r="K3176" s="7"/>
      <c r="L3176" s="8">
        <v>1.772898989467E12</v>
      </c>
      <c r="M3176" s="9"/>
      <c r="N3176" s="10"/>
      <c r="O3176" s="10"/>
      <c r="P3176" s="10"/>
      <c r="Q3176" s="10"/>
      <c r="R3176" s="10"/>
      <c r="S3176" s="10"/>
      <c r="T3176" s="10"/>
      <c r="U3176" s="10"/>
      <c r="V3176" s="10"/>
    </row>
    <row r="3177" ht="22.5" customHeight="1">
      <c r="A3177" s="5">
        <v>2.07720274546E11</v>
      </c>
      <c r="B3177" s="5" t="s">
        <v>2978</v>
      </c>
      <c r="C3177" s="5">
        <v>51958052092</v>
      </c>
      <c r="D3177" s="5" t="s">
        <v>13</v>
      </c>
      <c r="E3177" s="5">
        <v>8.0566583E7</v>
      </c>
      <c r="F3177" s="5" t="s">
        <v>39</v>
      </c>
      <c r="G3177" s="5" t="s">
        <v>32</v>
      </c>
      <c r="H3177" s="5" t="s">
        <v>29</v>
      </c>
      <c r="I3177" s="6" t="s">
        <v>17</v>
      </c>
      <c r="J3177" s="7" t="s">
        <v>18</v>
      </c>
      <c r="K3177" s="7" t="s">
        <v>19</v>
      </c>
      <c r="L3177" s="8">
        <v>1.772899136468E12</v>
      </c>
      <c r="M3177" s="9"/>
      <c r="N3177" s="10"/>
      <c r="O3177" s="10"/>
      <c r="P3177" s="10"/>
      <c r="Q3177" s="10"/>
      <c r="R3177" s="10"/>
      <c r="S3177" s="10"/>
      <c r="T3177" s="10"/>
      <c r="U3177" s="10"/>
      <c r="V3177" s="10"/>
    </row>
    <row r="3178" ht="22.5" customHeight="1">
      <c r="A3178" s="5">
        <v>2.07729792846E11</v>
      </c>
      <c r="B3178" s="5" t="s">
        <v>2979</v>
      </c>
      <c r="C3178" s="5">
        <v>51994517636</v>
      </c>
      <c r="D3178" s="5" t="s">
        <v>22</v>
      </c>
      <c r="E3178" s="5">
        <v>8.7547393E7</v>
      </c>
      <c r="F3178" s="5" t="s">
        <v>42</v>
      </c>
      <c r="G3178" s="5" t="s">
        <v>44</v>
      </c>
      <c r="H3178" s="5" t="s">
        <v>24</v>
      </c>
      <c r="I3178" s="6" t="s">
        <v>17</v>
      </c>
      <c r="J3178" s="7" t="s">
        <v>18</v>
      </c>
      <c r="K3178" s="7" t="s">
        <v>2930</v>
      </c>
      <c r="L3178" s="8">
        <v>1.772900413436E12</v>
      </c>
      <c r="M3178" s="9"/>
      <c r="N3178" s="10"/>
      <c r="O3178" s="10"/>
      <c r="P3178" s="10"/>
      <c r="Q3178" s="10"/>
      <c r="R3178" s="10"/>
      <c r="S3178" s="10"/>
      <c r="T3178" s="10"/>
      <c r="U3178" s="10"/>
      <c r="V3178" s="10"/>
    </row>
    <row r="3179" ht="22.5" customHeight="1">
      <c r="A3179" s="5">
        <v>2.07727139454E11</v>
      </c>
      <c r="B3179" s="5" t="s">
        <v>2980</v>
      </c>
      <c r="C3179" s="5">
        <v>51900403511</v>
      </c>
      <c r="D3179" s="5" t="s">
        <v>13</v>
      </c>
      <c r="E3179" s="5">
        <v>8.7547393E7</v>
      </c>
      <c r="F3179" s="5" t="s">
        <v>259</v>
      </c>
      <c r="G3179" s="5" t="s">
        <v>15</v>
      </c>
      <c r="H3179" s="5" t="s">
        <v>33</v>
      </c>
      <c r="I3179" s="6" t="s">
        <v>17</v>
      </c>
      <c r="J3179" s="7" t="s">
        <v>18</v>
      </c>
      <c r="K3179" s="7" t="s">
        <v>19</v>
      </c>
      <c r="L3179" s="8">
        <v>1.772900850579E12</v>
      </c>
      <c r="M3179" s="9"/>
      <c r="N3179" s="10"/>
      <c r="O3179" s="10"/>
      <c r="P3179" s="10"/>
      <c r="Q3179" s="10"/>
      <c r="R3179" s="10"/>
      <c r="S3179" s="10"/>
      <c r="T3179" s="10"/>
      <c r="U3179" s="10"/>
      <c r="V3179" s="10"/>
    </row>
    <row r="3180" ht="22.5" customHeight="1">
      <c r="A3180" s="5">
        <v>2.07734106171E11</v>
      </c>
      <c r="B3180" s="5" t="s">
        <v>2981</v>
      </c>
      <c r="C3180" s="5">
        <v>5551995115832</v>
      </c>
      <c r="D3180" s="5" t="s">
        <v>38</v>
      </c>
      <c r="E3180" s="5">
        <v>7.9360573E7</v>
      </c>
      <c r="F3180" s="5"/>
      <c r="G3180" s="5"/>
      <c r="H3180" s="5"/>
      <c r="I3180" s="6"/>
      <c r="J3180" s="7" t="s">
        <v>34</v>
      </c>
      <c r="K3180" s="7"/>
      <c r="L3180" s="8">
        <v>1.772905036373E12</v>
      </c>
      <c r="M3180" s="9"/>
      <c r="N3180" s="10"/>
      <c r="O3180" s="10"/>
      <c r="P3180" s="10"/>
      <c r="Q3180" s="10"/>
      <c r="R3180" s="10"/>
      <c r="S3180" s="10"/>
      <c r="T3180" s="10"/>
      <c r="U3180" s="10"/>
      <c r="V3180" s="10"/>
    </row>
    <row r="3181" ht="22.5" customHeight="1">
      <c r="A3181" s="5">
        <v>2.0774032393E11</v>
      </c>
      <c r="B3181" s="5" t="s">
        <v>2982</v>
      </c>
      <c r="C3181" s="5">
        <v>51930848547</v>
      </c>
      <c r="D3181" s="5" t="s">
        <v>38</v>
      </c>
      <c r="E3181" s="5">
        <v>8.0566583E7</v>
      </c>
      <c r="F3181" s="5"/>
      <c r="G3181" s="5"/>
      <c r="H3181" s="5"/>
      <c r="I3181" s="6"/>
      <c r="J3181" s="7" t="s">
        <v>18</v>
      </c>
      <c r="K3181" s="7" t="s">
        <v>19</v>
      </c>
      <c r="L3181" s="8">
        <v>1.772906737677E12</v>
      </c>
      <c r="M3181" s="9"/>
      <c r="N3181" s="10"/>
      <c r="O3181" s="10"/>
      <c r="P3181" s="10"/>
      <c r="Q3181" s="10"/>
      <c r="R3181" s="10"/>
      <c r="S3181" s="10"/>
      <c r="T3181" s="10"/>
      <c r="U3181" s="10"/>
      <c r="V3181" s="10"/>
    </row>
    <row r="3182" ht="22.5" customHeight="1">
      <c r="A3182" s="5">
        <v>2.04352196653E11</v>
      </c>
      <c r="B3182" s="5" t="s">
        <v>2983</v>
      </c>
      <c r="C3182" s="5">
        <v>51977951648</v>
      </c>
      <c r="D3182" s="5" t="s">
        <v>103</v>
      </c>
      <c r="E3182" s="5">
        <v>8.0566583E7</v>
      </c>
      <c r="F3182" s="5" t="s">
        <v>65</v>
      </c>
      <c r="G3182" s="5" t="s">
        <v>104</v>
      </c>
      <c r="H3182" s="5" t="s">
        <v>33</v>
      </c>
      <c r="I3182" s="6" t="s">
        <v>49</v>
      </c>
      <c r="J3182" s="7" t="s">
        <v>34</v>
      </c>
      <c r="K3182" s="7"/>
      <c r="L3182" s="8">
        <v>1.772908675352E12</v>
      </c>
      <c r="M3182" s="9"/>
      <c r="N3182" s="10"/>
      <c r="O3182" s="10"/>
      <c r="P3182" s="10"/>
      <c r="Q3182" s="10"/>
      <c r="R3182" s="10"/>
      <c r="S3182" s="10"/>
      <c r="T3182" s="10"/>
      <c r="U3182" s="10"/>
      <c r="V3182" s="10"/>
    </row>
    <row r="3183" ht="22.5" customHeight="1">
      <c r="A3183" s="5">
        <v>1.70985158322E11</v>
      </c>
      <c r="B3183" s="5" t="s">
        <v>2984</v>
      </c>
      <c r="C3183" s="5">
        <v>51981025600</v>
      </c>
      <c r="D3183" s="5" t="s">
        <v>13</v>
      </c>
      <c r="E3183" s="5">
        <v>8.0566583E7</v>
      </c>
      <c r="F3183" s="5" t="s">
        <v>14</v>
      </c>
      <c r="G3183" s="5" t="s">
        <v>15</v>
      </c>
      <c r="H3183" s="5" t="s">
        <v>16</v>
      </c>
      <c r="I3183" s="6" t="s">
        <v>17</v>
      </c>
      <c r="J3183" s="7" t="s">
        <v>34</v>
      </c>
      <c r="K3183" s="7"/>
      <c r="L3183" s="8">
        <v>1.772908967881E12</v>
      </c>
      <c r="M3183" s="9"/>
      <c r="N3183" s="10"/>
      <c r="O3183" s="10"/>
      <c r="P3183" s="10"/>
      <c r="Q3183" s="10"/>
      <c r="R3183" s="10"/>
      <c r="S3183" s="10"/>
      <c r="T3183" s="10"/>
      <c r="U3183" s="10"/>
      <c r="V3183" s="10"/>
    </row>
    <row r="3184" ht="22.5" customHeight="1">
      <c r="A3184" s="5">
        <v>1.95967475891E11</v>
      </c>
      <c r="B3184" s="5" t="s">
        <v>2985</v>
      </c>
      <c r="C3184" s="5">
        <v>51969914195</v>
      </c>
      <c r="D3184" s="5" t="s">
        <v>13</v>
      </c>
      <c r="E3184" s="5">
        <v>8.7547393E7</v>
      </c>
      <c r="F3184" s="5" t="s">
        <v>93</v>
      </c>
      <c r="G3184" s="5" t="s">
        <v>15</v>
      </c>
      <c r="H3184" s="5" t="s">
        <v>66</v>
      </c>
      <c r="I3184" s="6" t="s">
        <v>17</v>
      </c>
      <c r="J3184" s="7" t="s">
        <v>18</v>
      </c>
      <c r="K3184" s="7" t="s">
        <v>19</v>
      </c>
      <c r="L3184" s="8">
        <v>1.772910751975E12</v>
      </c>
      <c r="M3184" s="9"/>
      <c r="N3184" s="10"/>
      <c r="O3184" s="10"/>
      <c r="P3184" s="10"/>
      <c r="Q3184" s="10"/>
      <c r="R3184" s="10"/>
      <c r="S3184" s="10"/>
      <c r="T3184" s="10"/>
      <c r="U3184" s="10"/>
      <c r="V3184" s="10"/>
    </row>
    <row r="3185" ht="22.5" customHeight="1">
      <c r="A3185" s="5">
        <v>2.07744701313E11</v>
      </c>
      <c r="B3185" s="5" t="s">
        <v>2986</v>
      </c>
      <c r="C3185" s="5">
        <v>51953765020</v>
      </c>
      <c r="D3185" s="5" t="s">
        <v>13</v>
      </c>
      <c r="E3185" s="5">
        <v>8.7547393E7</v>
      </c>
      <c r="F3185" s="5" t="s">
        <v>65</v>
      </c>
      <c r="G3185" s="5" t="s">
        <v>15</v>
      </c>
      <c r="H3185" s="5" t="s">
        <v>66</v>
      </c>
      <c r="I3185" s="6" t="s">
        <v>17</v>
      </c>
      <c r="J3185" s="7" t="s">
        <v>34</v>
      </c>
      <c r="K3185" s="7"/>
      <c r="L3185" s="8">
        <v>1.7729116543E12</v>
      </c>
      <c r="M3185" s="9"/>
      <c r="N3185" s="10"/>
      <c r="O3185" s="10"/>
      <c r="P3185" s="10"/>
      <c r="Q3185" s="10"/>
      <c r="R3185" s="10"/>
      <c r="S3185" s="10"/>
      <c r="T3185" s="10"/>
      <c r="U3185" s="10"/>
      <c r="V3185" s="10"/>
    </row>
    <row r="3186" ht="22.5" customHeight="1">
      <c r="A3186" s="5">
        <v>2.07749953897E11</v>
      </c>
      <c r="B3186" s="5" t="s">
        <v>2987</v>
      </c>
      <c r="C3186" s="5">
        <v>51942756925</v>
      </c>
      <c r="D3186" s="5" t="s">
        <v>13</v>
      </c>
      <c r="E3186" s="5">
        <v>8.7547393E7</v>
      </c>
      <c r="F3186" s="5" t="s">
        <v>65</v>
      </c>
      <c r="G3186" s="5" t="s">
        <v>15</v>
      </c>
      <c r="H3186" s="5" t="s">
        <v>24</v>
      </c>
      <c r="I3186" s="6" t="s">
        <v>17</v>
      </c>
      <c r="J3186" s="7" t="s">
        <v>18</v>
      </c>
      <c r="K3186" s="7" t="s">
        <v>19</v>
      </c>
      <c r="L3186" s="8">
        <v>1.772913325711E12</v>
      </c>
      <c r="M3186" s="9"/>
      <c r="N3186" s="10"/>
      <c r="O3186" s="10"/>
      <c r="P3186" s="10"/>
      <c r="Q3186" s="10"/>
      <c r="R3186" s="10"/>
      <c r="S3186" s="10"/>
      <c r="T3186" s="10"/>
      <c r="U3186" s="10"/>
      <c r="V3186" s="10"/>
    </row>
    <row r="3187" ht="22.5" customHeight="1">
      <c r="A3187" s="5">
        <v>2.07753807719E11</v>
      </c>
      <c r="B3187" s="5" t="s">
        <v>2988</v>
      </c>
      <c r="C3187" s="5">
        <v>51984645578</v>
      </c>
      <c r="D3187" s="5" t="s">
        <v>13</v>
      </c>
      <c r="E3187" s="5">
        <v>8.7547393E7</v>
      </c>
      <c r="F3187" s="5" t="s">
        <v>14</v>
      </c>
      <c r="G3187" s="5" t="s">
        <v>15</v>
      </c>
      <c r="H3187" s="5" t="s">
        <v>114</v>
      </c>
      <c r="I3187" s="6" t="s">
        <v>17</v>
      </c>
      <c r="J3187" s="7" t="s">
        <v>18</v>
      </c>
      <c r="K3187" s="7" t="s">
        <v>19</v>
      </c>
      <c r="L3187" s="8">
        <v>1.772916377272E12</v>
      </c>
      <c r="M3187" s="9"/>
      <c r="N3187" s="10"/>
      <c r="O3187" s="10"/>
      <c r="P3187" s="10"/>
      <c r="Q3187" s="10"/>
      <c r="R3187" s="10"/>
      <c r="S3187" s="10"/>
      <c r="T3187" s="10"/>
      <c r="U3187" s="10"/>
      <c r="V3187" s="10"/>
    </row>
    <row r="3188" ht="22.5" customHeight="1">
      <c r="A3188" s="5">
        <v>2.07758135947E11</v>
      </c>
      <c r="B3188" s="5" t="s">
        <v>2989</v>
      </c>
      <c r="C3188" s="5">
        <v>51939120511</v>
      </c>
      <c r="D3188" s="5" t="s">
        <v>13</v>
      </c>
      <c r="E3188" s="5">
        <v>8.0566583E7</v>
      </c>
      <c r="F3188" s="5" t="s">
        <v>93</v>
      </c>
      <c r="G3188" s="5" t="s">
        <v>15</v>
      </c>
      <c r="H3188" s="5" t="s">
        <v>51</v>
      </c>
      <c r="I3188" s="6" t="s">
        <v>17</v>
      </c>
      <c r="J3188" s="7" t="s">
        <v>34</v>
      </c>
      <c r="K3188" s="7"/>
      <c r="L3188" s="8">
        <v>1.772916520522E12</v>
      </c>
      <c r="M3188" s="9"/>
      <c r="N3188" s="10"/>
      <c r="O3188" s="10"/>
      <c r="P3188" s="10"/>
      <c r="Q3188" s="10"/>
      <c r="R3188" s="10"/>
      <c r="S3188" s="10"/>
      <c r="T3188" s="10"/>
      <c r="U3188" s="10"/>
      <c r="V3188" s="10"/>
    </row>
    <row r="3189" ht="22.5" customHeight="1">
      <c r="A3189" s="5">
        <v>2.0775396672E11</v>
      </c>
      <c r="B3189" s="5" t="s">
        <v>2990</v>
      </c>
      <c r="C3189" s="5">
        <v>51944601185</v>
      </c>
      <c r="D3189" s="5" t="s">
        <v>13</v>
      </c>
      <c r="E3189" s="5">
        <v>8.7547393E7</v>
      </c>
      <c r="F3189" s="5" t="s">
        <v>510</v>
      </c>
      <c r="G3189" s="5" t="s">
        <v>15</v>
      </c>
      <c r="H3189" s="5" t="s">
        <v>51</v>
      </c>
      <c r="I3189" s="6" t="s">
        <v>17</v>
      </c>
      <c r="J3189" s="7" t="s">
        <v>18</v>
      </c>
      <c r="K3189" s="7" t="s">
        <v>19</v>
      </c>
      <c r="L3189" s="8">
        <v>1.772916793066E12</v>
      </c>
      <c r="M3189" s="9"/>
      <c r="N3189" s="10"/>
      <c r="O3189" s="10"/>
      <c r="P3189" s="10"/>
      <c r="Q3189" s="10"/>
      <c r="R3189" s="10"/>
      <c r="S3189" s="10"/>
      <c r="T3189" s="10"/>
      <c r="U3189" s="10"/>
      <c r="V3189" s="10"/>
    </row>
    <row r="3190" ht="22.5" customHeight="1">
      <c r="A3190" s="5">
        <v>2.07759172267E11</v>
      </c>
      <c r="B3190" s="5" t="s">
        <v>2991</v>
      </c>
      <c r="C3190" s="5">
        <v>51943906643</v>
      </c>
      <c r="D3190" s="5" t="s">
        <v>13</v>
      </c>
      <c r="E3190" s="5">
        <v>8.7547393E7</v>
      </c>
      <c r="F3190" s="5" t="s">
        <v>39</v>
      </c>
      <c r="G3190" s="5" t="s">
        <v>15</v>
      </c>
      <c r="H3190" s="5" t="s">
        <v>24</v>
      </c>
      <c r="I3190" s="6" t="s">
        <v>36</v>
      </c>
      <c r="J3190" s="7" t="s">
        <v>18</v>
      </c>
      <c r="K3190" s="7" t="s">
        <v>19</v>
      </c>
      <c r="L3190" s="8">
        <v>1.772917421706E12</v>
      </c>
      <c r="M3190" s="9"/>
      <c r="N3190" s="10"/>
      <c r="O3190" s="10"/>
      <c r="P3190" s="10"/>
      <c r="Q3190" s="10"/>
      <c r="R3190" s="10"/>
      <c r="S3190" s="10"/>
      <c r="T3190" s="10"/>
      <c r="U3190" s="10"/>
      <c r="V3190" s="10"/>
    </row>
    <row r="3191" ht="22.5" customHeight="1">
      <c r="A3191" s="5">
        <v>2.07758512989E11</v>
      </c>
      <c r="B3191" s="5" t="s">
        <v>2992</v>
      </c>
      <c r="C3191" s="5">
        <v>51902146189</v>
      </c>
      <c r="D3191" s="5" t="s">
        <v>13</v>
      </c>
      <c r="E3191" s="5">
        <v>8.0566583E7</v>
      </c>
      <c r="F3191" s="5" t="s">
        <v>259</v>
      </c>
      <c r="G3191" s="5" t="s">
        <v>15</v>
      </c>
      <c r="H3191" s="5" t="s">
        <v>51</v>
      </c>
      <c r="I3191" s="6" t="s">
        <v>17</v>
      </c>
      <c r="J3191" s="7" t="s">
        <v>34</v>
      </c>
      <c r="K3191" s="7"/>
      <c r="L3191" s="8">
        <v>1.772917907363E12</v>
      </c>
      <c r="M3191" s="9"/>
      <c r="N3191" s="10"/>
      <c r="O3191" s="10"/>
      <c r="P3191" s="10"/>
      <c r="Q3191" s="10"/>
      <c r="R3191" s="10"/>
      <c r="S3191" s="10"/>
      <c r="T3191" s="10"/>
      <c r="U3191" s="10"/>
      <c r="V3191" s="10"/>
    </row>
    <row r="3192" ht="22.5" customHeight="1">
      <c r="A3192" s="5">
        <v>2.07764603194E11</v>
      </c>
      <c r="B3192" s="5" t="s">
        <v>2993</v>
      </c>
      <c r="C3192" s="5">
        <v>51910646185</v>
      </c>
      <c r="D3192" s="5" t="s">
        <v>13</v>
      </c>
      <c r="E3192" s="5">
        <v>8.0566583E7</v>
      </c>
      <c r="F3192" s="5" t="s">
        <v>714</v>
      </c>
      <c r="G3192" s="5" t="s">
        <v>15</v>
      </c>
      <c r="H3192" s="5" t="s">
        <v>51</v>
      </c>
      <c r="I3192" s="6" t="s">
        <v>17</v>
      </c>
      <c r="J3192" s="7" t="s">
        <v>18</v>
      </c>
      <c r="K3192" s="7" t="s">
        <v>19</v>
      </c>
      <c r="L3192" s="8">
        <v>1.772918679404E12</v>
      </c>
      <c r="M3192" s="9"/>
      <c r="N3192" s="10"/>
      <c r="O3192" s="10"/>
      <c r="P3192" s="10"/>
      <c r="Q3192" s="10"/>
      <c r="R3192" s="10"/>
      <c r="S3192" s="10"/>
      <c r="T3192" s="10"/>
      <c r="U3192" s="10"/>
      <c r="V3192" s="10"/>
    </row>
    <row r="3193" ht="22.5" customHeight="1">
      <c r="A3193" s="5">
        <v>2.07741558877E11</v>
      </c>
      <c r="B3193" s="5" t="s">
        <v>2994</v>
      </c>
      <c r="C3193" s="5">
        <v>51971813108</v>
      </c>
      <c r="D3193" s="5" t="s">
        <v>38</v>
      </c>
      <c r="E3193" s="5">
        <v>8.7547393E7</v>
      </c>
      <c r="F3193" s="5"/>
      <c r="G3193" s="5"/>
      <c r="H3193" s="5"/>
      <c r="I3193" s="6"/>
      <c r="J3193" s="7" t="s">
        <v>18</v>
      </c>
      <c r="K3193" s="7" t="s">
        <v>19</v>
      </c>
      <c r="L3193" s="8">
        <v>1.77291869841E12</v>
      </c>
      <c r="M3193" s="9"/>
      <c r="N3193" s="10"/>
      <c r="O3193" s="10"/>
      <c r="P3193" s="10"/>
      <c r="Q3193" s="10"/>
      <c r="R3193" s="10"/>
      <c r="S3193" s="10"/>
      <c r="T3193" s="10"/>
      <c r="U3193" s="10"/>
      <c r="V3193" s="10"/>
    </row>
    <row r="3194" ht="22.5" customHeight="1">
      <c r="A3194" s="5">
        <v>2.07762405765E11</v>
      </c>
      <c r="B3194" s="5" t="s">
        <v>2995</v>
      </c>
      <c r="C3194" s="5">
        <v>5511989474550</v>
      </c>
      <c r="D3194" s="5" t="s">
        <v>13</v>
      </c>
      <c r="E3194" s="5">
        <v>7.9360573E7</v>
      </c>
      <c r="F3194" s="5" t="s">
        <v>93</v>
      </c>
      <c r="G3194" s="5" t="s">
        <v>15</v>
      </c>
      <c r="H3194" s="5" t="s">
        <v>24</v>
      </c>
      <c r="I3194" s="6" t="s">
        <v>17</v>
      </c>
      <c r="J3194" s="7" t="s">
        <v>34</v>
      </c>
      <c r="K3194" s="7"/>
      <c r="L3194" s="8">
        <v>1.772920816461E12</v>
      </c>
      <c r="M3194" s="9"/>
      <c r="N3194" s="10"/>
      <c r="O3194" s="10"/>
      <c r="P3194" s="10"/>
      <c r="Q3194" s="10"/>
      <c r="R3194" s="10"/>
      <c r="S3194" s="10"/>
      <c r="T3194" s="10"/>
      <c r="U3194" s="10"/>
      <c r="V3194" s="10"/>
    </row>
    <row r="3195" ht="22.5" customHeight="1">
      <c r="A3195" s="5">
        <v>1.86490339759E11</v>
      </c>
      <c r="B3195" s="5" t="s">
        <v>2996</v>
      </c>
      <c r="C3195" s="5">
        <v>51932224997</v>
      </c>
      <c r="D3195" s="5" t="s">
        <v>13</v>
      </c>
      <c r="E3195" s="5">
        <v>8.0566583E7</v>
      </c>
      <c r="F3195" s="5"/>
      <c r="G3195" s="5" t="s">
        <v>15</v>
      </c>
      <c r="H3195" s="5" t="s">
        <v>69</v>
      </c>
      <c r="I3195" s="6" t="s">
        <v>17</v>
      </c>
      <c r="J3195" s="7" t="s">
        <v>18</v>
      </c>
      <c r="K3195" s="7" t="s">
        <v>19</v>
      </c>
      <c r="L3195" s="8">
        <v>1.772921668429E12</v>
      </c>
      <c r="M3195" s="9"/>
      <c r="N3195" s="10"/>
      <c r="O3195" s="10"/>
      <c r="P3195" s="10"/>
      <c r="Q3195" s="10"/>
      <c r="R3195" s="10"/>
      <c r="S3195" s="10"/>
      <c r="T3195" s="10"/>
      <c r="U3195" s="10"/>
      <c r="V3195" s="10"/>
    </row>
    <row r="3196" ht="22.5" customHeight="1">
      <c r="A3196" s="5">
        <v>2.07762448794E11</v>
      </c>
      <c r="B3196" s="5" t="s">
        <v>2997</v>
      </c>
      <c r="C3196" s="5">
        <v>51987459930</v>
      </c>
      <c r="D3196" s="5" t="s">
        <v>13</v>
      </c>
      <c r="E3196" s="5">
        <v>8.0566583E7</v>
      </c>
      <c r="F3196" s="5" t="s">
        <v>28</v>
      </c>
      <c r="G3196" s="5" t="s">
        <v>15</v>
      </c>
      <c r="H3196" s="5" t="s">
        <v>51</v>
      </c>
      <c r="I3196" s="6" t="s">
        <v>17</v>
      </c>
      <c r="J3196" s="7" t="s">
        <v>18</v>
      </c>
      <c r="K3196" s="7" t="s">
        <v>19</v>
      </c>
      <c r="L3196" s="8">
        <v>1.772921689176E12</v>
      </c>
      <c r="M3196" s="9"/>
      <c r="N3196" s="10"/>
      <c r="O3196" s="10"/>
      <c r="P3196" s="10"/>
      <c r="Q3196" s="10"/>
      <c r="R3196" s="10"/>
      <c r="S3196" s="10"/>
      <c r="T3196" s="10"/>
      <c r="U3196" s="10"/>
      <c r="V3196" s="10"/>
    </row>
    <row r="3197" ht="22.5" customHeight="1">
      <c r="A3197" s="5">
        <v>2.07766396002E11</v>
      </c>
      <c r="B3197" s="5" t="s">
        <v>2998</v>
      </c>
      <c r="C3197" s="5">
        <v>5522996192618</v>
      </c>
      <c r="D3197" s="5" t="s">
        <v>103</v>
      </c>
      <c r="E3197" s="5">
        <v>7.9360573E7</v>
      </c>
      <c r="F3197" s="5" t="s">
        <v>28</v>
      </c>
      <c r="G3197" s="5" t="s">
        <v>104</v>
      </c>
      <c r="H3197" s="5" t="s">
        <v>112</v>
      </c>
      <c r="I3197" s="6" t="s">
        <v>17</v>
      </c>
      <c r="J3197" s="7" t="s">
        <v>34</v>
      </c>
      <c r="K3197" s="7"/>
      <c r="L3197" s="8">
        <v>1.772921731389E12</v>
      </c>
      <c r="M3197" s="9"/>
      <c r="N3197" s="10"/>
      <c r="O3197" s="10"/>
      <c r="P3197" s="10"/>
      <c r="Q3197" s="10"/>
      <c r="R3197" s="10"/>
      <c r="S3197" s="10"/>
      <c r="T3197" s="10"/>
      <c r="U3197" s="10"/>
      <c r="V3197" s="10"/>
    </row>
    <row r="3198" ht="22.5" customHeight="1">
      <c r="A3198" s="5">
        <v>2.07766441565E11</v>
      </c>
      <c r="B3198" s="5" t="s">
        <v>2999</v>
      </c>
      <c r="C3198" s="5">
        <v>5583986793023</v>
      </c>
      <c r="D3198" s="5" t="s">
        <v>13</v>
      </c>
      <c r="E3198" s="5">
        <v>7.9360573E7</v>
      </c>
      <c r="F3198" s="5" t="s">
        <v>39</v>
      </c>
      <c r="G3198" s="5" t="s">
        <v>15</v>
      </c>
      <c r="H3198" s="5" t="s">
        <v>69</v>
      </c>
      <c r="I3198" s="6"/>
      <c r="J3198" s="7" t="s">
        <v>124</v>
      </c>
      <c r="K3198" s="7" t="s">
        <v>1256</v>
      </c>
      <c r="L3198" s="8">
        <v>1.772922392431E12</v>
      </c>
      <c r="M3198" s="9"/>
      <c r="N3198" s="10"/>
      <c r="O3198" s="10"/>
      <c r="P3198" s="10"/>
      <c r="Q3198" s="10"/>
      <c r="R3198" s="10"/>
      <c r="S3198" s="10"/>
      <c r="T3198" s="10"/>
      <c r="U3198" s="10"/>
      <c r="V3198" s="10"/>
    </row>
    <row r="3199" ht="22.5" customHeight="1">
      <c r="A3199" s="5">
        <v>2.07768739339E11</v>
      </c>
      <c r="B3199" s="5" t="s">
        <v>3000</v>
      </c>
      <c r="C3199" s="5">
        <v>51988933436</v>
      </c>
      <c r="D3199" s="5" t="s">
        <v>13</v>
      </c>
      <c r="E3199" s="5">
        <v>8.7547393E7</v>
      </c>
      <c r="F3199" s="5" t="s">
        <v>39</v>
      </c>
      <c r="G3199" s="5" t="s">
        <v>15</v>
      </c>
      <c r="H3199" s="5" t="s">
        <v>24</v>
      </c>
      <c r="I3199" s="6" t="s">
        <v>17</v>
      </c>
      <c r="J3199" s="7" t="s">
        <v>18</v>
      </c>
      <c r="K3199" s="7" t="s">
        <v>19</v>
      </c>
      <c r="L3199" s="8">
        <v>1.772923662596E12</v>
      </c>
      <c r="M3199" s="9"/>
      <c r="N3199" s="10"/>
      <c r="O3199" s="10"/>
      <c r="P3199" s="10"/>
      <c r="Q3199" s="10"/>
      <c r="R3199" s="10"/>
      <c r="S3199" s="10"/>
      <c r="T3199" s="10"/>
      <c r="U3199" s="10"/>
      <c r="V3199" s="10"/>
    </row>
    <row r="3200" ht="22.5" customHeight="1">
      <c r="A3200" s="5">
        <v>2.07770698154E11</v>
      </c>
      <c r="B3200" s="5" t="s">
        <v>3001</v>
      </c>
      <c r="C3200" s="5">
        <v>51906500416</v>
      </c>
      <c r="D3200" s="5" t="s">
        <v>13</v>
      </c>
      <c r="E3200" s="5">
        <v>8.7547393E7</v>
      </c>
      <c r="F3200" s="5" t="s">
        <v>39</v>
      </c>
      <c r="G3200" s="5" t="s">
        <v>15</v>
      </c>
      <c r="H3200" s="5" t="s">
        <v>51</v>
      </c>
      <c r="I3200" s="6" t="s">
        <v>148</v>
      </c>
      <c r="J3200" s="7" t="s">
        <v>18</v>
      </c>
      <c r="K3200" s="7" t="s">
        <v>19</v>
      </c>
      <c r="L3200" s="8">
        <v>1.772925402672E12</v>
      </c>
      <c r="M3200" s="9"/>
      <c r="N3200" s="10"/>
      <c r="O3200" s="10"/>
      <c r="P3200" s="10"/>
      <c r="Q3200" s="10"/>
      <c r="R3200" s="10"/>
      <c r="S3200" s="10"/>
      <c r="T3200" s="10"/>
      <c r="U3200" s="10"/>
      <c r="V3200" s="10"/>
    </row>
    <row r="3201" ht="22.5" customHeight="1">
      <c r="A3201" s="5">
        <v>2.07774757761E11</v>
      </c>
      <c r="B3201" s="5" t="s">
        <v>3002</v>
      </c>
      <c r="C3201" s="5">
        <v>51900651435</v>
      </c>
      <c r="D3201" s="5" t="s">
        <v>13</v>
      </c>
      <c r="E3201" s="5">
        <v>8.0566583E7</v>
      </c>
      <c r="F3201" s="5"/>
      <c r="G3201" s="5" t="s">
        <v>15</v>
      </c>
      <c r="H3201" s="5" t="s">
        <v>51</v>
      </c>
      <c r="I3201" s="6" t="s">
        <v>17</v>
      </c>
      <c r="J3201" s="7" t="s">
        <v>18</v>
      </c>
      <c r="K3201" s="7" t="s">
        <v>19</v>
      </c>
      <c r="L3201" s="8">
        <v>1.772925502053E12</v>
      </c>
      <c r="M3201" s="9"/>
      <c r="N3201" s="10"/>
      <c r="O3201" s="10"/>
      <c r="P3201" s="10"/>
      <c r="Q3201" s="10"/>
      <c r="R3201" s="10"/>
      <c r="S3201" s="10"/>
      <c r="T3201" s="10"/>
      <c r="U3201" s="10"/>
      <c r="V3201" s="10"/>
    </row>
    <row r="3202" ht="22.5" customHeight="1">
      <c r="A3202" s="5">
        <v>2.07771111958E11</v>
      </c>
      <c r="B3202" s="5" t="s">
        <v>3003</v>
      </c>
      <c r="C3202" s="5">
        <v>5535992461837</v>
      </c>
      <c r="D3202" s="5" t="s">
        <v>13</v>
      </c>
      <c r="E3202" s="5">
        <v>7.9360573E7</v>
      </c>
      <c r="F3202" s="5" t="s">
        <v>42</v>
      </c>
      <c r="G3202" s="5" t="s">
        <v>15</v>
      </c>
      <c r="H3202" s="5" t="s">
        <v>66</v>
      </c>
      <c r="I3202" s="6" t="s">
        <v>17</v>
      </c>
      <c r="J3202" s="7" t="s">
        <v>34</v>
      </c>
      <c r="K3202" s="7"/>
      <c r="L3202" s="8">
        <v>1.772925650056E12</v>
      </c>
      <c r="M3202" s="9"/>
      <c r="N3202" s="10"/>
      <c r="O3202" s="10"/>
      <c r="P3202" s="10"/>
      <c r="Q3202" s="10"/>
      <c r="R3202" s="10"/>
      <c r="S3202" s="10"/>
      <c r="T3202" s="10"/>
      <c r="U3202" s="10"/>
      <c r="V3202" s="10"/>
    </row>
    <row r="3203" ht="22.5" customHeight="1">
      <c r="A3203" s="5">
        <v>2.06197427879E11</v>
      </c>
      <c r="B3203" s="5" t="s">
        <v>3004</v>
      </c>
      <c r="C3203" s="5">
        <v>5551991484058</v>
      </c>
      <c r="D3203" s="5" t="s">
        <v>22</v>
      </c>
      <c r="E3203" s="5">
        <v>7.9360573E7</v>
      </c>
      <c r="F3203" s="5" t="s">
        <v>28</v>
      </c>
      <c r="G3203" s="5" t="s">
        <v>44</v>
      </c>
      <c r="H3203" s="5" t="s">
        <v>66</v>
      </c>
      <c r="I3203" s="6" t="s">
        <v>17</v>
      </c>
      <c r="J3203" s="7" t="s">
        <v>58</v>
      </c>
      <c r="K3203" s="11" t="s">
        <v>59</v>
      </c>
      <c r="L3203" s="8">
        <v>1.772925870218E12</v>
      </c>
      <c r="M3203" s="9"/>
      <c r="N3203" s="10"/>
      <c r="O3203" s="10"/>
      <c r="P3203" s="10"/>
      <c r="Q3203" s="10"/>
      <c r="R3203" s="10"/>
      <c r="S3203" s="10"/>
      <c r="T3203" s="10"/>
      <c r="U3203" s="10"/>
      <c r="V3203" s="10"/>
    </row>
    <row r="3204" ht="22.5" customHeight="1">
      <c r="A3204" s="5">
        <v>2.07775480087E11</v>
      </c>
      <c r="B3204" s="5" t="s">
        <v>3005</v>
      </c>
      <c r="C3204" s="5">
        <v>51912785741</v>
      </c>
      <c r="D3204" s="5" t="s">
        <v>13</v>
      </c>
      <c r="E3204" s="5">
        <v>8.7547393E7</v>
      </c>
      <c r="F3204" s="5" t="s">
        <v>14</v>
      </c>
      <c r="G3204" s="5" t="s">
        <v>15</v>
      </c>
      <c r="H3204" s="5" t="s">
        <v>24</v>
      </c>
      <c r="I3204" s="6" t="s">
        <v>17</v>
      </c>
      <c r="J3204" s="7" t="s">
        <v>18</v>
      </c>
      <c r="K3204" s="7" t="s">
        <v>19</v>
      </c>
      <c r="L3204" s="8">
        <v>1.772927527491E12</v>
      </c>
      <c r="M3204" s="9"/>
      <c r="N3204" s="10"/>
      <c r="O3204" s="10"/>
      <c r="P3204" s="10"/>
      <c r="Q3204" s="10"/>
      <c r="R3204" s="10"/>
      <c r="S3204" s="10"/>
      <c r="T3204" s="10"/>
      <c r="U3204" s="10"/>
      <c r="V3204" s="10"/>
    </row>
    <row r="3205" ht="22.5" customHeight="1">
      <c r="A3205" s="5">
        <v>2.07783475022E11</v>
      </c>
      <c r="B3205" s="5" t="s">
        <v>3006</v>
      </c>
      <c r="C3205" s="5">
        <v>51918274673</v>
      </c>
      <c r="D3205" s="5" t="s">
        <v>38</v>
      </c>
      <c r="E3205" s="5">
        <v>8.0566583E7</v>
      </c>
      <c r="F3205" s="5"/>
      <c r="G3205" s="5"/>
      <c r="H3205" s="5"/>
      <c r="I3205" s="6"/>
      <c r="J3205" s="7" t="s">
        <v>18</v>
      </c>
      <c r="K3205" s="7" t="s">
        <v>19</v>
      </c>
      <c r="L3205" s="8">
        <v>1.772928865447E12</v>
      </c>
      <c r="M3205" s="9"/>
      <c r="N3205" s="10"/>
      <c r="O3205" s="10"/>
      <c r="P3205" s="10"/>
      <c r="Q3205" s="10"/>
      <c r="R3205" s="10"/>
      <c r="S3205" s="10"/>
      <c r="T3205" s="10"/>
      <c r="U3205" s="10"/>
      <c r="V3205" s="10"/>
    </row>
    <row r="3206" ht="22.5" customHeight="1">
      <c r="A3206" s="5">
        <v>2.06845258675E11</v>
      </c>
      <c r="B3206" s="5" t="s">
        <v>3007</v>
      </c>
      <c r="C3206" s="5">
        <v>51965012887</v>
      </c>
      <c r="D3206" s="5" t="s">
        <v>38</v>
      </c>
      <c r="E3206" s="5">
        <v>8.0566583E7</v>
      </c>
      <c r="F3206" s="5"/>
      <c r="G3206" s="5"/>
      <c r="H3206" s="5"/>
      <c r="I3206" s="6"/>
      <c r="J3206" s="7" t="s">
        <v>25</v>
      </c>
      <c r="K3206" s="7"/>
      <c r="L3206" s="8">
        <v>1.772929239591E12</v>
      </c>
      <c r="M3206" s="9"/>
      <c r="N3206" s="10"/>
      <c r="O3206" s="10"/>
      <c r="P3206" s="10"/>
      <c r="Q3206" s="10"/>
      <c r="R3206" s="10"/>
      <c r="S3206" s="10"/>
      <c r="T3206" s="10"/>
      <c r="U3206" s="10"/>
      <c r="V3206" s="10"/>
    </row>
    <row r="3207" ht="22.5" customHeight="1">
      <c r="A3207" s="5">
        <v>2.07777846792E11</v>
      </c>
      <c r="B3207" s="5" t="s">
        <v>3008</v>
      </c>
      <c r="C3207" s="5">
        <v>51999901838</v>
      </c>
      <c r="D3207" s="5" t="s">
        <v>13</v>
      </c>
      <c r="E3207" s="5">
        <v>8.7547393E7</v>
      </c>
      <c r="F3207" s="5" t="s">
        <v>28</v>
      </c>
      <c r="G3207" s="5" t="s">
        <v>15</v>
      </c>
      <c r="H3207" s="5" t="s">
        <v>24</v>
      </c>
      <c r="I3207" s="6" t="s">
        <v>17</v>
      </c>
      <c r="J3207" s="7" t="s">
        <v>18</v>
      </c>
      <c r="K3207" s="7" t="s">
        <v>19</v>
      </c>
      <c r="L3207" s="8">
        <v>1.772929495519E12</v>
      </c>
      <c r="M3207" s="9"/>
      <c r="N3207" s="10"/>
      <c r="O3207" s="10"/>
      <c r="P3207" s="10"/>
      <c r="Q3207" s="10"/>
      <c r="R3207" s="10"/>
      <c r="S3207" s="10"/>
      <c r="T3207" s="10"/>
      <c r="U3207" s="10"/>
      <c r="V3207" s="10"/>
    </row>
    <row r="3208" ht="22.5" customHeight="1">
      <c r="A3208" s="5">
        <v>2.07780503697E11</v>
      </c>
      <c r="B3208" s="5" t="s">
        <v>3009</v>
      </c>
      <c r="C3208" s="5">
        <v>51937010381</v>
      </c>
      <c r="D3208" s="5" t="s">
        <v>13</v>
      </c>
      <c r="E3208" s="5">
        <v>8.0566583E7</v>
      </c>
      <c r="F3208" s="5" t="s">
        <v>39</v>
      </c>
      <c r="G3208" s="5" t="s">
        <v>15</v>
      </c>
      <c r="H3208" s="5" t="s">
        <v>33</v>
      </c>
      <c r="I3208" s="6" t="s">
        <v>17</v>
      </c>
      <c r="J3208" s="7" t="s">
        <v>18</v>
      </c>
      <c r="K3208" s="7" t="s">
        <v>19</v>
      </c>
      <c r="L3208" s="8">
        <v>1.772931271053E12</v>
      </c>
      <c r="M3208" s="9"/>
      <c r="N3208" s="10"/>
      <c r="O3208" s="10"/>
      <c r="P3208" s="10"/>
      <c r="Q3208" s="10"/>
      <c r="R3208" s="10"/>
      <c r="S3208" s="10"/>
      <c r="T3208" s="10"/>
      <c r="U3208" s="10"/>
      <c r="V3208" s="10"/>
    </row>
    <row r="3209" ht="22.5" customHeight="1">
      <c r="A3209" s="5">
        <v>2.07787332192E11</v>
      </c>
      <c r="B3209" s="5" t="s">
        <v>3010</v>
      </c>
      <c r="C3209" s="5">
        <v>51912531511</v>
      </c>
      <c r="D3209" s="5" t="s">
        <v>38</v>
      </c>
      <c r="E3209" s="5">
        <v>8.0566583E7</v>
      </c>
      <c r="F3209" s="5"/>
      <c r="G3209" s="5"/>
      <c r="H3209" s="5"/>
      <c r="I3209" s="6"/>
      <c r="J3209" s="7" t="s">
        <v>34</v>
      </c>
      <c r="K3209" s="7"/>
      <c r="L3209" s="8">
        <v>1.772934279576E12</v>
      </c>
      <c r="M3209" s="9"/>
      <c r="N3209" s="10"/>
      <c r="O3209" s="10"/>
      <c r="P3209" s="10"/>
      <c r="Q3209" s="10"/>
      <c r="R3209" s="10"/>
      <c r="S3209" s="10"/>
      <c r="T3209" s="10"/>
      <c r="U3209" s="10"/>
      <c r="V3209" s="10"/>
    </row>
    <row r="3210" ht="22.5" customHeight="1">
      <c r="A3210" s="5">
        <v>2.07787788452E11</v>
      </c>
      <c r="B3210" s="5" t="s">
        <v>3011</v>
      </c>
      <c r="C3210" s="5">
        <v>51940356485</v>
      </c>
      <c r="D3210" s="5" t="s">
        <v>38</v>
      </c>
      <c r="E3210" s="5">
        <v>8.0566583E7</v>
      </c>
      <c r="F3210" s="5"/>
      <c r="G3210" s="5"/>
      <c r="H3210" s="5"/>
      <c r="I3210" s="6"/>
      <c r="J3210" s="7" t="s">
        <v>18</v>
      </c>
      <c r="K3210" s="7" t="s">
        <v>19</v>
      </c>
      <c r="L3210" s="8">
        <v>1.772935205284E12</v>
      </c>
      <c r="M3210" s="9"/>
      <c r="N3210" s="10"/>
      <c r="O3210" s="10"/>
      <c r="P3210" s="10"/>
      <c r="Q3210" s="10"/>
      <c r="R3210" s="10"/>
      <c r="S3210" s="10"/>
      <c r="T3210" s="10"/>
      <c r="U3210" s="10"/>
      <c r="V3210" s="10"/>
    </row>
    <row r="3211" ht="22.5" customHeight="1">
      <c r="A3211" s="5">
        <v>2.07787258696E11</v>
      </c>
      <c r="B3211" s="5" t="s">
        <v>3012</v>
      </c>
      <c r="C3211" s="5">
        <v>5569992366159</v>
      </c>
      <c r="D3211" s="5" t="s">
        <v>13</v>
      </c>
      <c r="E3211" s="5">
        <v>7.9360573E7</v>
      </c>
      <c r="F3211" s="5" t="s">
        <v>28</v>
      </c>
      <c r="G3211" s="5" t="s">
        <v>15</v>
      </c>
      <c r="H3211" s="5" t="s">
        <v>100</v>
      </c>
      <c r="I3211" s="6" t="s">
        <v>17</v>
      </c>
      <c r="J3211" s="7" t="s">
        <v>124</v>
      </c>
      <c r="K3211" s="7" t="s">
        <v>1256</v>
      </c>
      <c r="L3211" s="8">
        <v>1.772936948383E12</v>
      </c>
      <c r="M3211" s="9"/>
      <c r="N3211" s="10"/>
      <c r="O3211" s="10"/>
      <c r="P3211" s="10"/>
      <c r="Q3211" s="10"/>
      <c r="R3211" s="10"/>
      <c r="S3211" s="10"/>
      <c r="T3211" s="10"/>
      <c r="U3211" s="10"/>
      <c r="V3211" s="10"/>
    </row>
    <row r="3212" ht="22.5" customHeight="1">
      <c r="A3212" s="5">
        <v>2.07790184204E11</v>
      </c>
      <c r="B3212" s="5" t="s">
        <v>3013</v>
      </c>
      <c r="C3212" s="5">
        <v>51906689540</v>
      </c>
      <c r="D3212" s="5" t="s">
        <v>38</v>
      </c>
      <c r="E3212" s="5">
        <v>8.7547393E7</v>
      </c>
      <c r="F3212" s="5"/>
      <c r="G3212" s="5"/>
      <c r="H3212" s="5"/>
      <c r="I3212" s="6"/>
      <c r="J3212" s="7" t="s">
        <v>18</v>
      </c>
      <c r="K3212" s="7" t="s">
        <v>19</v>
      </c>
      <c r="L3212" s="8">
        <v>1.772937090048E12</v>
      </c>
      <c r="M3212" s="9"/>
      <c r="N3212" s="10"/>
      <c r="O3212" s="10"/>
      <c r="P3212" s="10"/>
      <c r="Q3212" s="10"/>
      <c r="R3212" s="10"/>
      <c r="S3212" s="10"/>
      <c r="T3212" s="10"/>
      <c r="U3212" s="10"/>
      <c r="V3212" s="10"/>
    </row>
    <row r="3213" ht="22.5" customHeight="1">
      <c r="A3213" s="5">
        <v>2.07794235523E11</v>
      </c>
      <c r="B3213" s="5" t="s">
        <v>3014</v>
      </c>
      <c r="C3213" s="5">
        <v>5551989062996</v>
      </c>
      <c r="D3213" s="5" t="s">
        <v>13</v>
      </c>
      <c r="E3213" s="5">
        <v>7.9360573E7</v>
      </c>
      <c r="F3213" s="5" t="s">
        <v>259</v>
      </c>
      <c r="G3213" s="5" t="s">
        <v>15</v>
      </c>
      <c r="H3213" s="5" t="s">
        <v>253</v>
      </c>
      <c r="I3213" s="6" t="s">
        <v>17</v>
      </c>
      <c r="J3213" s="7" t="s">
        <v>34</v>
      </c>
      <c r="K3213" s="7"/>
      <c r="L3213" s="8">
        <v>1.772937423632E12</v>
      </c>
      <c r="M3213" s="9"/>
      <c r="N3213" s="10"/>
      <c r="O3213" s="10"/>
      <c r="P3213" s="10"/>
      <c r="Q3213" s="10"/>
      <c r="R3213" s="10"/>
      <c r="S3213" s="10"/>
      <c r="T3213" s="10"/>
      <c r="U3213" s="10"/>
      <c r="V3213" s="10"/>
    </row>
    <row r="3214" ht="22.5" customHeight="1">
      <c r="A3214" s="5">
        <v>2.07792913189E11</v>
      </c>
      <c r="B3214" s="5" t="s">
        <v>3015</v>
      </c>
      <c r="C3214" s="5">
        <v>51920020159</v>
      </c>
      <c r="D3214" s="5" t="s">
        <v>13</v>
      </c>
      <c r="E3214" s="5">
        <v>8.7547393E7</v>
      </c>
      <c r="F3214" s="5" t="s">
        <v>28</v>
      </c>
      <c r="G3214" s="5" t="s">
        <v>15</v>
      </c>
      <c r="H3214" s="5" t="s">
        <v>16</v>
      </c>
      <c r="I3214" s="6" t="s">
        <v>63</v>
      </c>
      <c r="J3214" s="7" t="s">
        <v>18</v>
      </c>
      <c r="K3214" s="7" t="s">
        <v>19</v>
      </c>
      <c r="L3214" s="8">
        <v>1.772938208896E12</v>
      </c>
      <c r="M3214" s="9"/>
      <c r="N3214" s="10"/>
      <c r="O3214" s="10"/>
      <c r="P3214" s="10"/>
      <c r="Q3214" s="10"/>
      <c r="R3214" s="10"/>
      <c r="S3214" s="10"/>
      <c r="T3214" s="10"/>
      <c r="U3214" s="10"/>
      <c r="V3214" s="10"/>
    </row>
    <row r="3215" ht="22.5" customHeight="1">
      <c r="A3215" s="5">
        <v>2.07794001451E11</v>
      </c>
      <c r="B3215" s="5" t="s">
        <v>3016</v>
      </c>
      <c r="C3215" s="5">
        <v>51941232403</v>
      </c>
      <c r="D3215" s="5" t="s">
        <v>38</v>
      </c>
      <c r="E3215" s="5">
        <v>8.7547393E7</v>
      </c>
      <c r="F3215" s="5"/>
      <c r="G3215" s="5"/>
      <c r="H3215" s="5"/>
      <c r="I3215" s="6"/>
      <c r="J3215" s="7" t="s">
        <v>25</v>
      </c>
      <c r="K3215" s="7" t="s">
        <v>501</v>
      </c>
      <c r="L3215" s="8">
        <v>1.772938242039E12</v>
      </c>
      <c r="M3215" s="9"/>
      <c r="N3215" s="10"/>
      <c r="O3215" s="10"/>
      <c r="P3215" s="10"/>
      <c r="Q3215" s="10"/>
      <c r="R3215" s="10"/>
      <c r="S3215" s="10"/>
      <c r="T3215" s="10"/>
      <c r="U3215" s="10"/>
      <c r="V3215" s="10"/>
    </row>
    <row r="3216" ht="22.5" customHeight="1">
      <c r="A3216" s="5">
        <v>2.07559017002E11</v>
      </c>
      <c r="B3216" s="5" t="s">
        <v>3017</v>
      </c>
      <c r="C3216" s="5">
        <v>5512997028352</v>
      </c>
      <c r="D3216" s="5" t="s">
        <v>13</v>
      </c>
      <c r="E3216" s="5">
        <v>7.9360573E7</v>
      </c>
      <c r="F3216" s="5" t="s">
        <v>259</v>
      </c>
      <c r="G3216" s="5" t="s">
        <v>15</v>
      </c>
      <c r="H3216" s="5" t="s">
        <v>16</v>
      </c>
      <c r="I3216" s="6" t="s">
        <v>17</v>
      </c>
      <c r="J3216" s="7" t="s">
        <v>34</v>
      </c>
      <c r="K3216" s="7"/>
      <c r="L3216" s="8">
        <v>1.772940812134E12</v>
      </c>
      <c r="M3216" s="9"/>
      <c r="N3216" s="10"/>
      <c r="O3216" s="10"/>
      <c r="P3216" s="10"/>
      <c r="Q3216" s="10"/>
      <c r="R3216" s="10"/>
      <c r="S3216" s="10"/>
      <c r="T3216" s="10"/>
      <c r="U3216" s="10"/>
      <c r="V3216" s="10"/>
    </row>
    <row r="3217" ht="22.5" customHeight="1">
      <c r="A3217" s="5">
        <v>2.07792113743E11</v>
      </c>
      <c r="B3217" s="5" t="s">
        <v>3018</v>
      </c>
      <c r="C3217" s="5">
        <v>5541998170416</v>
      </c>
      <c r="D3217" s="5" t="s">
        <v>13</v>
      </c>
      <c r="E3217" s="5">
        <v>7.9360573E7</v>
      </c>
      <c r="F3217" s="5" t="s">
        <v>259</v>
      </c>
      <c r="G3217" s="5" t="s">
        <v>32</v>
      </c>
      <c r="H3217" s="5" t="s">
        <v>29</v>
      </c>
      <c r="I3217" s="6" t="s">
        <v>17</v>
      </c>
      <c r="J3217" s="7" t="s">
        <v>34</v>
      </c>
      <c r="K3217" s="7"/>
      <c r="L3217" s="8">
        <v>1.772941433789E12</v>
      </c>
      <c r="M3217" s="9"/>
      <c r="N3217" s="10"/>
      <c r="O3217" s="10"/>
      <c r="P3217" s="10"/>
      <c r="Q3217" s="10"/>
      <c r="R3217" s="10"/>
      <c r="S3217" s="10"/>
      <c r="T3217" s="10"/>
      <c r="U3217" s="10"/>
      <c r="V3217" s="10"/>
    </row>
    <row r="3218" ht="22.5" customHeight="1">
      <c r="A3218" s="5">
        <v>2.07741558877E11</v>
      </c>
      <c r="B3218" s="5" t="s">
        <v>2994</v>
      </c>
      <c r="C3218" s="5">
        <v>51971813108</v>
      </c>
      <c r="D3218" s="5" t="s">
        <v>13</v>
      </c>
      <c r="E3218" s="5">
        <v>8.7547393E7</v>
      </c>
      <c r="F3218" s="5" t="s">
        <v>14</v>
      </c>
      <c r="G3218" s="5" t="s">
        <v>15</v>
      </c>
      <c r="H3218" s="5" t="s">
        <v>33</v>
      </c>
      <c r="I3218" s="6" t="s">
        <v>17</v>
      </c>
      <c r="J3218" s="7" t="s">
        <v>34</v>
      </c>
      <c r="K3218" s="7"/>
      <c r="L3218" s="8">
        <v>1.772942067625E12</v>
      </c>
      <c r="M3218" s="9"/>
      <c r="N3218" s="10"/>
      <c r="O3218" s="10"/>
      <c r="P3218" s="10"/>
      <c r="Q3218" s="10"/>
      <c r="R3218" s="10"/>
      <c r="S3218" s="10"/>
      <c r="T3218" s="10"/>
      <c r="U3218" s="10"/>
      <c r="V3218" s="10"/>
    </row>
    <row r="3219" ht="22.5" customHeight="1">
      <c r="A3219" s="5">
        <v>2.07794887805E11</v>
      </c>
      <c r="B3219" s="5" t="s">
        <v>3019</v>
      </c>
      <c r="C3219" s="5">
        <v>51906147948</v>
      </c>
      <c r="D3219" s="5" t="s">
        <v>13</v>
      </c>
      <c r="E3219" s="5">
        <v>8.7547393E7</v>
      </c>
      <c r="F3219" s="5" t="s">
        <v>259</v>
      </c>
      <c r="G3219" s="5" t="s">
        <v>15</v>
      </c>
      <c r="H3219" s="5" t="s">
        <v>16</v>
      </c>
      <c r="I3219" s="6" t="s">
        <v>17</v>
      </c>
      <c r="J3219" s="7" t="s">
        <v>18</v>
      </c>
      <c r="K3219" s="7" t="s">
        <v>19</v>
      </c>
      <c r="L3219" s="8">
        <v>1.772942440544E12</v>
      </c>
      <c r="M3219" s="9"/>
      <c r="N3219" s="10"/>
      <c r="O3219" s="10"/>
      <c r="P3219" s="10"/>
      <c r="Q3219" s="10"/>
      <c r="R3219" s="10"/>
      <c r="S3219" s="10"/>
      <c r="T3219" s="10"/>
      <c r="U3219" s="10"/>
      <c r="V3219" s="10"/>
    </row>
    <row r="3220" ht="22.5" customHeight="1">
      <c r="A3220" s="5">
        <v>2.07796866127E11</v>
      </c>
      <c r="B3220" s="5" t="s">
        <v>3020</v>
      </c>
      <c r="C3220" s="5">
        <v>5598991920419</v>
      </c>
      <c r="D3220" s="5" t="s">
        <v>103</v>
      </c>
      <c r="E3220" s="5">
        <v>7.9360573E7</v>
      </c>
      <c r="F3220" s="5" t="s">
        <v>42</v>
      </c>
      <c r="G3220" s="5" t="s">
        <v>79</v>
      </c>
      <c r="H3220" s="5" t="s">
        <v>114</v>
      </c>
      <c r="I3220" s="6" t="s">
        <v>36</v>
      </c>
      <c r="J3220" s="7" t="s">
        <v>34</v>
      </c>
      <c r="K3220" s="7"/>
      <c r="L3220" s="8">
        <v>1.772942769154E12</v>
      </c>
      <c r="M3220" s="9"/>
      <c r="N3220" s="10"/>
      <c r="O3220" s="10"/>
      <c r="P3220" s="10"/>
      <c r="Q3220" s="10"/>
      <c r="R3220" s="10"/>
      <c r="S3220" s="10"/>
      <c r="T3220" s="10"/>
      <c r="U3220" s="10"/>
      <c r="V3220" s="10"/>
    </row>
    <row r="3221" ht="22.5" customHeight="1">
      <c r="A3221" s="5">
        <v>2.07798589504E11</v>
      </c>
      <c r="B3221" s="5" t="s">
        <v>3021</v>
      </c>
      <c r="C3221" s="5">
        <v>51935250756</v>
      </c>
      <c r="D3221" s="5" t="s">
        <v>13</v>
      </c>
      <c r="E3221" s="5">
        <v>8.0566583E7</v>
      </c>
      <c r="F3221" s="5" t="s">
        <v>259</v>
      </c>
      <c r="G3221" s="5" t="s">
        <v>15</v>
      </c>
      <c r="H3221" s="5" t="s">
        <v>51</v>
      </c>
      <c r="I3221" s="6" t="s">
        <v>17</v>
      </c>
      <c r="J3221" s="7" t="s">
        <v>18</v>
      </c>
      <c r="K3221" s="7" t="s">
        <v>19</v>
      </c>
      <c r="L3221" s="8">
        <v>1.772943744296E12</v>
      </c>
      <c r="M3221" s="9"/>
      <c r="N3221" s="10"/>
      <c r="O3221" s="10"/>
      <c r="P3221" s="10"/>
      <c r="Q3221" s="10"/>
      <c r="R3221" s="10"/>
      <c r="S3221" s="10"/>
      <c r="T3221" s="10"/>
      <c r="U3221" s="10"/>
      <c r="V3221" s="10"/>
    </row>
    <row r="3222" ht="22.5" customHeight="1">
      <c r="A3222" s="5">
        <v>2.07802707037E11</v>
      </c>
      <c r="B3222" s="5" t="s">
        <v>3022</v>
      </c>
      <c r="C3222" s="5">
        <v>51937687547</v>
      </c>
      <c r="D3222" s="5" t="s">
        <v>13</v>
      </c>
      <c r="E3222" s="5">
        <v>8.7547393E7</v>
      </c>
      <c r="F3222" s="5" t="s">
        <v>28</v>
      </c>
      <c r="G3222" s="5" t="s">
        <v>15</v>
      </c>
      <c r="H3222" s="5" t="s">
        <v>51</v>
      </c>
      <c r="I3222" s="6" t="s">
        <v>17</v>
      </c>
      <c r="J3222" s="7" t="s">
        <v>18</v>
      </c>
      <c r="K3222" s="7" t="s">
        <v>19</v>
      </c>
      <c r="L3222" s="8">
        <v>1.77294378854E12</v>
      </c>
      <c r="M3222" s="9"/>
      <c r="N3222" s="10"/>
      <c r="O3222" s="10"/>
      <c r="P3222" s="10"/>
      <c r="Q3222" s="10"/>
      <c r="R3222" s="10"/>
      <c r="S3222" s="10"/>
      <c r="T3222" s="10"/>
      <c r="U3222" s="10"/>
      <c r="V3222" s="10"/>
    </row>
    <row r="3223" ht="22.5" customHeight="1">
      <c r="A3223" s="5">
        <v>2.07804336293E11</v>
      </c>
      <c r="B3223" s="5" t="s">
        <v>3023</v>
      </c>
      <c r="C3223" s="5">
        <v>51946874111</v>
      </c>
      <c r="D3223" s="5" t="s">
        <v>13</v>
      </c>
      <c r="E3223" s="5">
        <v>8.0566583E7</v>
      </c>
      <c r="F3223" s="5" t="s">
        <v>28</v>
      </c>
      <c r="G3223" s="5" t="s">
        <v>15</v>
      </c>
      <c r="H3223" s="5" t="s">
        <v>51</v>
      </c>
      <c r="I3223" s="6" t="s">
        <v>17</v>
      </c>
      <c r="J3223" s="7" t="s">
        <v>18</v>
      </c>
      <c r="K3223" s="7" t="s">
        <v>19</v>
      </c>
      <c r="L3223" s="8">
        <v>1.772944421992E12</v>
      </c>
      <c r="M3223" s="9"/>
      <c r="N3223" s="10"/>
      <c r="O3223" s="10"/>
      <c r="P3223" s="10"/>
      <c r="Q3223" s="10"/>
      <c r="R3223" s="10"/>
      <c r="S3223" s="10"/>
      <c r="T3223" s="10"/>
      <c r="U3223" s="10"/>
      <c r="V3223" s="10"/>
    </row>
    <row r="3224" ht="22.5" customHeight="1">
      <c r="A3224" s="5">
        <v>1.94835554929E11</v>
      </c>
      <c r="B3224" s="5" t="s">
        <v>3024</v>
      </c>
      <c r="C3224" s="5">
        <v>51981403511</v>
      </c>
      <c r="D3224" s="5" t="s">
        <v>13</v>
      </c>
      <c r="E3224" s="5">
        <v>8.7547393E7</v>
      </c>
      <c r="F3224" s="5" t="s">
        <v>28</v>
      </c>
      <c r="G3224" s="5" t="s">
        <v>15</v>
      </c>
      <c r="H3224" s="5" t="s">
        <v>51</v>
      </c>
      <c r="I3224" s="6" t="s">
        <v>36</v>
      </c>
      <c r="J3224" s="7" t="s">
        <v>18</v>
      </c>
      <c r="K3224" s="7" t="s">
        <v>116</v>
      </c>
      <c r="L3224" s="8">
        <v>1.772944519164E12</v>
      </c>
      <c r="M3224" s="9"/>
      <c r="N3224" s="10"/>
      <c r="O3224" s="10"/>
      <c r="P3224" s="10"/>
      <c r="Q3224" s="10"/>
      <c r="R3224" s="10"/>
      <c r="S3224" s="10"/>
      <c r="T3224" s="10"/>
      <c r="U3224" s="10"/>
      <c r="V3224" s="10"/>
    </row>
    <row r="3225" ht="22.5" customHeight="1">
      <c r="A3225" s="5">
        <v>2.07796928158E11</v>
      </c>
      <c r="B3225" s="5" t="s">
        <v>3025</v>
      </c>
      <c r="C3225" s="5">
        <v>51987711505</v>
      </c>
      <c r="D3225" s="5" t="s">
        <v>38</v>
      </c>
      <c r="E3225" s="5">
        <v>8.0566583E7</v>
      </c>
      <c r="F3225" s="5"/>
      <c r="G3225" s="5"/>
      <c r="H3225" s="5"/>
      <c r="I3225" s="6"/>
      <c r="J3225" s="7" t="s">
        <v>18</v>
      </c>
      <c r="K3225" s="7" t="s">
        <v>19</v>
      </c>
      <c r="L3225" s="8">
        <v>1.772944737141E12</v>
      </c>
      <c r="M3225" s="9"/>
      <c r="N3225" s="10"/>
      <c r="O3225" s="10"/>
      <c r="P3225" s="10"/>
      <c r="Q3225" s="10"/>
      <c r="R3225" s="10"/>
      <c r="S3225" s="10"/>
      <c r="T3225" s="10"/>
      <c r="U3225" s="10"/>
      <c r="V3225" s="10"/>
    </row>
    <row r="3226" ht="22.5" customHeight="1">
      <c r="A3226" s="5">
        <v>2.07797087811E11</v>
      </c>
      <c r="B3226" s="5" t="s">
        <v>3026</v>
      </c>
      <c r="C3226" s="5">
        <v>5511939522463</v>
      </c>
      <c r="D3226" s="5" t="s">
        <v>13</v>
      </c>
      <c r="E3226" s="5">
        <v>7.9360573E7</v>
      </c>
      <c r="F3226" s="5" t="s">
        <v>93</v>
      </c>
      <c r="G3226" s="5" t="s">
        <v>15</v>
      </c>
      <c r="H3226" s="5" t="s">
        <v>16</v>
      </c>
      <c r="I3226" s="6" t="s">
        <v>17</v>
      </c>
      <c r="J3226" s="7" t="s">
        <v>34</v>
      </c>
      <c r="K3226" s="7"/>
      <c r="L3226" s="8">
        <v>1.772944824358E12</v>
      </c>
      <c r="M3226" s="9"/>
      <c r="N3226" s="10"/>
      <c r="O3226" s="10"/>
      <c r="P3226" s="10"/>
      <c r="Q3226" s="10"/>
      <c r="R3226" s="10"/>
      <c r="S3226" s="10"/>
      <c r="T3226" s="10"/>
      <c r="U3226" s="10"/>
      <c r="V3226" s="10"/>
    </row>
    <row r="3227" ht="22.5" customHeight="1">
      <c r="A3227" s="5">
        <v>2.07799858261E11</v>
      </c>
      <c r="B3227" s="5" t="s">
        <v>3027</v>
      </c>
      <c r="C3227" s="5">
        <v>51902047457</v>
      </c>
      <c r="D3227" s="5" t="s">
        <v>13</v>
      </c>
      <c r="E3227" s="5">
        <v>8.7547393E7</v>
      </c>
      <c r="F3227" s="5" t="s">
        <v>259</v>
      </c>
      <c r="G3227" s="5" t="s">
        <v>32</v>
      </c>
      <c r="H3227" s="5" t="s">
        <v>114</v>
      </c>
      <c r="I3227" s="6" t="s">
        <v>17</v>
      </c>
      <c r="J3227" s="7" t="s">
        <v>18</v>
      </c>
      <c r="K3227" s="7" t="s">
        <v>19</v>
      </c>
      <c r="L3227" s="8">
        <v>1.772944945051E12</v>
      </c>
      <c r="M3227" s="9"/>
      <c r="N3227" s="10"/>
      <c r="O3227" s="10"/>
      <c r="P3227" s="10"/>
      <c r="Q3227" s="10"/>
      <c r="R3227" s="10"/>
      <c r="S3227" s="10"/>
      <c r="T3227" s="10"/>
      <c r="U3227" s="10"/>
      <c r="V3227" s="10"/>
    </row>
    <row r="3228" ht="22.5" customHeight="1">
      <c r="A3228" s="5">
        <v>2.06622781999E11</v>
      </c>
      <c r="B3228" s="5" t="s">
        <v>3028</v>
      </c>
      <c r="C3228" s="5">
        <v>51965146175</v>
      </c>
      <c r="D3228" s="5" t="s">
        <v>13</v>
      </c>
      <c r="E3228" s="5">
        <v>8.7547393E7</v>
      </c>
      <c r="F3228" s="5" t="s">
        <v>65</v>
      </c>
      <c r="G3228" s="5" t="s">
        <v>15</v>
      </c>
      <c r="H3228" s="5" t="s">
        <v>51</v>
      </c>
      <c r="I3228" s="6" t="s">
        <v>17</v>
      </c>
      <c r="J3228" s="7" t="s">
        <v>18</v>
      </c>
      <c r="K3228" s="7" t="s">
        <v>2930</v>
      </c>
      <c r="L3228" s="8">
        <v>1.772945694221E12</v>
      </c>
      <c r="M3228" s="9"/>
      <c r="N3228" s="10"/>
      <c r="O3228" s="10"/>
      <c r="P3228" s="10"/>
      <c r="Q3228" s="10"/>
      <c r="R3228" s="10"/>
      <c r="S3228" s="10"/>
      <c r="T3228" s="10"/>
      <c r="U3228" s="10"/>
      <c r="V3228" s="10"/>
    </row>
    <row r="3229" ht="22.5" customHeight="1">
      <c r="A3229" s="5">
        <v>2.07805109682E11</v>
      </c>
      <c r="B3229" s="5" t="s">
        <v>3029</v>
      </c>
      <c r="C3229" s="5">
        <v>51901297510</v>
      </c>
      <c r="D3229" s="5" t="s">
        <v>13</v>
      </c>
      <c r="E3229" s="5">
        <v>8.0566583E7</v>
      </c>
      <c r="F3229" s="5" t="s">
        <v>39</v>
      </c>
      <c r="G3229" s="5" t="s">
        <v>15</v>
      </c>
      <c r="H3229" s="5" t="s">
        <v>51</v>
      </c>
      <c r="I3229" s="6" t="s">
        <v>17</v>
      </c>
      <c r="J3229" s="7" t="s">
        <v>18</v>
      </c>
      <c r="K3229" s="7" t="s">
        <v>2930</v>
      </c>
      <c r="L3229" s="8">
        <v>1.772945822668E12</v>
      </c>
      <c r="M3229" s="9"/>
      <c r="N3229" s="10"/>
      <c r="O3229" s="10"/>
      <c r="P3229" s="10"/>
      <c r="Q3229" s="10"/>
      <c r="R3229" s="10"/>
      <c r="S3229" s="10"/>
      <c r="T3229" s="10"/>
      <c r="U3229" s="10"/>
      <c r="V3229" s="10"/>
    </row>
    <row r="3230" ht="22.5" customHeight="1">
      <c r="A3230" s="5">
        <v>2.078001763E11</v>
      </c>
      <c r="B3230" s="5" t="s">
        <v>3030</v>
      </c>
      <c r="C3230" s="5">
        <v>51918928937</v>
      </c>
      <c r="D3230" s="5" t="s">
        <v>38</v>
      </c>
      <c r="E3230" s="5">
        <v>8.7547393E7</v>
      </c>
      <c r="F3230" s="5" t="s">
        <v>259</v>
      </c>
      <c r="G3230" s="5" t="s">
        <v>15</v>
      </c>
      <c r="H3230" s="5" t="s">
        <v>16</v>
      </c>
      <c r="I3230" s="6" t="s">
        <v>17</v>
      </c>
      <c r="J3230" s="7" t="s">
        <v>34</v>
      </c>
      <c r="K3230" s="7"/>
      <c r="L3230" s="8">
        <v>1.772946614172E12</v>
      </c>
      <c r="M3230" s="9"/>
      <c r="N3230" s="10"/>
      <c r="O3230" s="10"/>
      <c r="P3230" s="10"/>
      <c r="Q3230" s="10"/>
      <c r="R3230" s="10"/>
      <c r="S3230" s="10"/>
      <c r="T3230" s="10"/>
      <c r="U3230" s="10"/>
      <c r="V3230" s="10"/>
    </row>
    <row r="3231" ht="22.5" customHeight="1">
      <c r="A3231" s="5">
        <v>2.07811063105E11</v>
      </c>
      <c r="B3231" s="5" t="s">
        <v>3031</v>
      </c>
      <c r="C3231" s="5">
        <v>51981457252</v>
      </c>
      <c r="D3231" s="5" t="s">
        <v>13</v>
      </c>
      <c r="E3231" s="5">
        <v>8.0566583E7</v>
      </c>
      <c r="F3231" s="5"/>
      <c r="G3231" s="5"/>
      <c r="H3231" s="5" t="s">
        <v>66</v>
      </c>
      <c r="I3231" s="6" t="s">
        <v>17</v>
      </c>
      <c r="J3231" s="7" t="s">
        <v>18</v>
      </c>
      <c r="K3231" s="7" t="s">
        <v>19</v>
      </c>
      <c r="L3231" s="8">
        <v>1.772949484981E12</v>
      </c>
      <c r="M3231" s="9"/>
      <c r="N3231" s="10"/>
      <c r="O3231" s="10"/>
      <c r="P3231" s="10"/>
      <c r="Q3231" s="10"/>
      <c r="R3231" s="10"/>
      <c r="S3231" s="10"/>
      <c r="T3231" s="10"/>
      <c r="U3231" s="10"/>
      <c r="V3231" s="10"/>
    </row>
    <row r="3232" ht="22.5" customHeight="1">
      <c r="A3232" s="5">
        <v>2.07808190306E11</v>
      </c>
      <c r="B3232" s="5" t="s">
        <v>3032</v>
      </c>
      <c r="C3232" s="5">
        <v>51946596222</v>
      </c>
      <c r="D3232" s="5" t="s">
        <v>13</v>
      </c>
      <c r="E3232" s="5">
        <v>8.0566583E7</v>
      </c>
      <c r="F3232" s="5" t="s">
        <v>28</v>
      </c>
      <c r="G3232" s="5" t="s">
        <v>15</v>
      </c>
      <c r="H3232" s="5" t="s">
        <v>51</v>
      </c>
      <c r="I3232" s="6" t="s">
        <v>17</v>
      </c>
      <c r="J3232" s="7" t="s">
        <v>18</v>
      </c>
      <c r="K3232" s="7" t="s">
        <v>19</v>
      </c>
      <c r="L3232" s="8">
        <v>1.772949998191E12</v>
      </c>
      <c r="M3232" s="9"/>
      <c r="N3232" s="10"/>
      <c r="O3232" s="10"/>
      <c r="P3232" s="10"/>
      <c r="Q3232" s="10"/>
      <c r="R3232" s="10"/>
      <c r="S3232" s="10"/>
      <c r="T3232" s="10"/>
      <c r="U3232" s="10"/>
      <c r="V3232" s="10"/>
    </row>
    <row r="3233" ht="22.5" customHeight="1">
      <c r="A3233" s="5">
        <v>2.07809094559E11</v>
      </c>
      <c r="B3233" s="5" t="s">
        <v>3033</v>
      </c>
      <c r="C3233" s="5">
        <v>5521987759090</v>
      </c>
      <c r="D3233" s="5" t="s">
        <v>13</v>
      </c>
      <c r="E3233" s="5">
        <v>7.9360573E7</v>
      </c>
      <c r="F3233" s="5" t="s">
        <v>28</v>
      </c>
      <c r="G3233" s="5" t="s">
        <v>15</v>
      </c>
      <c r="H3233" s="5" t="s">
        <v>51</v>
      </c>
      <c r="I3233" s="6" t="s">
        <v>17</v>
      </c>
      <c r="J3233" s="7" t="s">
        <v>124</v>
      </c>
      <c r="K3233" s="7" t="s">
        <v>1256</v>
      </c>
      <c r="L3233" s="8">
        <v>1.7729508828E12</v>
      </c>
      <c r="M3233" s="9"/>
      <c r="N3233" s="10"/>
      <c r="O3233" s="10"/>
      <c r="P3233" s="10"/>
      <c r="Q3233" s="10"/>
      <c r="R3233" s="10"/>
      <c r="S3233" s="10"/>
      <c r="T3233" s="10"/>
      <c r="U3233" s="10"/>
      <c r="V3233" s="10"/>
    </row>
    <row r="3234" ht="22.5" customHeight="1">
      <c r="A3234" s="5">
        <v>2.07807027599E11</v>
      </c>
      <c r="B3234" s="5" t="s">
        <v>3034</v>
      </c>
      <c r="C3234" s="5">
        <v>51970429081</v>
      </c>
      <c r="D3234" s="5" t="s">
        <v>13</v>
      </c>
      <c r="E3234" s="5">
        <v>8.7547393E7</v>
      </c>
      <c r="F3234" s="5" t="s">
        <v>93</v>
      </c>
      <c r="G3234" s="5" t="s">
        <v>15</v>
      </c>
      <c r="H3234" s="5" t="s">
        <v>51</v>
      </c>
      <c r="I3234" s="6" t="s">
        <v>17</v>
      </c>
      <c r="J3234" s="7" t="s">
        <v>18</v>
      </c>
      <c r="K3234" s="7" t="s">
        <v>19</v>
      </c>
      <c r="L3234" s="8">
        <v>1.772950927579E12</v>
      </c>
      <c r="M3234" s="9"/>
      <c r="N3234" s="10"/>
      <c r="O3234" s="10"/>
      <c r="P3234" s="10"/>
      <c r="Q3234" s="10"/>
      <c r="R3234" s="10"/>
      <c r="S3234" s="10"/>
      <c r="T3234" s="10"/>
      <c r="U3234" s="10"/>
      <c r="V3234" s="10"/>
    </row>
    <row r="3235" ht="22.5" customHeight="1">
      <c r="A3235" s="5">
        <v>2.07147399751E11</v>
      </c>
      <c r="B3235" s="5" t="s">
        <v>3035</v>
      </c>
      <c r="C3235" s="5">
        <v>5531975476632</v>
      </c>
      <c r="D3235" s="5" t="s">
        <v>13</v>
      </c>
      <c r="E3235" s="5">
        <v>7.9360573E7</v>
      </c>
      <c r="F3235" s="5" t="s">
        <v>93</v>
      </c>
      <c r="G3235" s="5" t="s">
        <v>15</v>
      </c>
      <c r="H3235" s="5" t="s">
        <v>51</v>
      </c>
      <c r="I3235" s="6" t="s">
        <v>17</v>
      </c>
      <c r="J3235" s="7" t="s">
        <v>124</v>
      </c>
      <c r="K3235" s="7" t="s">
        <v>1256</v>
      </c>
      <c r="L3235" s="8">
        <v>1.772952651042E12</v>
      </c>
      <c r="M3235" s="9"/>
      <c r="N3235" s="10"/>
      <c r="O3235" s="10"/>
      <c r="P3235" s="10"/>
      <c r="Q3235" s="10"/>
      <c r="R3235" s="10"/>
      <c r="S3235" s="10"/>
      <c r="T3235" s="10"/>
      <c r="U3235" s="10"/>
      <c r="V3235" s="10"/>
    </row>
    <row r="3236" ht="22.5" customHeight="1">
      <c r="A3236" s="5">
        <v>2.07814733115E11</v>
      </c>
      <c r="B3236" s="5" t="s">
        <v>3036</v>
      </c>
      <c r="C3236" s="5">
        <v>51945334233</v>
      </c>
      <c r="D3236" s="5" t="s">
        <v>13</v>
      </c>
      <c r="E3236" s="5">
        <v>8.7547393E7</v>
      </c>
      <c r="F3236" s="5" t="s">
        <v>65</v>
      </c>
      <c r="G3236" s="5" t="s">
        <v>15</v>
      </c>
      <c r="H3236" s="5" t="s">
        <v>51</v>
      </c>
      <c r="I3236" s="6" t="s">
        <v>17</v>
      </c>
      <c r="J3236" s="7" t="s">
        <v>34</v>
      </c>
      <c r="K3236" s="7"/>
      <c r="L3236" s="8">
        <v>1.772953471852E12</v>
      </c>
      <c r="M3236" s="9"/>
      <c r="N3236" s="10"/>
      <c r="O3236" s="10"/>
      <c r="P3236" s="10"/>
      <c r="Q3236" s="10"/>
      <c r="R3236" s="10"/>
      <c r="S3236" s="10"/>
      <c r="T3236" s="10"/>
      <c r="U3236" s="10"/>
      <c r="V3236" s="10"/>
    </row>
    <row r="3237" ht="22.5" customHeight="1">
      <c r="A3237" s="5">
        <v>2.07821736804E11</v>
      </c>
      <c r="B3237" s="5" t="s">
        <v>3037</v>
      </c>
      <c r="C3237" s="5">
        <v>51979147608</v>
      </c>
      <c r="D3237" s="5" t="s">
        <v>13</v>
      </c>
      <c r="E3237" s="5">
        <v>8.7547393E7</v>
      </c>
      <c r="F3237" s="5" t="s">
        <v>28</v>
      </c>
      <c r="G3237" s="5" t="s">
        <v>15</v>
      </c>
      <c r="H3237" s="5" t="s">
        <v>188</v>
      </c>
      <c r="I3237" s="6" t="s">
        <v>17</v>
      </c>
      <c r="J3237" s="7" t="s">
        <v>18</v>
      </c>
      <c r="K3237" s="7" t="s">
        <v>19</v>
      </c>
      <c r="L3237" s="8">
        <v>1.772954981563E12</v>
      </c>
      <c r="M3237" s="9"/>
      <c r="N3237" s="10"/>
      <c r="O3237" s="10"/>
      <c r="P3237" s="10"/>
      <c r="Q3237" s="10"/>
      <c r="R3237" s="10"/>
      <c r="S3237" s="10"/>
      <c r="T3237" s="10"/>
      <c r="U3237" s="10"/>
      <c r="V3237" s="10"/>
    </row>
    <row r="3238" ht="22.5" customHeight="1">
      <c r="A3238" s="5">
        <v>2.07818613086E11</v>
      </c>
      <c r="B3238" s="5" t="s">
        <v>3038</v>
      </c>
      <c r="C3238" s="5">
        <v>51917937071</v>
      </c>
      <c r="D3238" s="5" t="s">
        <v>13</v>
      </c>
      <c r="E3238" s="5">
        <v>8.0566583E7</v>
      </c>
      <c r="F3238" s="5" t="s">
        <v>28</v>
      </c>
      <c r="G3238" s="5" t="s">
        <v>15</v>
      </c>
      <c r="H3238" s="5" t="s">
        <v>51</v>
      </c>
      <c r="I3238" s="6" t="s">
        <v>17</v>
      </c>
      <c r="J3238" s="7" t="s">
        <v>18</v>
      </c>
      <c r="K3238" s="7" t="s">
        <v>19</v>
      </c>
      <c r="L3238" s="8">
        <v>1.772955796736E12</v>
      </c>
      <c r="M3238" s="9"/>
      <c r="N3238" s="10"/>
      <c r="O3238" s="10"/>
      <c r="P3238" s="10"/>
      <c r="Q3238" s="10"/>
      <c r="R3238" s="10"/>
      <c r="S3238" s="10"/>
      <c r="T3238" s="10"/>
      <c r="U3238" s="10"/>
      <c r="V3238" s="10"/>
    </row>
    <row r="3239" ht="22.5" customHeight="1">
      <c r="A3239" s="5">
        <v>2.07825292104E11</v>
      </c>
      <c r="B3239" s="5" t="s">
        <v>3039</v>
      </c>
      <c r="C3239" s="5">
        <v>5537999367351</v>
      </c>
      <c r="D3239" s="5" t="s">
        <v>13</v>
      </c>
      <c r="E3239" s="5">
        <v>7.9360573E7</v>
      </c>
      <c r="F3239" s="5" t="s">
        <v>28</v>
      </c>
      <c r="G3239" s="5" t="s">
        <v>44</v>
      </c>
      <c r="H3239" s="5" t="s">
        <v>24</v>
      </c>
      <c r="I3239" s="6" t="s">
        <v>17</v>
      </c>
      <c r="J3239" s="7" t="s">
        <v>34</v>
      </c>
      <c r="K3239" s="7"/>
      <c r="L3239" s="8">
        <v>1.772959003062E12</v>
      </c>
      <c r="M3239" s="9"/>
      <c r="N3239" s="10"/>
      <c r="O3239" s="10"/>
      <c r="P3239" s="10"/>
      <c r="Q3239" s="10"/>
      <c r="R3239" s="10"/>
      <c r="S3239" s="10"/>
      <c r="T3239" s="10"/>
      <c r="U3239" s="10"/>
      <c r="V3239" s="10"/>
    </row>
    <row r="3240" ht="22.5" customHeight="1">
      <c r="A3240" s="5">
        <v>2.07841814808E11</v>
      </c>
      <c r="B3240" s="5" t="s">
        <v>3040</v>
      </c>
      <c r="C3240" s="5">
        <v>5511970456320</v>
      </c>
      <c r="D3240" s="5" t="s">
        <v>13</v>
      </c>
      <c r="E3240" s="5">
        <v>7.9360573E7</v>
      </c>
      <c r="F3240" s="5" t="s">
        <v>28</v>
      </c>
      <c r="G3240" s="5" t="s">
        <v>32</v>
      </c>
      <c r="H3240" s="5" t="s">
        <v>16</v>
      </c>
      <c r="I3240" s="6" t="s">
        <v>17</v>
      </c>
      <c r="J3240" s="7" t="s">
        <v>34</v>
      </c>
      <c r="K3240" s="7"/>
      <c r="L3240" s="8">
        <v>1.772968005342E12</v>
      </c>
      <c r="M3240" s="9"/>
      <c r="N3240" s="10"/>
      <c r="O3240" s="10"/>
      <c r="P3240" s="10"/>
      <c r="Q3240" s="10"/>
      <c r="R3240" s="10"/>
      <c r="S3240" s="10"/>
      <c r="T3240" s="10"/>
      <c r="U3240" s="10"/>
      <c r="V3240" s="10"/>
    </row>
    <row r="3241" ht="22.5" customHeight="1">
      <c r="A3241" s="5">
        <v>2.04369292871E11</v>
      </c>
      <c r="B3241" s="5" t="s">
        <v>3041</v>
      </c>
      <c r="C3241" s="5">
        <v>51979142191</v>
      </c>
      <c r="D3241" s="5" t="s">
        <v>38</v>
      </c>
      <c r="E3241" s="5">
        <v>8.0566583E7</v>
      </c>
      <c r="F3241" s="5" t="s">
        <v>14</v>
      </c>
      <c r="G3241" s="5" t="s">
        <v>44</v>
      </c>
      <c r="H3241" s="5" t="s">
        <v>100</v>
      </c>
      <c r="I3241" s="6" t="s">
        <v>17</v>
      </c>
      <c r="J3241" s="7" t="s">
        <v>18</v>
      </c>
      <c r="K3241" s="7" t="s">
        <v>19</v>
      </c>
      <c r="L3241" s="8">
        <v>1.772969001099E12</v>
      </c>
      <c r="M3241" s="9"/>
      <c r="N3241" s="10"/>
      <c r="O3241" s="10"/>
      <c r="P3241" s="10"/>
      <c r="Q3241" s="10"/>
      <c r="R3241" s="10"/>
      <c r="S3241" s="10"/>
      <c r="T3241" s="10"/>
      <c r="U3241" s="10"/>
      <c r="V3241" s="10"/>
    </row>
    <row r="3242" ht="22.5" customHeight="1">
      <c r="A3242" s="5">
        <v>2.078442773E11</v>
      </c>
      <c r="B3242" s="5" t="s">
        <v>3042</v>
      </c>
      <c r="C3242" s="5">
        <v>51981633317</v>
      </c>
      <c r="D3242" s="5" t="s">
        <v>13</v>
      </c>
      <c r="E3242" s="5">
        <v>8.0566583E7</v>
      </c>
      <c r="F3242" s="5" t="s">
        <v>39</v>
      </c>
      <c r="G3242" s="5" t="s">
        <v>32</v>
      </c>
      <c r="H3242" s="5" t="s">
        <v>66</v>
      </c>
      <c r="I3242" s="6" t="s">
        <v>17</v>
      </c>
      <c r="J3242" s="7" t="s">
        <v>18</v>
      </c>
      <c r="K3242" s="7" t="s">
        <v>19</v>
      </c>
      <c r="L3242" s="8">
        <v>1.772969516574E12</v>
      </c>
      <c r="M3242" s="9"/>
      <c r="N3242" s="10"/>
      <c r="O3242" s="10"/>
      <c r="P3242" s="10"/>
      <c r="Q3242" s="10"/>
      <c r="R3242" s="10"/>
      <c r="S3242" s="10"/>
      <c r="T3242" s="10"/>
      <c r="U3242" s="10"/>
      <c r="V3242" s="10"/>
    </row>
    <row r="3243" ht="22.5" customHeight="1">
      <c r="A3243" s="5">
        <v>2.07844867428E11</v>
      </c>
      <c r="B3243" s="5" t="s">
        <v>3043</v>
      </c>
      <c r="C3243" s="5">
        <v>51921784951</v>
      </c>
      <c r="D3243" s="5" t="s">
        <v>38</v>
      </c>
      <c r="E3243" s="5">
        <v>8.7547393E7</v>
      </c>
      <c r="F3243" s="5"/>
      <c r="G3243" s="5"/>
      <c r="H3243" s="5"/>
      <c r="I3243" s="6"/>
      <c r="J3243" s="7" t="s">
        <v>18</v>
      </c>
      <c r="K3243" s="7" t="s">
        <v>19</v>
      </c>
      <c r="L3243" s="8">
        <v>1.772971016475E12</v>
      </c>
      <c r="M3243" s="9"/>
      <c r="N3243" s="10"/>
      <c r="O3243" s="10"/>
      <c r="P3243" s="10"/>
      <c r="Q3243" s="10"/>
      <c r="R3243" s="10"/>
      <c r="S3243" s="10"/>
      <c r="T3243" s="10"/>
      <c r="U3243" s="10"/>
      <c r="V3243" s="10"/>
    </row>
    <row r="3244" ht="22.5" customHeight="1">
      <c r="A3244" s="5">
        <v>2.0784511877E11</v>
      </c>
      <c r="B3244" s="5" t="s">
        <v>3044</v>
      </c>
      <c r="C3244" s="5">
        <v>51993684016</v>
      </c>
      <c r="D3244" s="5" t="s">
        <v>13</v>
      </c>
      <c r="E3244" s="5">
        <v>8.0566583E7</v>
      </c>
      <c r="F3244" s="5" t="s">
        <v>259</v>
      </c>
      <c r="G3244" s="5" t="s">
        <v>15</v>
      </c>
      <c r="H3244" s="5" t="s">
        <v>24</v>
      </c>
      <c r="I3244" s="6" t="s">
        <v>17</v>
      </c>
      <c r="J3244" s="7" t="s">
        <v>18</v>
      </c>
      <c r="K3244" s="7" t="s">
        <v>19</v>
      </c>
      <c r="L3244" s="8">
        <v>1.772972584672E12</v>
      </c>
      <c r="M3244" s="9"/>
      <c r="N3244" s="10"/>
      <c r="O3244" s="10"/>
      <c r="P3244" s="10"/>
      <c r="Q3244" s="10"/>
      <c r="R3244" s="10"/>
      <c r="S3244" s="10"/>
      <c r="T3244" s="10"/>
      <c r="U3244" s="10"/>
      <c r="V3244" s="10"/>
    </row>
    <row r="3245" ht="22.5" customHeight="1">
      <c r="A3245" s="5">
        <v>2.07850883678E11</v>
      </c>
      <c r="B3245" s="5" t="s">
        <v>3045</v>
      </c>
      <c r="C3245" s="5">
        <v>5514998608433</v>
      </c>
      <c r="D3245" s="5" t="s">
        <v>13</v>
      </c>
      <c r="E3245" s="5">
        <v>7.9360573E7</v>
      </c>
      <c r="F3245" s="5" t="s">
        <v>65</v>
      </c>
      <c r="G3245" s="5" t="s">
        <v>15</v>
      </c>
      <c r="H3245" s="5" t="s">
        <v>66</v>
      </c>
      <c r="I3245" s="6" t="s">
        <v>17</v>
      </c>
      <c r="J3245" s="7" t="s">
        <v>124</v>
      </c>
      <c r="K3245" s="7" t="s">
        <v>1256</v>
      </c>
      <c r="L3245" s="8">
        <v>1.772973247181E12</v>
      </c>
      <c r="M3245" s="9"/>
      <c r="N3245" s="10"/>
      <c r="O3245" s="10"/>
      <c r="P3245" s="10"/>
      <c r="Q3245" s="10"/>
      <c r="R3245" s="10"/>
      <c r="S3245" s="10"/>
      <c r="T3245" s="10"/>
      <c r="U3245" s="10"/>
      <c r="V3245" s="10"/>
    </row>
    <row r="3246" ht="22.5" customHeight="1">
      <c r="A3246" s="5">
        <v>2.07851208027E11</v>
      </c>
      <c r="B3246" s="5" t="s">
        <v>3046</v>
      </c>
      <c r="C3246" s="5">
        <v>51956446342</v>
      </c>
      <c r="D3246" s="5" t="s">
        <v>13</v>
      </c>
      <c r="E3246" s="5">
        <v>8.0566583E7</v>
      </c>
      <c r="F3246" s="5" t="s">
        <v>39</v>
      </c>
      <c r="G3246" s="5" t="s">
        <v>15</v>
      </c>
      <c r="H3246" s="5" t="s">
        <v>24</v>
      </c>
      <c r="I3246" s="6" t="s">
        <v>17</v>
      </c>
      <c r="J3246" s="7" t="s">
        <v>18</v>
      </c>
      <c r="K3246" s="7" t="s">
        <v>19</v>
      </c>
      <c r="L3246" s="8">
        <v>1.77297361813E12</v>
      </c>
      <c r="M3246" s="9"/>
      <c r="N3246" s="10"/>
      <c r="O3246" s="10"/>
      <c r="P3246" s="10"/>
      <c r="Q3246" s="10"/>
      <c r="R3246" s="10"/>
      <c r="S3246" s="10"/>
      <c r="T3246" s="10"/>
      <c r="U3246" s="10"/>
      <c r="V3246" s="10"/>
    </row>
    <row r="3247" ht="22.5" customHeight="1">
      <c r="A3247" s="5">
        <v>2.07855121585E11</v>
      </c>
      <c r="B3247" s="5" t="s">
        <v>3047</v>
      </c>
      <c r="C3247" s="5">
        <v>51928311876</v>
      </c>
      <c r="D3247" s="5" t="s">
        <v>38</v>
      </c>
      <c r="E3247" s="5">
        <v>8.7547393E7</v>
      </c>
      <c r="F3247" s="5"/>
      <c r="G3247" s="5"/>
      <c r="H3247" s="5"/>
      <c r="I3247" s="6"/>
      <c r="J3247" s="7" t="s">
        <v>18</v>
      </c>
      <c r="K3247" s="7" t="s">
        <v>19</v>
      </c>
      <c r="L3247" s="8">
        <v>1.772974246721E12</v>
      </c>
      <c r="M3247" s="9"/>
      <c r="N3247" s="10"/>
      <c r="O3247" s="10"/>
      <c r="P3247" s="10"/>
      <c r="Q3247" s="10"/>
      <c r="R3247" s="10"/>
      <c r="S3247" s="10"/>
      <c r="T3247" s="10"/>
      <c r="U3247" s="10"/>
      <c r="V3247" s="10"/>
    </row>
    <row r="3248" ht="22.5" customHeight="1">
      <c r="A3248" s="5">
        <v>2.07849856902E11</v>
      </c>
      <c r="B3248" s="5" t="s">
        <v>3048</v>
      </c>
      <c r="C3248" s="5">
        <v>51994828116</v>
      </c>
      <c r="D3248" s="5" t="s">
        <v>13</v>
      </c>
      <c r="E3248" s="5">
        <v>8.7547393E7</v>
      </c>
      <c r="F3248" s="5" t="s">
        <v>259</v>
      </c>
      <c r="G3248" s="5" t="s">
        <v>15</v>
      </c>
      <c r="H3248" s="5" t="s">
        <v>51</v>
      </c>
      <c r="I3248" s="6" t="s">
        <v>36</v>
      </c>
      <c r="J3248" s="7" t="s">
        <v>18</v>
      </c>
      <c r="K3248" s="7" t="s">
        <v>19</v>
      </c>
      <c r="L3248" s="8">
        <v>1.772974460575E12</v>
      </c>
      <c r="M3248" s="9"/>
      <c r="N3248" s="10"/>
      <c r="O3248" s="10"/>
      <c r="P3248" s="10"/>
      <c r="Q3248" s="10"/>
      <c r="R3248" s="10"/>
      <c r="S3248" s="10"/>
      <c r="T3248" s="10"/>
      <c r="U3248" s="10"/>
      <c r="V3248" s="10"/>
    </row>
    <row r="3249" ht="22.5" customHeight="1">
      <c r="A3249" s="5">
        <v>2.07855751572E11</v>
      </c>
      <c r="B3249" s="5" t="s">
        <v>3049</v>
      </c>
      <c r="C3249" s="5">
        <v>51951393590</v>
      </c>
      <c r="D3249" s="5" t="s">
        <v>13</v>
      </c>
      <c r="E3249" s="5">
        <v>8.0566583E7</v>
      </c>
      <c r="F3249" s="5" t="s">
        <v>39</v>
      </c>
      <c r="G3249" s="5" t="s">
        <v>15</v>
      </c>
      <c r="H3249" s="5" t="s">
        <v>24</v>
      </c>
      <c r="I3249" s="6" t="s">
        <v>36</v>
      </c>
      <c r="J3249" s="7" t="s">
        <v>18</v>
      </c>
      <c r="K3249" s="7" t="s">
        <v>19</v>
      </c>
      <c r="L3249" s="8">
        <v>1.772975053742E12</v>
      </c>
      <c r="M3249" s="9"/>
      <c r="N3249" s="10"/>
      <c r="O3249" s="10"/>
      <c r="P3249" s="10"/>
      <c r="Q3249" s="10"/>
      <c r="R3249" s="10"/>
      <c r="S3249" s="10"/>
      <c r="T3249" s="10"/>
      <c r="U3249" s="10"/>
      <c r="V3249" s="10"/>
    </row>
    <row r="3250" ht="22.5" customHeight="1">
      <c r="A3250" s="5">
        <v>2.07857168664E11</v>
      </c>
      <c r="B3250" s="5" t="s">
        <v>3050</v>
      </c>
      <c r="C3250" s="5">
        <v>51951736215</v>
      </c>
      <c r="D3250" s="5" t="s">
        <v>13</v>
      </c>
      <c r="E3250" s="5">
        <v>8.0566583E7</v>
      </c>
      <c r="F3250" s="5" t="s">
        <v>39</v>
      </c>
      <c r="G3250" s="5" t="s">
        <v>15</v>
      </c>
      <c r="H3250" s="5" t="s">
        <v>858</v>
      </c>
      <c r="I3250" s="6" t="s">
        <v>17</v>
      </c>
      <c r="J3250" s="7" t="s">
        <v>34</v>
      </c>
      <c r="K3250" s="7"/>
      <c r="L3250" s="8">
        <v>1.772976463708E12</v>
      </c>
      <c r="M3250" s="9"/>
      <c r="N3250" s="10"/>
      <c r="O3250" s="10"/>
      <c r="P3250" s="10"/>
      <c r="Q3250" s="10"/>
      <c r="R3250" s="10"/>
      <c r="S3250" s="10"/>
      <c r="T3250" s="10"/>
      <c r="U3250" s="10"/>
      <c r="V3250" s="10"/>
    </row>
    <row r="3251" ht="22.5" customHeight="1">
      <c r="A3251" s="5">
        <v>2.07856780288E11</v>
      </c>
      <c r="B3251" s="5" t="s">
        <v>3051</v>
      </c>
      <c r="C3251" s="5">
        <v>51961891498</v>
      </c>
      <c r="D3251" s="5" t="s">
        <v>13</v>
      </c>
      <c r="E3251" s="5">
        <v>8.7547393E7</v>
      </c>
      <c r="F3251" s="5" t="s">
        <v>28</v>
      </c>
      <c r="G3251" s="5" t="s">
        <v>15</v>
      </c>
      <c r="H3251" s="5" t="s">
        <v>66</v>
      </c>
      <c r="I3251" s="6" t="s">
        <v>17</v>
      </c>
      <c r="J3251" s="7" t="s">
        <v>18</v>
      </c>
      <c r="K3251" s="7" t="s">
        <v>19</v>
      </c>
      <c r="L3251" s="8">
        <v>1.772977153948E12</v>
      </c>
      <c r="M3251" s="9"/>
      <c r="N3251" s="10"/>
      <c r="O3251" s="10"/>
      <c r="P3251" s="10"/>
      <c r="Q3251" s="10"/>
      <c r="R3251" s="10"/>
      <c r="S3251" s="10"/>
      <c r="T3251" s="10"/>
      <c r="U3251" s="10"/>
      <c r="V3251" s="10"/>
    </row>
    <row r="3252" ht="22.5" customHeight="1">
      <c r="A3252" s="5">
        <v>2.07866183329E11</v>
      </c>
      <c r="B3252" s="5" t="s">
        <v>3052</v>
      </c>
      <c r="C3252" s="5">
        <v>51935485745</v>
      </c>
      <c r="D3252" s="5" t="s">
        <v>38</v>
      </c>
      <c r="E3252" s="5">
        <v>8.0566583E7</v>
      </c>
      <c r="F3252" s="5" t="s">
        <v>28</v>
      </c>
      <c r="G3252" s="5" t="s">
        <v>15</v>
      </c>
      <c r="H3252" s="5" t="s">
        <v>51</v>
      </c>
      <c r="I3252" s="6" t="s">
        <v>63</v>
      </c>
      <c r="J3252" s="7" t="s">
        <v>18</v>
      </c>
      <c r="K3252" s="7" t="s">
        <v>19</v>
      </c>
      <c r="L3252" s="8">
        <v>1.772978958872E12</v>
      </c>
      <c r="M3252" s="9"/>
      <c r="N3252" s="10"/>
      <c r="O3252" s="10"/>
      <c r="P3252" s="10"/>
      <c r="Q3252" s="10"/>
      <c r="R3252" s="10"/>
      <c r="S3252" s="10"/>
      <c r="T3252" s="10"/>
      <c r="U3252" s="10"/>
      <c r="V3252" s="10"/>
    </row>
    <row r="3253" ht="22.5" customHeight="1">
      <c r="A3253" s="5">
        <v>2.07861587765E11</v>
      </c>
      <c r="B3253" s="5" t="s">
        <v>3053</v>
      </c>
      <c r="C3253" s="5">
        <v>51932545074</v>
      </c>
      <c r="D3253" s="5" t="s">
        <v>103</v>
      </c>
      <c r="E3253" s="5">
        <v>8.0566583E7</v>
      </c>
      <c r="F3253" s="5" t="s">
        <v>93</v>
      </c>
      <c r="G3253" s="5" t="s">
        <v>44</v>
      </c>
      <c r="H3253" s="5" t="s">
        <v>16</v>
      </c>
      <c r="I3253" s="6" t="s">
        <v>17</v>
      </c>
      <c r="J3253" s="7" t="s">
        <v>34</v>
      </c>
      <c r="K3253" s="7"/>
      <c r="L3253" s="8">
        <v>1.772979249121E12</v>
      </c>
      <c r="M3253" s="9"/>
      <c r="N3253" s="10"/>
      <c r="O3253" s="10"/>
      <c r="P3253" s="10"/>
      <c r="Q3253" s="10"/>
      <c r="R3253" s="10"/>
      <c r="S3253" s="10"/>
      <c r="T3253" s="10"/>
      <c r="U3253" s="10"/>
      <c r="V3253" s="10"/>
    </row>
    <row r="3254" ht="22.5" customHeight="1">
      <c r="A3254" s="5">
        <v>2.07867070267E11</v>
      </c>
      <c r="B3254" s="5" t="s">
        <v>3054</v>
      </c>
      <c r="C3254" s="5">
        <v>51960694271</v>
      </c>
      <c r="D3254" s="5" t="s">
        <v>13</v>
      </c>
      <c r="E3254" s="5">
        <v>8.7547393E7</v>
      </c>
      <c r="F3254" s="5" t="s">
        <v>28</v>
      </c>
      <c r="G3254" s="5" t="s">
        <v>32</v>
      </c>
      <c r="H3254" s="5" t="s">
        <v>33</v>
      </c>
      <c r="I3254" s="6"/>
      <c r="J3254" s="7" t="s">
        <v>18</v>
      </c>
      <c r="K3254" s="7" t="s">
        <v>19</v>
      </c>
      <c r="L3254" s="8">
        <v>1.772979722737E12</v>
      </c>
      <c r="M3254" s="9"/>
      <c r="N3254" s="10"/>
      <c r="O3254" s="10"/>
      <c r="P3254" s="10"/>
      <c r="Q3254" s="10"/>
      <c r="R3254" s="10"/>
      <c r="S3254" s="10"/>
      <c r="T3254" s="10"/>
      <c r="U3254" s="10"/>
      <c r="V3254" s="10"/>
    </row>
    <row r="3255" ht="22.5" customHeight="1">
      <c r="A3255" s="5">
        <v>2.07867325806E11</v>
      </c>
      <c r="B3255" s="5" t="s">
        <v>3055</v>
      </c>
      <c r="C3255" s="5">
        <v>51966277521</v>
      </c>
      <c r="D3255" s="5" t="s">
        <v>22</v>
      </c>
      <c r="E3255" s="5">
        <v>8.0566583E7</v>
      </c>
      <c r="F3255" s="5" t="s">
        <v>42</v>
      </c>
      <c r="G3255" s="5" t="s">
        <v>44</v>
      </c>
      <c r="H3255" s="5" t="s">
        <v>66</v>
      </c>
      <c r="I3255" s="6" t="s">
        <v>17</v>
      </c>
      <c r="J3255" s="7" t="s">
        <v>18</v>
      </c>
      <c r="K3255" s="7" t="s">
        <v>19</v>
      </c>
      <c r="L3255" s="8">
        <v>1.772980058507E12</v>
      </c>
      <c r="M3255" s="9"/>
      <c r="N3255" s="10"/>
      <c r="O3255" s="10"/>
      <c r="P3255" s="10"/>
      <c r="Q3255" s="10"/>
      <c r="R3255" s="10"/>
      <c r="S3255" s="10"/>
      <c r="T3255" s="10"/>
      <c r="U3255" s="10"/>
      <c r="V3255" s="10"/>
    </row>
    <row r="3256" ht="22.5" customHeight="1">
      <c r="A3256" s="5">
        <v>2.07862312523E11</v>
      </c>
      <c r="B3256" s="5" t="s">
        <v>3056</v>
      </c>
      <c r="C3256" s="5">
        <v>51976107398</v>
      </c>
      <c r="D3256" s="5" t="s">
        <v>13</v>
      </c>
      <c r="E3256" s="5">
        <v>8.7547393E7</v>
      </c>
      <c r="F3256" s="5" t="s">
        <v>14</v>
      </c>
      <c r="G3256" s="5" t="s">
        <v>15</v>
      </c>
      <c r="H3256" s="5" t="s">
        <v>51</v>
      </c>
      <c r="I3256" s="6" t="s">
        <v>17</v>
      </c>
      <c r="J3256" s="7" t="s">
        <v>18</v>
      </c>
      <c r="K3256" s="7" t="s">
        <v>19</v>
      </c>
      <c r="L3256" s="8">
        <v>1.772980314209E12</v>
      </c>
      <c r="M3256" s="9"/>
      <c r="N3256" s="10"/>
      <c r="O3256" s="10"/>
      <c r="P3256" s="10"/>
      <c r="Q3256" s="10"/>
      <c r="R3256" s="10"/>
      <c r="S3256" s="10"/>
      <c r="T3256" s="10"/>
      <c r="U3256" s="10"/>
      <c r="V3256" s="10"/>
    </row>
    <row r="3257" ht="22.5" customHeight="1">
      <c r="A3257" s="5">
        <v>2.07867644439E11</v>
      </c>
      <c r="B3257" s="5" t="s">
        <v>3057</v>
      </c>
      <c r="C3257" s="5">
        <v>5575999339488</v>
      </c>
      <c r="D3257" s="5" t="s">
        <v>13</v>
      </c>
      <c r="E3257" s="5">
        <v>7.9360573E7</v>
      </c>
      <c r="F3257" s="5" t="s">
        <v>510</v>
      </c>
      <c r="G3257" s="5" t="s">
        <v>15</v>
      </c>
      <c r="H3257" s="5" t="s">
        <v>16</v>
      </c>
      <c r="I3257" s="6" t="s">
        <v>17</v>
      </c>
      <c r="J3257" s="7" t="s">
        <v>34</v>
      </c>
      <c r="K3257" s="7"/>
      <c r="L3257" s="8">
        <v>1.772980825847E12</v>
      </c>
      <c r="M3257" s="9"/>
      <c r="N3257" s="10"/>
      <c r="O3257" s="10"/>
      <c r="P3257" s="10"/>
      <c r="Q3257" s="10"/>
      <c r="R3257" s="10"/>
      <c r="S3257" s="10"/>
      <c r="T3257" s="10"/>
      <c r="U3257" s="10"/>
      <c r="V3257" s="10"/>
    </row>
    <row r="3258" ht="22.5" customHeight="1">
      <c r="A3258" s="5">
        <v>2.0786298077E11</v>
      </c>
      <c r="B3258" s="5" t="s">
        <v>3058</v>
      </c>
      <c r="C3258" s="5">
        <v>5517997696856</v>
      </c>
      <c r="D3258" s="5" t="s">
        <v>22</v>
      </c>
      <c r="E3258" s="5">
        <v>7.9360573E7</v>
      </c>
      <c r="F3258" s="5" t="s">
        <v>14</v>
      </c>
      <c r="G3258" s="5" t="s">
        <v>44</v>
      </c>
      <c r="H3258" s="5" t="s">
        <v>114</v>
      </c>
      <c r="I3258" s="6" t="s">
        <v>17</v>
      </c>
      <c r="J3258" s="7" t="s">
        <v>34</v>
      </c>
      <c r="K3258" s="7"/>
      <c r="L3258" s="8">
        <v>1.772981133982E12</v>
      </c>
      <c r="M3258" s="9"/>
      <c r="N3258" s="10"/>
      <c r="O3258" s="10"/>
      <c r="P3258" s="10"/>
      <c r="Q3258" s="10"/>
      <c r="R3258" s="10"/>
      <c r="S3258" s="10"/>
      <c r="T3258" s="10"/>
      <c r="U3258" s="10"/>
      <c r="V3258" s="10"/>
    </row>
    <row r="3259" ht="22.5" customHeight="1">
      <c r="A3259" s="5">
        <v>2.07872941726E11</v>
      </c>
      <c r="B3259" s="5" t="s">
        <v>3059</v>
      </c>
      <c r="C3259" s="5">
        <v>51997113884</v>
      </c>
      <c r="D3259" s="5" t="s">
        <v>13</v>
      </c>
      <c r="E3259" s="5">
        <v>8.0566583E7</v>
      </c>
      <c r="F3259" s="5" t="s">
        <v>259</v>
      </c>
      <c r="G3259" s="5" t="s">
        <v>15</v>
      </c>
      <c r="H3259" s="5" t="s">
        <v>331</v>
      </c>
      <c r="I3259" s="6" t="s">
        <v>17</v>
      </c>
      <c r="J3259" s="7" t="s">
        <v>18</v>
      </c>
      <c r="K3259" s="7" t="s">
        <v>19</v>
      </c>
      <c r="L3259" s="8">
        <v>1.772981867347E12</v>
      </c>
      <c r="M3259" s="9"/>
      <c r="N3259" s="10"/>
      <c r="O3259" s="10"/>
      <c r="P3259" s="10"/>
      <c r="Q3259" s="10"/>
      <c r="R3259" s="10"/>
      <c r="S3259" s="10"/>
      <c r="T3259" s="10"/>
      <c r="U3259" s="10"/>
      <c r="V3259" s="10"/>
    </row>
    <row r="3260" ht="22.5" customHeight="1">
      <c r="A3260" s="5">
        <v>2.07872569114E11</v>
      </c>
      <c r="B3260" s="5" t="s">
        <v>3060</v>
      </c>
      <c r="C3260" s="5">
        <v>5534999606641</v>
      </c>
      <c r="D3260" s="5" t="s">
        <v>13</v>
      </c>
      <c r="E3260" s="5">
        <v>7.9360573E7</v>
      </c>
      <c r="F3260" s="5" t="s">
        <v>28</v>
      </c>
      <c r="G3260" s="5" t="s">
        <v>32</v>
      </c>
      <c r="H3260" s="5" t="s">
        <v>100</v>
      </c>
      <c r="I3260" s="6" t="s">
        <v>63</v>
      </c>
      <c r="J3260" s="7" t="s">
        <v>34</v>
      </c>
      <c r="K3260" s="7"/>
      <c r="L3260" s="8">
        <v>1.772982371909E12</v>
      </c>
      <c r="M3260" s="9"/>
      <c r="N3260" s="10"/>
      <c r="O3260" s="10"/>
      <c r="P3260" s="10"/>
      <c r="Q3260" s="10"/>
      <c r="R3260" s="10"/>
      <c r="S3260" s="10"/>
      <c r="T3260" s="10"/>
      <c r="U3260" s="10"/>
      <c r="V3260" s="10"/>
    </row>
    <row r="3261" ht="22.5" customHeight="1">
      <c r="A3261" s="5">
        <v>2.0787353351E11</v>
      </c>
      <c r="B3261" s="5" t="s">
        <v>3061</v>
      </c>
      <c r="C3261" s="5">
        <v>51982414822</v>
      </c>
      <c r="D3261" s="5" t="s">
        <v>13</v>
      </c>
      <c r="E3261" s="5">
        <v>8.0566583E7</v>
      </c>
      <c r="F3261" s="5" t="s">
        <v>28</v>
      </c>
      <c r="G3261" s="5" t="s">
        <v>15</v>
      </c>
      <c r="H3261" s="5" t="s">
        <v>66</v>
      </c>
      <c r="I3261" s="6" t="s">
        <v>17</v>
      </c>
      <c r="J3261" s="7" t="s">
        <v>124</v>
      </c>
      <c r="K3261" s="7" t="s">
        <v>1426</v>
      </c>
      <c r="L3261" s="8">
        <v>1.772982476227E12</v>
      </c>
      <c r="M3261" s="9"/>
      <c r="N3261" s="10"/>
      <c r="O3261" s="10"/>
      <c r="P3261" s="10"/>
      <c r="Q3261" s="10"/>
      <c r="R3261" s="10"/>
      <c r="S3261" s="10"/>
      <c r="T3261" s="10"/>
      <c r="U3261" s="10"/>
      <c r="V3261" s="10"/>
    </row>
    <row r="3262" ht="22.5" customHeight="1">
      <c r="A3262" s="5">
        <v>2.0787007644E11</v>
      </c>
      <c r="B3262" s="5" t="s">
        <v>3062</v>
      </c>
      <c r="C3262" s="5">
        <v>51964959772</v>
      </c>
      <c r="D3262" s="5" t="s">
        <v>13</v>
      </c>
      <c r="E3262" s="5">
        <v>8.7547393E7</v>
      </c>
      <c r="F3262" s="5" t="s">
        <v>28</v>
      </c>
      <c r="G3262" s="5" t="s">
        <v>15</v>
      </c>
      <c r="H3262" s="5" t="s">
        <v>807</v>
      </c>
      <c r="I3262" s="6" t="s">
        <v>17</v>
      </c>
      <c r="J3262" s="7" t="s">
        <v>18</v>
      </c>
      <c r="K3262" s="7" t="s">
        <v>19</v>
      </c>
      <c r="L3262" s="8">
        <v>1.772982576988E12</v>
      </c>
      <c r="M3262" s="9"/>
      <c r="N3262" s="10"/>
      <c r="O3262" s="10"/>
      <c r="P3262" s="10"/>
      <c r="Q3262" s="10"/>
      <c r="R3262" s="10"/>
      <c r="S3262" s="10"/>
      <c r="T3262" s="10"/>
      <c r="U3262" s="10"/>
      <c r="V3262" s="10"/>
    </row>
    <row r="3263" ht="22.5" customHeight="1">
      <c r="A3263" s="5">
        <v>1.54667965331E11</v>
      </c>
      <c r="B3263" s="5" t="s">
        <v>3063</v>
      </c>
      <c r="C3263" s="5">
        <v>51945224395</v>
      </c>
      <c r="D3263" s="5" t="s">
        <v>13</v>
      </c>
      <c r="E3263" s="5">
        <v>8.7547393E7</v>
      </c>
      <c r="F3263" s="5" t="s">
        <v>259</v>
      </c>
      <c r="G3263" s="5" t="s">
        <v>15</v>
      </c>
      <c r="H3263" s="5" t="s">
        <v>24</v>
      </c>
      <c r="I3263" s="6" t="s">
        <v>17</v>
      </c>
      <c r="J3263" s="7" t="s">
        <v>18</v>
      </c>
      <c r="K3263" s="7" t="s">
        <v>19</v>
      </c>
      <c r="L3263" s="8">
        <v>1.772982754534E12</v>
      </c>
      <c r="M3263" s="9"/>
      <c r="N3263" s="10"/>
      <c r="O3263" s="10"/>
      <c r="P3263" s="10"/>
      <c r="Q3263" s="10"/>
      <c r="R3263" s="10"/>
      <c r="S3263" s="10"/>
      <c r="T3263" s="10"/>
      <c r="U3263" s="10"/>
      <c r="V3263" s="10"/>
    </row>
    <row r="3264" ht="22.5" customHeight="1">
      <c r="A3264" s="5">
        <v>2.07873343499E11</v>
      </c>
      <c r="B3264" s="5" t="s">
        <v>3064</v>
      </c>
      <c r="C3264" s="5">
        <v>5535999819852</v>
      </c>
      <c r="D3264" s="5" t="s">
        <v>38</v>
      </c>
      <c r="E3264" s="5">
        <v>7.9360573E7</v>
      </c>
      <c r="F3264" s="5" t="s">
        <v>28</v>
      </c>
      <c r="G3264" s="5" t="s">
        <v>79</v>
      </c>
      <c r="H3264" s="5" t="s">
        <v>69</v>
      </c>
      <c r="I3264" s="6" t="s">
        <v>49</v>
      </c>
      <c r="J3264" s="7" t="s">
        <v>34</v>
      </c>
      <c r="K3264" s="7"/>
      <c r="L3264" s="8">
        <v>1.772983152172E12</v>
      </c>
      <c r="M3264" s="9"/>
      <c r="N3264" s="10"/>
      <c r="O3264" s="10"/>
      <c r="P3264" s="10"/>
      <c r="Q3264" s="10"/>
      <c r="R3264" s="10"/>
      <c r="S3264" s="10"/>
      <c r="T3264" s="10"/>
      <c r="U3264" s="10"/>
      <c r="V3264" s="10"/>
    </row>
    <row r="3265" ht="22.5" customHeight="1">
      <c r="A3265" s="5">
        <v>2.07870686117E11</v>
      </c>
      <c r="B3265" s="5" t="s">
        <v>3065</v>
      </c>
      <c r="C3265" s="5">
        <v>51944445038</v>
      </c>
      <c r="D3265" s="5" t="s">
        <v>13</v>
      </c>
      <c r="E3265" s="5">
        <v>8.0566583E7</v>
      </c>
      <c r="F3265" s="5" t="s">
        <v>42</v>
      </c>
      <c r="G3265" s="5" t="s">
        <v>15</v>
      </c>
      <c r="H3265" s="5" t="s">
        <v>51</v>
      </c>
      <c r="I3265" s="6" t="s">
        <v>17</v>
      </c>
      <c r="J3265" s="7" t="s">
        <v>58</v>
      </c>
      <c r="K3265" s="11" t="s">
        <v>59</v>
      </c>
      <c r="L3265" s="8">
        <v>1.772983156522E12</v>
      </c>
      <c r="M3265" s="9"/>
      <c r="N3265" s="10"/>
      <c r="O3265" s="10"/>
      <c r="P3265" s="10"/>
      <c r="Q3265" s="10"/>
      <c r="R3265" s="10"/>
      <c r="S3265" s="10"/>
      <c r="T3265" s="10"/>
      <c r="U3265" s="10"/>
      <c r="V3265" s="10"/>
    </row>
    <row r="3266" ht="22.5" customHeight="1">
      <c r="A3266" s="5">
        <v>2.07870121583E11</v>
      </c>
      <c r="B3266" s="5" t="s">
        <v>3066</v>
      </c>
      <c r="C3266" s="5">
        <v>51932678657</v>
      </c>
      <c r="D3266" s="5" t="s">
        <v>38</v>
      </c>
      <c r="E3266" s="5">
        <v>8.0566583E7</v>
      </c>
      <c r="F3266" s="5" t="s">
        <v>28</v>
      </c>
      <c r="G3266" s="5" t="s">
        <v>15</v>
      </c>
      <c r="H3266" s="5" t="s">
        <v>51</v>
      </c>
      <c r="I3266" s="6" t="s">
        <v>36</v>
      </c>
      <c r="J3266" s="7" t="s">
        <v>18</v>
      </c>
      <c r="K3266" s="7" t="s">
        <v>19</v>
      </c>
      <c r="L3266" s="8">
        <v>1.772983423998E12</v>
      </c>
      <c r="M3266" s="9"/>
      <c r="N3266" s="10"/>
      <c r="O3266" s="10"/>
      <c r="P3266" s="10"/>
      <c r="Q3266" s="10"/>
      <c r="R3266" s="10"/>
      <c r="S3266" s="10"/>
      <c r="T3266" s="10"/>
      <c r="U3266" s="10"/>
      <c r="V3266" s="10"/>
    </row>
    <row r="3267" ht="22.5" customHeight="1">
      <c r="A3267" s="5">
        <v>1.56189466706E11</v>
      </c>
      <c r="B3267" s="5" t="s">
        <v>3067</v>
      </c>
      <c r="C3267" s="5">
        <v>51968391004</v>
      </c>
      <c r="D3267" s="5" t="s">
        <v>13</v>
      </c>
      <c r="E3267" s="5">
        <v>8.0566583E7</v>
      </c>
      <c r="F3267" s="5" t="s">
        <v>259</v>
      </c>
      <c r="G3267" s="5" t="s">
        <v>15</v>
      </c>
      <c r="H3267" s="5" t="s">
        <v>66</v>
      </c>
      <c r="I3267" s="6" t="s">
        <v>17</v>
      </c>
      <c r="J3267" s="7" t="s">
        <v>18</v>
      </c>
      <c r="K3267" s="7" t="s">
        <v>116</v>
      </c>
      <c r="L3267" s="8">
        <v>1.772983425838E12</v>
      </c>
      <c r="M3267" s="9"/>
      <c r="N3267" s="10"/>
      <c r="O3267" s="10"/>
      <c r="P3267" s="10"/>
      <c r="Q3267" s="10"/>
      <c r="R3267" s="10"/>
      <c r="S3267" s="10"/>
      <c r="T3267" s="10"/>
      <c r="U3267" s="10"/>
      <c r="V3267" s="10"/>
    </row>
    <row r="3268" ht="22.5" customHeight="1">
      <c r="A3268" s="5">
        <v>2.07862262564E11</v>
      </c>
      <c r="B3268" s="5" t="s">
        <v>3068</v>
      </c>
      <c r="C3268" s="5">
        <v>51902898622</v>
      </c>
      <c r="D3268" s="5" t="s">
        <v>38</v>
      </c>
      <c r="E3268" s="5">
        <v>8.7547393E7</v>
      </c>
      <c r="F3268" s="5"/>
      <c r="G3268" s="5"/>
      <c r="H3268" s="5"/>
      <c r="I3268" s="6"/>
      <c r="J3268" s="7" t="s">
        <v>34</v>
      </c>
      <c r="K3268" s="7"/>
      <c r="L3268" s="8">
        <v>1.772983856901E12</v>
      </c>
      <c r="M3268" s="9"/>
      <c r="N3268" s="10"/>
      <c r="O3268" s="10"/>
      <c r="P3268" s="10"/>
      <c r="Q3268" s="10"/>
      <c r="R3268" s="10"/>
      <c r="S3268" s="10"/>
      <c r="T3268" s="10"/>
      <c r="U3268" s="10"/>
      <c r="V3268" s="10"/>
    </row>
    <row r="3269" ht="22.5" customHeight="1">
      <c r="A3269" s="5">
        <v>2.07874790449E11</v>
      </c>
      <c r="B3269" s="5" t="s">
        <v>3069</v>
      </c>
      <c r="C3269" s="5">
        <v>5564992682335</v>
      </c>
      <c r="D3269" s="5" t="s">
        <v>13</v>
      </c>
      <c r="E3269" s="5">
        <v>7.9360573E7</v>
      </c>
      <c r="F3269" s="5" t="s">
        <v>93</v>
      </c>
      <c r="G3269" s="5" t="s">
        <v>15</v>
      </c>
      <c r="H3269" s="5" t="s">
        <v>66</v>
      </c>
      <c r="I3269" s="6" t="s">
        <v>17</v>
      </c>
      <c r="J3269" s="7" t="s">
        <v>124</v>
      </c>
      <c r="K3269" s="7" t="s">
        <v>1256</v>
      </c>
      <c r="L3269" s="8">
        <v>1.772985096583E12</v>
      </c>
      <c r="M3269" s="9"/>
      <c r="N3269" s="10"/>
      <c r="O3269" s="10"/>
      <c r="P3269" s="10"/>
      <c r="Q3269" s="10"/>
      <c r="R3269" s="10"/>
      <c r="S3269" s="10"/>
      <c r="T3269" s="10"/>
      <c r="U3269" s="10"/>
      <c r="V3269" s="10"/>
    </row>
    <row r="3270" ht="22.5" customHeight="1">
      <c r="A3270" s="5">
        <v>2.07876050278E11</v>
      </c>
      <c r="B3270" s="5" t="s">
        <v>3070</v>
      </c>
      <c r="C3270" s="5">
        <v>51980445235</v>
      </c>
      <c r="D3270" s="5" t="s">
        <v>13</v>
      </c>
      <c r="E3270" s="5">
        <v>8.0566583E7</v>
      </c>
      <c r="F3270" s="5" t="s">
        <v>714</v>
      </c>
      <c r="G3270" s="5" t="s">
        <v>15</v>
      </c>
      <c r="H3270" s="5" t="s">
        <v>29</v>
      </c>
      <c r="I3270" s="6" t="s">
        <v>17</v>
      </c>
      <c r="J3270" s="7" t="s">
        <v>18</v>
      </c>
      <c r="K3270" s="7" t="s">
        <v>19</v>
      </c>
      <c r="L3270" s="8">
        <v>1.772985232864E12</v>
      </c>
      <c r="M3270" s="9"/>
      <c r="N3270" s="10"/>
      <c r="O3270" s="10"/>
      <c r="P3270" s="10"/>
      <c r="Q3270" s="10"/>
      <c r="R3270" s="10"/>
      <c r="S3270" s="10"/>
      <c r="T3270" s="10"/>
      <c r="U3270" s="10"/>
      <c r="V3270" s="10"/>
    </row>
    <row r="3271" ht="22.5" customHeight="1">
      <c r="A3271" s="5">
        <v>2.07877617037E11</v>
      </c>
      <c r="B3271" s="5" t="s">
        <v>3071</v>
      </c>
      <c r="C3271" s="5">
        <v>51939358182</v>
      </c>
      <c r="D3271" s="5" t="s">
        <v>13</v>
      </c>
      <c r="E3271" s="5">
        <v>8.0566583E7</v>
      </c>
      <c r="F3271" s="5"/>
      <c r="G3271" s="5" t="s">
        <v>15</v>
      </c>
      <c r="H3271" s="5" t="s">
        <v>24</v>
      </c>
      <c r="I3271" s="6" t="s">
        <v>17</v>
      </c>
      <c r="J3271" s="7" t="s">
        <v>18</v>
      </c>
      <c r="K3271" s="7" t="s">
        <v>19</v>
      </c>
      <c r="L3271" s="8">
        <v>1.77298626338E12</v>
      </c>
      <c r="M3271" s="9"/>
      <c r="N3271" s="10"/>
      <c r="O3271" s="10"/>
      <c r="P3271" s="10"/>
      <c r="Q3271" s="10"/>
      <c r="R3271" s="10"/>
      <c r="S3271" s="10"/>
      <c r="T3271" s="10"/>
      <c r="U3271" s="10"/>
      <c r="V3271" s="10"/>
    </row>
    <row r="3272" ht="22.5" customHeight="1">
      <c r="A3272" s="5">
        <v>2.07876653211E11</v>
      </c>
      <c r="B3272" s="5" t="s">
        <v>3072</v>
      </c>
      <c r="C3272" s="5">
        <v>51985748391</v>
      </c>
      <c r="D3272" s="5" t="s">
        <v>13</v>
      </c>
      <c r="E3272" s="5">
        <v>8.7547393E7</v>
      </c>
      <c r="F3272" s="5" t="s">
        <v>28</v>
      </c>
      <c r="G3272" s="5"/>
      <c r="H3272" s="5" t="s">
        <v>69</v>
      </c>
      <c r="I3272" s="6"/>
      <c r="J3272" s="7" t="s">
        <v>34</v>
      </c>
      <c r="K3272" s="7"/>
      <c r="L3272" s="8">
        <v>1.772986855941E12</v>
      </c>
      <c r="M3272" s="9"/>
      <c r="N3272" s="10"/>
      <c r="O3272" s="10"/>
      <c r="P3272" s="10"/>
      <c r="Q3272" s="10"/>
      <c r="R3272" s="10"/>
      <c r="S3272" s="10"/>
      <c r="T3272" s="10"/>
      <c r="U3272" s="10"/>
      <c r="V3272" s="10"/>
    </row>
    <row r="3273" ht="22.5" customHeight="1">
      <c r="A3273" s="5">
        <v>2.07883488352E11</v>
      </c>
      <c r="B3273" s="5" t="s">
        <v>3073</v>
      </c>
      <c r="C3273" s="5">
        <v>51939892959</v>
      </c>
      <c r="D3273" s="5" t="s">
        <v>13</v>
      </c>
      <c r="E3273" s="5">
        <v>8.7547393E7</v>
      </c>
      <c r="F3273" s="5" t="s">
        <v>259</v>
      </c>
      <c r="G3273" s="5" t="s">
        <v>15</v>
      </c>
      <c r="H3273" s="5" t="s">
        <v>33</v>
      </c>
      <c r="I3273" s="6" t="s">
        <v>17</v>
      </c>
      <c r="J3273" s="7" t="s">
        <v>34</v>
      </c>
      <c r="K3273" s="7"/>
      <c r="L3273" s="8">
        <v>1.772987630092E12</v>
      </c>
      <c r="M3273" s="9"/>
      <c r="N3273" s="10"/>
      <c r="O3273" s="10"/>
      <c r="P3273" s="10"/>
      <c r="Q3273" s="10"/>
      <c r="R3273" s="10"/>
      <c r="S3273" s="10"/>
      <c r="T3273" s="10"/>
      <c r="U3273" s="10"/>
      <c r="V3273" s="10"/>
    </row>
    <row r="3274" ht="22.5" customHeight="1">
      <c r="A3274" s="5">
        <v>2.07878747573E11</v>
      </c>
      <c r="B3274" s="5" t="s">
        <v>3074</v>
      </c>
      <c r="C3274" s="5">
        <v>51923558644</v>
      </c>
      <c r="D3274" s="5" t="s">
        <v>13</v>
      </c>
      <c r="E3274" s="5">
        <v>8.0566583E7</v>
      </c>
      <c r="F3274" s="5" t="s">
        <v>39</v>
      </c>
      <c r="G3274" s="5" t="s">
        <v>15</v>
      </c>
      <c r="H3274" s="5" t="s">
        <v>51</v>
      </c>
      <c r="I3274" s="6" t="s">
        <v>17</v>
      </c>
      <c r="J3274" s="7" t="s">
        <v>25</v>
      </c>
      <c r="K3274" s="7" t="s">
        <v>501</v>
      </c>
      <c r="L3274" s="8">
        <v>1.772988123792E12</v>
      </c>
      <c r="M3274" s="9"/>
      <c r="N3274" s="10"/>
      <c r="O3274" s="10"/>
      <c r="P3274" s="10"/>
      <c r="Q3274" s="10"/>
      <c r="R3274" s="10"/>
      <c r="S3274" s="10"/>
      <c r="T3274" s="10"/>
      <c r="U3274" s="10"/>
      <c r="V3274" s="10"/>
    </row>
    <row r="3275" ht="22.5" customHeight="1">
      <c r="A3275" s="5">
        <v>2.07880077331E11</v>
      </c>
      <c r="B3275" s="5" t="s">
        <v>3075</v>
      </c>
      <c r="C3275" s="5">
        <v>51993366578</v>
      </c>
      <c r="D3275" s="5" t="s">
        <v>13</v>
      </c>
      <c r="E3275" s="5">
        <v>8.7547393E7</v>
      </c>
      <c r="F3275" s="5" t="s">
        <v>714</v>
      </c>
      <c r="G3275" s="5" t="s">
        <v>15</v>
      </c>
      <c r="H3275" s="5" t="s">
        <v>24</v>
      </c>
      <c r="I3275" s="6" t="s">
        <v>17</v>
      </c>
      <c r="J3275" s="7" t="s">
        <v>18</v>
      </c>
      <c r="K3275" s="7" t="s">
        <v>19</v>
      </c>
      <c r="L3275" s="8">
        <v>1.772988521149E12</v>
      </c>
      <c r="M3275" s="9"/>
      <c r="N3275" s="10"/>
      <c r="O3275" s="10"/>
      <c r="P3275" s="10"/>
      <c r="Q3275" s="10"/>
      <c r="R3275" s="10"/>
      <c r="S3275" s="10"/>
      <c r="T3275" s="10"/>
      <c r="U3275" s="10"/>
      <c r="V3275" s="10"/>
    </row>
    <row r="3276" ht="22.5" customHeight="1">
      <c r="A3276" s="5">
        <v>2.07884279905E11</v>
      </c>
      <c r="B3276" s="5" t="s">
        <v>3076</v>
      </c>
      <c r="C3276" s="5">
        <v>51967945970</v>
      </c>
      <c r="D3276" s="5" t="s">
        <v>13</v>
      </c>
      <c r="E3276" s="5">
        <v>8.7547393E7</v>
      </c>
      <c r="F3276" s="5" t="s">
        <v>65</v>
      </c>
      <c r="G3276" s="5" t="s">
        <v>15</v>
      </c>
      <c r="H3276" s="5" t="s">
        <v>16</v>
      </c>
      <c r="I3276" s="6" t="s">
        <v>17</v>
      </c>
      <c r="J3276" s="7" t="s">
        <v>18</v>
      </c>
      <c r="K3276" s="7" t="s">
        <v>19</v>
      </c>
      <c r="L3276" s="8">
        <v>1.772988732486E12</v>
      </c>
      <c r="M3276" s="9"/>
      <c r="N3276" s="10"/>
      <c r="O3276" s="10"/>
      <c r="P3276" s="10"/>
      <c r="Q3276" s="10"/>
      <c r="R3276" s="10"/>
      <c r="S3276" s="10"/>
      <c r="T3276" s="10"/>
      <c r="U3276" s="10"/>
      <c r="V3276" s="10"/>
    </row>
    <row r="3277" ht="22.5" customHeight="1">
      <c r="A3277" s="5">
        <v>2.07890895505E11</v>
      </c>
      <c r="B3277" s="5" t="s">
        <v>3077</v>
      </c>
      <c r="C3277" s="5">
        <v>51980993283</v>
      </c>
      <c r="D3277" s="5" t="s">
        <v>13</v>
      </c>
      <c r="E3277" s="5">
        <v>8.7547393E7</v>
      </c>
      <c r="F3277" s="5" t="s">
        <v>42</v>
      </c>
      <c r="G3277" s="5" t="s">
        <v>15</v>
      </c>
      <c r="H3277" s="5" t="s">
        <v>51</v>
      </c>
      <c r="I3277" s="6" t="s">
        <v>17</v>
      </c>
      <c r="J3277" s="7" t="s">
        <v>18</v>
      </c>
      <c r="K3277" s="7" t="s">
        <v>19</v>
      </c>
      <c r="L3277" s="8">
        <v>1.772989938272E12</v>
      </c>
      <c r="M3277" s="9"/>
      <c r="N3277" s="10"/>
      <c r="O3277" s="10"/>
      <c r="P3277" s="10"/>
      <c r="Q3277" s="10"/>
      <c r="R3277" s="10"/>
      <c r="S3277" s="10"/>
      <c r="T3277" s="10"/>
      <c r="U3277" s="10"/>
      <c r="V3277" s="10"/>
    </row>
    <row r="3278" ht="22.5" customHeight="1">
      <c r="A3278" s="5">
        <v>2.07891032385E11</v>
      </c>
      <c r="B3278" s="5" t="s">
        <v>3078</v>
      </c>
      <c r="C3278" s="5">
        <v>51927312419</v>
      </c>
      <c r="D3278" s="5" t="s">
        <v>13</v>
      </c>
      <c r="E3278" s="5">
        <v>8.7547393E7</v>
      </c>
      <c r="F3278" s="5" t="s">
        <v>39</v>
      </c>
      <c r="G3278" s="5" t="s">
        <v>15</v>
      </c>
      <c r="H3278" s="5" t="s">
        <v>24</v>
      </c>
      <c r="I3278" s="6" t="s">
        <v>17</v>
      </c>
      <c r="J3278" s="7" t="s">
        <v>18</v>
      </c>
      <c r="K3278" s="7" t="s">
        <v>19</v>
      </c>
      <c r="L3278" s="8">
        <v>1.77299040697E12</v>
      </c>
      <c r="M3278" s="9"/>
      <c r="N3278" s="10"/>
      <c r="O3278" s="10"/>
      <c r="P3278" s="10"/>
      <c r="Q3278" s="10"/>
      <c r="R3278" s="10"/>
      <c r="S3278" s="10"/>
      <c r="T3278" s="10"/>
      <c r="U3278" s="10"/>
      <c r="V3278" s="10"/>
    </row>
    <row r="3279" ht="22.5" customHeight="1">
      <c r="A3279" s="5">
        <v>2.07885838689E11</v>
      </c>
      <c r="B3279" s="5" t="s">
        <v>3079</v>
      </c>
      <c r="C3279" s="5">
        <v>51993737372</v>
      </c>
      <c r="D3279" s="5" t="s">
        <v>38</v>
      </c>
      <c r="E3279" s="5">
        <v>8.0566583E7</v>
      </c>
      <c r="F3279" s="5"/>
      <c r="G3279" s="5"/>
      <c r="H3279" s="5"/>
      <c r="I3279" s="6"/>
      <c r="J3279" s="7" t="s">
        <v>34</v>
      </c>
      <c r="K3279" s="7"/>
      <c r="L3279" s="8">
        <v>1.772990511453E12</v>
      </c>
      <c r="M3279" s="9"/>
      <c r="N3279" s="10"/>
      <c r="O3279" s="10"/>
      <c r="P3279" s="10"/>
      <c r="Q3279" s="10"/>
      <c r="R3279" s="10"/>
      <c r="S3279" s="10"/>
      <c r="T3279" s="10"/>
      <c r="U3279" s="10"/>
      <c r="V3279" s="10"/>
    </row>
    <row r="3280" ht="22.5" customHeight="1">
      <c r="A3280" s="5">
        <v>2.078855006E11</v>
      </c>
      <c r="B3280" s="5" t="s">
        <v>3080</v>
      </c>
      <c r="C3280" s="5">
        <v>5584999609550</v>
      </c>
      <c r="D3280" s="5" t="s">
        <v>13</v>
      </c>
      <c r="E3280" s="5">
        <v>7.9360573E7</v>
      </c>
      <c r="F3280" s="5" t="s">
        <v>259</v>
      </c>
      <c r="G3280" s="5" t="s">
        <v>15</v>
      </c>
      <c r="H3280" s="5" t="s">
        <v>51</v>
      </c>
      <c r="I3280" s="6" t="s">
        <v>17</v>
      </c>
      <c r="J3280" s="7" t="s">
        <v>34</v>
      </c>
      <c r="K3280" s="7"/>
      <c r="L3280" s="8">
        <v>1.772990793968E12</v>
      </c>
      <c r="M3280" s="9"/>
      <c r="N3280" s="10"/>
      <c r="O3280" s="10"/>
      <c r="P3280" s="10"/>
      <c r="Q3280" s="10"/>
      <c r="R3280" s="10"/>
      <c r="S3280" s="10"/>
      <c r="T3280" s="10"/>
      <c r="U3280" s="10"/>
      <c r="V3280" s="10"/>
    </row>
    <row r="3281" ht="22.5" customHeight="1">
      <c r="A3281" s="5">
        <v>2.07886860331E11</v>
      </c>
      <c r="B3281" s="5" t="s">
        <v>3081</v>
      </c>
      <c r="C3281" s="5">
        <v>51971017002</v>
      </c>
      <c r="D3281" s="5" t="s">
        <v>13</v>
      </c>
      <c r="E3281" s="5">
        <v>8.7547393E7</v>
      </c>
      <c r="F3281" s="5" t="s">
        <v>39</v>
      </c>
      <c r="G3281" s="5" t="s">
        <v>15</v>
      </c>
      <c r="H3281" s="5" t="s">
        <v>66</v>
      </c>
      <c r="I3281" s="6" t="s">
        <v>49</v>
      </c>
      <c r="J3281" s="7" t="s">
        <v>34</v>
      </c>
      <c r="K3281" s="7"/>
      <c r="L3281" s="8">
        <v>1.772991672826E12</v>
      </c>
      <c r="M3281" s="9"/>
      <c r="N3281" s="10"/>
      <c r="O3281" s="10"/>
      <c r="P3281" s="10"/>
      <c r="Q3281" s="10"/>
      <c r="R3281" s="10"/>
      <c r="S3281" s="10"/>
      <c r="T3281" s="10"/>
      <c r="U3281" s="10"/>
      <c r="V3281" s="10"/>
    </row>
    <row r="3282" ht="22.5" customHeight="1">
      <c r="A3282" s="5">
        <v>2.07887641887E11</v>
      </c>
      <c r="B3282" s="5" t="s">
        <v>3082</v>
      </c>
      <c r="C3282" s="5">
        <v>51976143852</v>
      </c>
      <c r="D3282" s="5" t="s">
        <v>13</v>
      </c>
      <c r="E3282" s="5">
        <v>8.7547393E7</v>
      </c>
      <c r="F3282" s="5" t="s">
        <v>65</v>
      </c>
      <c r="G3282" s="5" t="s">
        <v>32</v>
      </c>
      <c r="H3282" s="5" t="s">
        <v>16</v>
      </c>
      <c r="I3282" s="6" t="s">
        <v>49</v>
      </c>
      <c r="J3282" s="7" t="s">
        <v>18</v>
      </c>
      <c r="K3282" s="7" t="s">
        <v>19</v>
      </c>
      <c r="L3282" s="8">
        <v>1.772992042338E12</v>
      </c>
      <c r="M3282" s="9"/>
      <c r="N3282" s="10"/>
      <c r="O3282" s="10"/>
      <c r="P3282" s="10"/>
      <c r="Q3282" s="10"/>
      <c r="R3282" s="10"/>
      <c r="S3282" s="10"/>
      <c r="T3282" s="10"/>
      <c r="U3282" s="10"/>
      <c r="V3282" s="10"/>
    </row>
    <row r="3283" ht="22.5" customHeight="1">
      <c r="A3283" s="5">
        <v>2.07901048662E11</v>
      </c>
      <c r="B3283" s="5" t="s">
        <v>3083</v>
      </c>
      <c r="C3283" s="5">
        <v>51902107943</v>
      </c>
      <c r="D3283" s="5" t="s">
        <v>38</v>
      </c>
      <c r="E3283" s="5">
        <v>8.0566583E7</v>
      </c>
      <c r="F3283" s="5"/>
      <c r="G3283" s="5"/>
      <c r="H3283" s="5"/>
      <c r="I3283" s="6"/>
      <c r="J3283" s="7" t="s">
        <v>18</v>
      </c>
      <c r="K3283" s="7" t="s">
        <v>19</v>
      </c>
      <c r="L3283" s="8">
        <v>1.772995254269E12</v>
      </c>
      <c r="M3283" s="9"/>
      <c r="N3283" s="10"/>
      <c r="O3283" s="10"/>
      <c r="P3283" s="10"/>
      <c r="Q3283" s="10"/>
      <c r="R3283" s="10"/>
      <c r="S3283" s="10"/>
      <c r="T3283" s="10"/>
      <c r="U3283" s="10"/>
      <c r="V3283" s="10"/>
    </row>
    <row r="3284" ht="22.5" customHeight="1">
      <c r="A3284" s="5">
        <v>2.07901095744E11</v>
      </c>
      <c r="B3284" s="5" t="s">
        <v>3084</v>
      </c>
      <c r="C3284" s="5">
        <v>51940412005</v>
      </c>
      <c r="D3284" s="5" t="s">
        <v>38</v>
      </c>
      <c r="E3284" s="5"/>
      <c r="F3284" s="5" t="s">
        <v>510</v>
      </c>
      <c r="G3284" s="5" t="s">
        <v>15</v>
      </c>
      <c r="H3284" s="5" t="s">
        <v>66</v>
      </c>
      <c r="I3284" s="6" t="s">
        <v>17</v>
      </c>
      <c r="J3284" s="7" t="s">
        <v>18</v>
      </c>
      <c r="K3284" s="7" t="s">
        <v>19</v>
      </c>
      <c r="L3284" s="8">
        <v>1.772996098986E12</v>
      </c>
      <c r="M3284" s="9"/>
      <c r="N3284" s="10"/>
      <c r="O3284" s="10"/>
      <c r="P3284" s="10"/>
      <c r="Q3284" s="10"/>
      <c r="R3284" s="10"/>
      <c r="S3284" s="10"/>
      <c r="T3284" s="10"/>
      <c r="U3284" s="10"/>
      <c r="V3284" s="10"/>
    </row>
    <row r="3285" ht="22.5" customHeight="1">
      <c r="A3285" s="5">
        <v>2.00363175532E11</v>
      </c>
      <c r="B3285" s="5" t="s">
        <v>3085</v>
      </c>
      <c r="C3285" s="5">
        <v>51944580326</v>
      </c>
      <c r="D3285" s="5" t="s">
        <v>13</v>
      </c>
      <c r="E3285" s="5"/>
      <c r="F3285" s="5" t="s">
        <v>510</v>
      </c>
      <c r="G3285" s="5" t="s">
        <v>15</v>
      </c>
      <c r="H3285" s="5" t="s">
        <v>29</v>
      </c>
      <c r="I3285" s="6" t="s">
        <v>36</v>
      </c>
      <c r="J3285" s="7" t="s">
        <v>18</v>
      </c>
      <c r="K3285" s="7" t="s">
        <v>2930</v>
      </c>
      <c r="L3285" s="8">
        <v>1.77299663767E12</v>
      </c>
      <c r="M3285" s="9"/>
      <c r="N3285" s="10"/>
      <c r="O3285" s="10"/>
      <c r="P3285" s="10"/>
      <c r="Q3285" s="10"/>
      <c r="R3285" s="10"/>
      <c r="S3285" s="10"/>
      <c r="T3285" s="10"/>
      <c r="U3285" s="10"/>
      <c r="V3285" s="10"/>
    </row>
    <row r="3286" ht="22.5" customHeight="1">
      <c r="A3286" s="5">
        <v>2.07901524349E11</v>
      </c>
      <c r="B3286" s="5" t="s">
        <v>3086</v>
      </c>
      <c r="C3286" s="5">
        <v>51993302431</v>
      </c>
      <c r="D3286" s="5" t="s">
        <v>13</v>
      </c>
      <c r="E3286" s="5"/>
      <c r="F3286" s="5" t="s">
        <v>39</v>
      </c>
      <c r="G3286" s="5" t="s">
        <v>15</v>
      </c>
      <c r="H3286" s="5" t="s">
        <v>24</v>
      </c>
      <c r="I3286" s="6"/>
      <c r="J3286" s="7" t="s">
        <v>18</v>
      </c>
      <c r="K3286" s="7" t="s">
        <v>19</v>
      </c>
      <c r="L3286" s="8">
        <v>1.772996686487E12</v>
      </c>
      <c r="M3286" s="9"/>
      <c r="N3286" s="10"/>
      <c r="O3286" s="10"/>
      <c r="P3286" s="10"/>
      <c r="Q3286" s="10"/>
      <c r="R3286" s="10"/>
      <c r="S3286" s="10"/>
      <c r="T3286" s="10"/>
      <c r="U3286" s="10"/>
      <c r="V3286" s="10"/>
    </row>
    <row r="3287" ht="22.5" customHeight="1">
      <c r="A3287" s="5">
        <v>2.07903495266E11</v>
      </c>
      <c r="B3287" s="5" t="s">
        <v>3087</v>
      </c>
      <c r="C3287" s="5">
        <v>13213183998</v>
      </c>
      <c r="D3287" s="5" t="s">
        <v>13</v>
      </c>
      <c r="E3287" s="5">
        <v>8.7547393E7</v>
      </c>
      <c r="F3287" s="5" t="s">
        <v>714</v>
      </c>
      <c r="G3287" s="5" t="s">
        <v>44</v>
      </c>
      <c r="H3287" s="5" t="s">
        <v>16</v>
      </c>
      <c r="I3287" s="6" t="s">
        <v>49</v>
      </c>
      <c r="J3287" s="7" t="s">
        <v>34</v>
      </c>
      <c r="K3287" s="7"/>
      <c r="L3287" s="8">
        <v>1.772997984126E12</v>
      </c>
      <c r="M3287" s="9"/>
      <c r="N3287" s="10"/>
      <c r="O3287" s="10"/>
      <c r="P3287" s="10"/>
      <c r="Q3287" s="10"/>
      <c r="R3287" s="10"/>
      <c r="S3287" s="10"/>
      <c r="T3287" s="10"/>
      <c r="U3287" s="10"/>
      <c r="V3287" s="10"/>
    </row>
    <row r="3288" ht="22.5" customHeight="1">
      <c r="A3288" s="5">
        <v>2.0789767299E11</v>
      </c>
      <c r="B3288" s="5" t="s">
        <v>3088</v>
      </c>
      <c r="C3288" s="5">
        <v>5591982445651</v>
      </c>
      <c r="D3288" s="5" t="s">
        <v>13</v>
      </c>
      <c r="E3288" s="5"/>
      <c r="F3288" s="5" t="s">
        <v>28</v>
      </c>
      <c r="G3288" s="5" t="s">
        <v>15</v>
      </c>
      <c r="H3288" s="5" t="s">
        <v>114</v>
      </c>
      <c r="I3288" s="6" t="s">
        <v>63</v>
      </c>
      <c r="J3288" s="7" t="s">
        <v>34</v>
      </c>
      <c r="K3288" s="7"/>
      <c r="L3288" s="8">
        <v>1.772998125842E12</v>
      </c>
      <c r="M3288" s="9"/>
      <c r="N3288" s="10"/>
      <c r="O3288" s="10"/>
      <c r="P3288" s="10"/>
      <c r="Q3288" s="10"/>
      <c r="R3288" s="10"/>
      <c r="S3288" s="10"/>
      <c r="T3288" s="10"/>
      <c r="U3288" s="10"/>
      <c r="V3288" s="10"/>
    </row>
    <row r="3289" ht="22.5" customHeight="1">
      <c r="A3289" s="5">
        <v>2.07903220081E11</v>
      </c>
      <c r="B3289" s="5" t="s">
        <v>3089</v>
      </c>
      <c r="C3289" s="5">
        <v>5562991047475</v>
      </c>
      <c r="D3289" s="5" t="s">
        <v>13</v>
      </c>
      <c r="E3289" s="5"/>
      <c r="F3289" s="5" t="s">
        <v>28</v>
      </c>
      <c r="G3289" s="5" t="s">
        <v>32</v>
      </c>
      <c r="H3289" s="5" t="s">
        <v>16</v>
      </c>
      <c r="I3289" s="6" t="s">
        <v>17</v>
      </c>
      <c r="J3289" s="7" t="s">
        <v>34</v>
      </c>
      <c r="K3289" s="7"/>
      <c r="L3289" s="8">
        <v>1.772998199571E12</v>
      </c>
      <c r="M3289" s="9"/>
      <c r="N3289" s="10"/>
      <c r="O3289" s="10"/>
      <c r="P3289" s="10"/>
      <c r="Q3289" s="10"/>
      <c r="R3289" s="10"/>
      <c r="S3289" s="10"/>
      <c r="T3289" s="10"/>
      <c r="U3289" s="10"/>
      <c r="V3289" s="10"/>
    </row>
    <row r="3290" ht="22.5" customHeight="1">
      <c r="A3290" s="5">
        <v>1.45205310125E11</v>
      </c>
      <c r="B3290" s="5" t="s">
        <v>3090</v>
      </c>
      <c r="C3290" s="5">
        <v>51946522517</v>
      </c>
      <c r="D3290" s="5" t="s">
        <v>13</v>
      </c>
      <c r="E3290" s="5"/>
      <c r="F3290" s="5" t="s">
        <v>65</v>
      </c>
      <c r="G3290" s="5" t="s">
        <v>15</v>
      </c>
      <c r="H3290" s="5" t="s">
        <v>51</v>
      </c>
      <c r="I3290" s="6" t="s">
        <v>63</v>
      </c>
      <c r="J3290" s="7" t="s">
        <v>34</v>
      </c>
      <c r="K3290" s="7"/>
      <c r="L3290" s="8">
        <v>1.77300075264E12</v>
      </c>
      <c r="M3290" s="9"/>
      <c r="N3290" s="10"/>
      <c r="O3290" s="10"/>
      <c r="P3290" s="10"/>
      <c r="Q3290" s="10"/>
      <c r="R3290" s="10"/>
      <c r="S3290" s="10"/>
      <c r="T3290" s="10"/>
      <c r="U3290" s="10"/>
      <c r="V3290" s="10"/>
    </row>
    <row r="3291" ht="22.5" customHeight="1">
      <c r="A3291" s="5">
        <v>1.45205310125E11</v>
      </c>
      <c r="B3291" s="5" t="s">
        <v>3090</v>
      </c>
      <c r="C3291" s="5">
        <v>51946522517</v>
      </c>
      <c r="D3291" s="5" t="s">
        <v>13</v>
      </c>
      <c r="E3291" s="5"/>
      <c r="F3291" s="5" t="s">
        <v>65</v>
      </c>
      <c r="G3291" s="5" t="s">
        <v>15</v>
      </c>
      <c r="H3291" s="5" t="s">
        <v>51</v>
      </c>
      <c r="I3291" s="6" t="s">
        <v>63</v>
      </c>
      <c r="J3291" s="7" t="s">
        <v>34</v>
      </c>
      <c r="K3291" s="7"/>
      <c r="L3291" s="8">
        <v>1.773000813049E12</v>
      </c>
      <c r="M3291" s="9"/>
      <c r="N3291" s="10"/>
      <c r="O3291" s="10"/>
      <c r="P3291" s="10"/>
      <c r="Q3291" s="10"/>
      <c r="R3291" s="10"/>
      <c r="S3291" s="10"/>
      <c r="T3291" s="10"/>
      <c r="U3291" s="10"/>
      <c r="V3291" s="10"/>
    </row>
    <row r="3292" ht="22.5" customHeight="1">
      <c r="A3292" s="5">
        <v>2.07908064865E11</v>
      </c>
      <c r="B3292" s="5" t="s">
        <v>3091</v>
      </c>
      <c r="C3292" s="5">
        <v>51987517832</v>
      </c>
      <c r="D3292" s="5" t="s">
        <v>13</v>
      </c>
      <c r="E3292" s="5">
        <v>8.7547393E7</v>
      </c>
      <c r="F3292" s="5" t="s">
        <v>65</v>
      </c>
      <c r="G3292" s="5" t="s">
        <v>15</v>
      </c>
      <c r="H3292" s="5" t="s">
        <v>16</v>
      </c>
      <c r="I3292" s="6" t="s">
        <v>17</v>
      </c>
      <c r="J3292" s="7" t="s">
        <v>18</v>
      </c>
      <c r="K3292" s="7" t="s">
        <v>19</v>
      </c>
      <c r="L3292" s="8">
        <v>1.773001756877E12</v>
      </c>
      <c r="M3292" s="9"/>
      <c r="N3292" s="10"/>
      <c r="O3292" s="10"/>
      <c r="P3292" s="10"/>
      <c r="Q3292" s="10"/>
      <c r="R3292" s="10"/>
      <c r="S3292" s="10"/>
      <c r="T3292" s="10"/>
      <c r="U3292" s="10"/>
      <c r="V3292" s="10"/>
    </row>
    <row r="3293" ht="22.5" customHeight="1">
      <c r="A3293" s="5">
        <v>2.07911286027E11</v>
      </c>
      <c r="B3293" s="5" t="s">
        <v>3092</v>
      </c>
      <c r="C3293" s="5">
        <v>543434161276</v>
      </c>
      <c r="D3293" s="5" t="s">
        <v>13</v>
      </c>
      <c r="E3293" s="5">
        <v>8.0566583E7</v>
      </c>
      <c r="F3293" s="5" t="s">
        <v>14</v>
      </c>
      <c r="G3293" s="5" t="s">
        <v>32</v>
      </c>
      <c r="H3293" s="5" t="s">
        <v>33</v>
      </c>
      <c r="I3293" s="6" t="s">
        <v>89</v>
      </c>
      <c r="J3293" s="7" t="s">
        <v>34</v>
      </c>
      <c r="K3293" s="7"/>
      <c r="L3293" s="8">
        <v>1.7730036548E12</v>
      </c>
      <c r="M3293" s="9"/>
      <c r="N3293" s="10"/>
      <c r="O3293" s="10"/>
      <c r="P3293" s="10"/>
      <c r="Q3293" s="10"/>
      <c r="R3293" s="10"/>
      <c r="S3293" s="10"/>
      <c r="T3293" s="10"/>
      <c r="U3293" s="10"/>
      <c r="V3293" s="10"/>
    </row>
    <row r="3294" ht="22.5" customHeight="1">
      <c r="A3294" s="5">
        <v>2.0791590827E11</v>
      </c>
      <c r="B3294" s="5" t="s">
        <v>3093</v>
      </c>
      <c r="C3294" s="5">
        <v>51938578690</v>
      </c>
      <c r="D3294" s="5" t="s">
        <v>13</v>
      </c>
      <c r="E3294" s="5">
        <v>8.7547393E7</v>
      </c>
      <c r="F3294" s="5" t="s">
        <v>28</v>
      </c>
      <c r="G3294" s="5" t="s">
        <v>15</v>
      </c>
      <c r="H3294" s="5" t="s">
        <v>114</v>
      </c>
      <c r="I3294" s="6" t="s">
        <v>17</v>
      </c>
      <c r="J3294" s="7" t="s">
        <v>18</v>
      </c>
      <c r="K3294" s="7" t="s">
        <v>19</v>
      </c>
      <c r="L3294" s="8">
        <v>1.773004489059E12</v>
      </c>
      <c r="M3294" s="9"/>
      <c r="N3294" s="10"/>
      <c r="O3294" s="10"/>
      <c r="P3294" s="10"/>
      <c r="Q3294" s="10"/>
      <c r="R3294" s="10"/>
      <c r="S3294" s="10"/>
      <c r="T3294" s="10"/>
      <c r="U3294" s="10"/>
      <c r="V3294" s="10"/>
    </row>
    <row r="3295" ht="22.5" customHeight="1">
      <c r="A3295" s="5">
        <v>2.07916182423E11</v>
      </c>
      <c r="B3295" s="5" t="s">
        <v>3094</v>
      </c>
      <c r="C3295" s="5">
        <v>51922006572</v>
      </c>
      <c r="D3295" s="5" t="s">
        <v>13</v>
      </c>
      <c r="E3295" s="5">
        <v>8.0566583E7</v>
      </c>
      <c r="F3295" s="5" t="s">
        <v>510</v>
      </c>
      <c r="G3295" s="5" t="s">
        <v>15</v>
      </c>
      <c r="H3295" s="5" t="s">
        <v>51</v>
      </c>
      <c r="I3295" s="6" t="s">
        <v>17</v>
      </c>
      <c r="J3295" s="7" t="s">
        <v>18</v>
      </c>
      <c r="K3295" s="7" t="s">
        <v>19</v>
      </c>
      <c r="L3295" s="8">
        <v>1.773005880155E12</v>
      </c>
      <c r="M3295" s="9"/>
      <c r="N3295" s="10"/>
      <c r="O3295" s="10"/>
      <c r="P3295" s="10"/>
      <c r="Q3295" s="10"/>
      <c r="R3295" s="10"/>
      <c r="S3295" s="10"/>
      <c r="T3295" s="10"/>
      <c r="U3295" s="10"/>
      <c r="V3295" s="10"/>
    </row>
    <row r="3296" ht="22.5" customHeight="1">
      <c r="A3296" s="5">
        <v>2.07923062551E11</v>
      </c>
      <c r="B3296" s="5" t="s">
        <v>3095</v>
      </c>
      <c r="C3296" s="5">
        <v>51947968077</v>
      </c>
      <c r="D3296" s="5" t="s">
        <v>13</v>
      </c>
      <c r="E3296" s="5">
        <v>8.0566583E7</v>
      </c>
      <c r="F3296" s="5" t="s">
        <v>65</v>
      </c>
      <c r="G3296" s="5" t="s">
        <v>32</v>
      </c>
      <c r="H3296" s="5" t="s">
        <v>751</v>
      </c>
      <c r="I3296" s="6" t="s">
        <v>17</v>
      </c>
      <c r="J3296" s="7" t="s">
        <v>34</v>
      </c>
      <c r="K3296" s="7"/>
      <c r="L3296" s="8">
        <v>1.77300818362E12</v>
      </c>
      <c r="M3296" s="9"/>
      <c r="N3296" s="10"/>
      <c r="O3296" s="10"/>
      <c r="P3296" s="10"/>
      <c r="Q3296" s="10"/>
      <c r="R3296" s="10"/>
      <c r="S3296" s="10"/>
      <c r="T3296" s="10"/>
      <c r="U3296" s="10"/>
      <c r="V3296" s="10"/>
    </row>
    <row r="3297" ht="22.5" customHeight="1">
      <c r="A3297" s="5">
        <v>2.0791881045E11</v>
      </c>
      <c r="B3297" s="5" t="s">
        <v>3096</v>
      </c>
      <c r="C3297" s="5">
        <v>5581999685204</v>
      </c>
      <c r="D3297" s="5" t="s">
        <v>13</v>
      </c>
      <c r="E3297" s="5">
        <v>7.9360573E7</v>
      </c>
      <c r="F3297" s="5" t="s">
        <v>93</v>
      </c>
      <c r="G3297" s="5" t="s">
        <v>15</v>
      </c>
      <c r="H3297" s="5" t="s">
        <v>16</v>
      </c>
      <c r="I3297" s="6" t="s">
        <v>17</v>
      </c>
      <c r="J3297" s="7" t="s">
        <v>34</v>
      </c>
      <c r="K3297" s="7"/>
      <c r="L3297" s="8">
        <v>1.773008713217E12</v>
      </c>
      <c r="M3297" s="9"/>
      <c r="N3297" s="10"/>
      <c r="O3297" s="10"/>
      <c r="P3297" s="10"/>
      <c r="Q3297" s="10"/>
      <c r="R3297" s="10"/>
      <c r="S3297" s="10"/>
      <c r="T3297" s="10"/>
      <c r="U3297" s="10"/>
      <c r="V3297" s="10"/>
    </row>
    <row r="3298" ht="22.5" customHeight="1">
      <c r="A3298" s="5">
        <v>2.07890895505E11</v>
      </c>
      <c r="B3298" s="5" t="s">
        <v>3077</v>
      </c>
      <c r="C3298" s="5">
        <v>51980993283</v>
      </c>
      <c r="D3298" s="5" t="s">
        <v>13</v>
      </c>
      <c r="E3298" s="5">
        <v>8.7547393E7</v>
      </c>
      <c r="F3298" s="5" t="s">
        <v>714</v>
      </c>
      <c r="G3298" s="5" t="s">
        <v>44</v>
      </c>
      <c r="H3298" s="5" t="s">
        <v>16</v>
      </c>
      <c r="I3298" s="6" t="s">
        <v>17</v>
      </c>
      <c r="J3298" s="7" t="s">
        <v>34</v>
      </c>
      <c r="K3298" s="7"/>
      <c r="L3298" s="8">
        <v>1.773009483483E12</v>
      </c>
      <c r="M3298" s="9"/>
      <c r="N3298" s="10"/>
      <c r="O3298" s="10"/>
      <c r="P3298" s="10"/>
      <c r="Q3298" s="10"/>
      <c r="R3298" s="10"/>
      <c r="S3298" s="10"/>
      <c r="T3298" s="10"/>
      <c r="U3298" s="10"/>
      <c r="V3298" s="10"/>
    </row>
    <row r="3299" ht="22.5" customHeight="1">
      <c r="A3299" s="5">
        <v>2.07923994551E11</v>
      </c>
      <c r="B3299" s="5" t="s">
        <v>3097</v>
      </c>
      <c r="C3299" s="5">
        <v>51913820557</v>
      </c>
      <c r="D3299" s="5" t="s">
        <v>13</v>
      </c>
      <c r="E3299" s="5">
        <v>8.0566583E7</v>
      </c>
      <c r="F3299" s="5"/>
      <c r="G3299" s="5" t="s">
        <v>15</v>
      </c>
      <c r="H3299" s="5" t="s">
        <v>51</v>
      </c>
      <c r="I3299" s="6" t="s">
        <v>17</v>
      </c>
      <c r="J3299" s="7" t="s">
        <v>18</v>
      </c>
      <c r="K3299" s="7" t="s">
        <v>19</v>
      </c>
      <c r="L3299" s="8">
        <v>1.773010059221E12</v>
      </c>
      <c r="M3299" s="9"/>
      <c r="N3299" s="10"/>
      <c r="O3299" s="10"/>
      <c r="P3299" s="10"/>
      <c r="Q3299" s="10"/>
      <c r="R3299" s="10"/>
      <c r="S3299" s="10"/>
      <c r="T3299" s="10"/>
      <c r="U3299" s="10"/>
      <c r="V3299" s="10"/>
    </row>
    <row r="3300" ht="22.5" customHeight="1">
      <c r="A3300" s="5">
        <v>2.07924201345E11</v>
      </c>
      <c r="B3300" s="5" t="s">
        <v>3098</v>
      </c>
      <c r="C3300" s="5">
        <v>51902249882</v>
      </c>
      <c r="D3300" s="5" t="s">
        <v>13</v>
      </c>
      <c r="E3300" s="5">
        <v>8.7547393E7</v>
      </c>
      <c r="F3300" s="5" t="s">
        <v>65</v>
      </c>
      <c r="G3300" s="5" t="s">
        <v>15</v>
      </c>
      <c r="H3300" s="5" t="s">
        <v>51</v>
      </c>
      <c r="I3300" s="6" t="s">
        <v>17</v>
      </c>
      <c r="J3300" s="7" t="s">
        <v>18</v>
      </c>
      <c r="K3300" s="7" t="s">
        <v>19</v>
      </c>
      <c r="L3300" s="8">
        <v>1.773010813301E12</v>
      </c>
      <c r="M3300" s="9"/>
      <c r="N3300" s="10"/>
      <c r="O3300" s="10"/>
      <c r="P3300" s="10"/>
      <c r="Q3300" s="10"/>
      <c r="R3300" s="10"/>
      <c r="S3300" s="10"/>
      <c r="T3300" s="10"/>
      <c r="U3300" s="10"/>
      <c r="V3300" s="10"/>
    </row>
    <row r="3301" ht="22.5" customHeight="1">
      <c r="A3301" s="5">
        <v>1.35009800059E11</v>
      </c>
      <c r="B3301" s="5" t="s">
        <v>3099</v>
      </c>
      <c r="C3301" s="5">
        <v>51906285888</v>
      </c>
      <c r="D3301" s="5" t="s">
        <v>38</v>
      </c>
      <c r="E3301" s="5"/>
      <c r="F3301" s="5"/>
      <c r="G3301" s="5"/>
      <c r="H3301" s="5"/>
      <c r="I3301" s="6"/>
      <c r="J3301" s="7" t="s">
        <v>34</v>
      </c>
      <c r="K3301" s="7"/>
      <c r="L3301" s="8">
        <v>1.773011628275E12</v>
      </c>
      <c r="M3301" s="9"/>
      <c r="N3301" s="10"/>
      <c r="O3301" s="10"/>
      <c r="P3301" s="10"/>
      <c r="Q3301" s="10"/>
      <c r="R3301" s="10"/>
      <c r="S3301" s="10"/>
      <c r="T3301" s="10"/>
      <c r="U3301" s="10"/>
      <c r="V3301" s="10"/>
    </row>
    <row r="3302" ht="22.5" customHeight="1">
      <c r="A3302" s="5">
        <v>2.07926587445E11</v>
      </c>
      <c r="B3302" s="5" t="s">
        <v>3100</v>
      </c>
      <c r="C3302" s="5">
        <v>51921770205</v>
      </c>
      <c r="D3302" s="5" t="s">
        <v>13</v>
      </c>
      <c r="E3302" s="5">
        <v>8.0566583E7</v>
      </c>
      <c r="F3302" s="5" t="s">
        <v>14</v>
      </c>
      <c r="G3302" s="5" t="s">
        <v>15</v>
      </c>
      <c r="H3302" s="5" t="s">
        <v>51</v>
      </c>
      <c r="I3302" s="6" t="s">
        <v>17</v>
      </c>
      <c r="J3302" s="7" t="s">
        <v>18</v>
      </c>
      <c r="K3302" s="7" t="s">
        <v>19</v>
      </c>
      <c r="L3302" s="8">
        <v>1.773012569054E12</v>
      </c>
      <c r="M3302" s="9"/>
      <c r="N3302" s="10"/>
      <c r="O3302" s="10"/>
      <c r="P3302" s="10"/>
      <c r="Q3302" s="10"/>
      <c r="R3302" s="10"/>
      <c r="S3302" s="10"/>
      <c r="T3302" s="10"/>
      <c r="U3302" s="10"/>
      <c r="V3302" s="10"/>
    </row>
    <row r="3303" ht="22.5" customHeight="1">
      <c r="A3303" s="5">
        <v>2.07924624284E11</v>
      </c>
      <c r="B3303" s="5" t="s">
        <v>3101</v>
      </c>
      <c r="C3303" s="5">
        <v>51971675729</v>
      </c>
      <c r="D3303" s="5" t="s">
        <v>13</v>
      </c>
      <c r="E3303" s="5">
        <v>8.0566583E7</v>
      </c>
      <c r="F3303" s="5" t="s">
        <v>14</v>
      </c>
      <c r="G3303" s="5" t="s">
        <v>15</v>
      </c>
      <c r="H3303" s="5" t="s">
        <v>24</v>
      </c>
      <c r="I3303" s="6" t="s">
        <v>17</v>
      </c>
      <c r="J3303" s="7" t="s">
        <v>18</v>
      </c>
      <c r="K3303" s="7" t="s">
        <v>19</v>
      </c>
      <c r="L3303" s="8">
        <v>1.773014060272E12</v>
      </c>
      <c r="M3303" s="9"/>
      <c r="N3303" s="10"/>
      <c r="O3303" s="10"/>
      <c r="P3303" s="10"/>
      <c r="Q3303" s="10"/>
      <c r="R3303" s="10"/>
      <c r="S3303" s="10"/>
      <c r="T3303" s="10"/>
      <c r="U3303" s="10"/>
      <c r="V3303" s="10"/>
    </row>
    <row r="3304" ht="22.5" customHeight="1">
      <c r="A3304" s="5">
        <v>2.07933335989E11</v>
      </c>
      <c r="B3304" s="5" t="s">
        <v>3102</v>
      </c>
      <c r="C3304" s="5">
        <v>51910619891</v>
      </c>
      <c r="D3304" s="5" t="s">
        <v>13</v>
      </c>
      <c r="E3304" s="5">
        <v>8.0566583E7</v>
      </c>
      <c r="F3304" s="5" t="s">
        <v>259</v>
      </c>
      <c r="G3304" s="5" t="s">
        <v>32</v>
      </c>
      <c r="H3304" s="5" t="s">
        <v>16</v>
      </c>
      <c r="I3304" s="6"/>
      <c r="J3304" s="7" t="s">
        <v>18</v>
      </c>
      <c r="K3304" s="7" t="s">
        <v>19</v>
      </c>
      <c r="L3304" s="8">
        <v>1.773014891531E12</v>
      </c>
      <c r="M3304" s="9"/>
      <c r="N3304" s="10"/>
      <c r="O3304" s="10"/>
      <c r="P3304" s="10"/>
      <c r="Q3304" s="10"/>
      <c r="R3304" s="10"/>
      <c r="S3304" s="10"/>
      <c r="T3304" s="10"/>
      <c r="U3304" s="10"/>
      <c r="V3304" s="10"/>
    </row>
    <row r="3305" ht="22.5" customHeight="1">
      <c r="A3305" s="5">
        <v>2.07933998669E11</v>
      </c>
      <c r="B3305" s="5" t="s">
        <v>3103</v>
      </c>
      <c r="C3305" s="5">
        <v>51928821523</v>
      </c>
      <c r="D3305" s="5" t="s">
        <v>22</v>
      </c>
      <c r="E3305" s="5">
        <v>8.0566583E7</v>
      </c>
      <c r="F3305" s="5" t="s">
        <v>259</v>
      </c>
      <c r="G3305" s="5" t="s">
        <v>44</v>
      </c>
      <c r="H3305" s="5" t="s">
        <v>112</v>
      </c>
      <c r="I3305" s="6" t="s">
        <v>49</v>
      </c>
      <c r="J3305" s="7" t="s">
        <v>124</v>
      </c>
      <c r="K3305" s="7" t="s">
        <v>284</v>
      </c>
      <c r="L3305" s="8">
        <v>1.773015893399E12</v>
      </c>
      <c r="M3305" s="9"/>
      <c r="N3305" s="10"/>
      <c r="O3305" s="10"/>
      <c r="P3305" s="10"/>
      <c r="Q3305" s="10"/>
      <c r="R3305" s="10"/>
      <c r="S3305" s="10"/>
      <c r="T3305" s="10"/>
      <c r="U3305" s="10"/>
      <c r="V3305" s="10"/>
    </row>
    <row r="3306" ht="22.5" customHeight="1">
      <c r="A3306" s="5">
        <v>2.0793402709E11</v>
      </c>
      <c r="B3306" s="5" t="s">
        <v>3104</v>
      </c>
      <c r="C3306" s="5">
        <v>51989912264</v>
      </c>
      <c r="D3306" s="5" t="s">
        <v>13</v>
      </c>
      <c r="E3306" s="5">
        <v>8.7547393E7</v>
      </c>
      <c r="F3306" s="5" t="s">
        <v>259</v>
      </c>
      <c r="G3306" s="5" t="s">
        <v>15</v>
      </c>
      <c r="H3306" s="5" t="s">
        <v>583</v>
      </c>
      <c r="I3306" s="6" t="s">
        <v>17</v>
      </c>
      <c r="J3306" s="7" t="s">
        <v>18</v>
      </c>
      <c r="K3306" s="7" t="s">
        <v>19</v>
      </c>
      <c r="L3306" s="8">
        <v>1.773016577543E12</v>
      </c>
      <c r="M3306" s="9"/>
      <c r="N3306" s="10"/>
      <c r="O3306" s="10"/>
      <c r="P3306" s="10"/>
      <c r="Q3306" s="10"/>
      <c r="R3306" s="10"/>
      <c r="S3306" s="10"/>
      <c r="T3306" s="10"/>
      <c r="U3306" s="10"/>
      <c r="V3306" s="10"/>
    </row>
    <row r="3307" ht="22.5" customHeight="1">
      <c r="A3307" s="5">
        <v>2.07936616004E11</v>
      </c>
      <c r="B3307" s="5" t="s">
        <v>3105</v>
      </c>
      <c r="C3307" s="5">
        <v>51996387156</v>
      </c>
      <c r="D3307" s="5" t="s">
        <v>13</v>
      </c>
      <c r="E3307" s="5">
        <v>8.7547393E7</v>
      </c>
      <c r="F3307" s="5" t="s">
        <v>28</v>
      </c>
      <c r="G3307" s="5" t="s">
        <v>15</v>
      </c>
      <c r="H3307" s="5" t="s">
        <v>86</v>
      </c>
      <c r="I3307" s="6" t="s">
        <v>36</v>
      </c>
      <c r="J3307" s="7" t="s">
        <v>34</v>
      </c>
      <c r="K3307" s="7"/>
      <c r="L3307" s="8">
        <v>1.773017131525E12</v>
      </c>
      <c r="M3307" s="9"/>
      <c r="N3307" s="10"/>
      <c r="O3307" s="10"/>
      <c r="P3307" s="10"/>
      <c r="Q3307" s="10"/>
      <c r="R3307" s="10"/>
      <c r="S3307" s="10"/>
      <c r="T3307" s="10"/>
      <c r="U3307" s="10"/>
      <c r="V3307" s="10"/>
    </row>
    <row r="3308" ht="22.5" customHeight="1">
      <c r="A3308" s="5">
        <v>2.07938588216E11</v>
      </c>
      <c r="B3308" s="5" t="s">
        <v>3106</v>
      </c>
      <c r="C3308" s="5">
        <v>51974365612</v>
      </c>
      <c r="D3308" s="5" t="s">
        <v>13</v>
      </c>
      <c r="E3308" s="5">
        <v>8.7547393E7</v>
      </c>
      <c r="F3308" s="5" t="s">
        <v>93</v>
      </c>
      <c r="G3308" s="5" t="s">
        <v>15</v>
      </c>
      <c r="H3308" s="5" t="s">
        <v>66</v>
      </c>
      <c r="I3308" s="6" t="s">
        <v>17</v>
      </c>
      <c r="J3308" s="7" t="s">
        <v>18</v>
      </c>
      <c r="K3308" s="7" t="s">
        <v>19</v>
      </c>
      <c r="L3308" s="8">
        <v>1.773018365228E12</v>
      </c>
      <c r="M3308" s="9"/>
      <c r="N3308" s="10"/>
      <c r="O3308" s="10"/>
      <c r="P3308" s="10"/>
      <c r="Q3308" s="10"/>
      <c r="R3308" s="10"/>
      <c r="S3308" s="10"/>
      <c r="T3308" s="10"/>
      <c r="U3308" s="10"/>
      <c r="V3308" s="10"/>
    </row>
    <row r="3309" ht="22.5" customHeight="1">
      <c r="A3309" s="5">
        <v>2.07937593387E11</v>
      </c>
      <c r="B3309" s="5" t="s">
        <v>3107</v>
      </c>
      <c r="C3309" s="5">
        <v>51910392730</v>
      </c>
      <c r="D3309" s="5" t="s">
        <v>13</v>
      </c>
      <c r="E3309" s="5">
        <v>8.0566583E7</v>
      </c>
      <c r="F3309" s="5" t="s">
        <v>39</v>
      </c>
      <c r="G3309" s="5" t="s">
        <v>15</v>
      </c>
      <c r="H3309" s="5" t="s">
        <v>24</v>
      </c>
      <c r="I3309" s="6" t="s">
        <v>17</v>
      </c>
      <c r="J3309" s="7" t="s">
        <v>18</v>
      </c>
      <c r="K3309" s="7" t="s">
        <v>19</v>
      </c>
      <c r="L3309" s="8">
        <v>1.77301855157E12</v>
      </c>
      <c r="M3309" s="9"/>
      <c r="N3309" s="10"/>
      <c r="O3309" s="10"/>
      <c r="P3309" s="10"/>
      <c r="Q3309" s="10"/>
      <c r="R3309" s="10"/>
      <c r="S3309" s="10"/>
      <c r="T3309" s="10"/>
      <c r="U3309" s="10"/>
      <c r="V3309" s="10"/>
    </row>
    <row r="3310" ht="22.5" customHeight="1">
      <c r="A3310" s="5">
        <v>1.99823565447E11</v>
      </c>
      <c r="B3310" s="5" t="s">
        <v>3108</v>
      </c>
      <c r="C3310" s="5">
        <v>51916626663</v>
      </c>
      <c r="D3310" s="5" t="s">
        <v>13</v>
      </c>
      <c r="E3310" s="5">
        <v>8.7547393E7</v>
      </c>
      <c r="F3310" s="5" t="s">
        <v>14</v>
      </c>
      <c r="G3310" s="5" t="s">
        <v>32</v>
      </c>
      <c r="H3310" s="5" t="s">
        <v>29</v>
      </c>
      <c r="I3310" s="6" t="s">
        <v>17</v>
      </c>
      <c r="J3310" s="7" t="s">
        <v>124</v>
      </c>
      <c r="K3310" s="7" t="s">
        <v>2058</v>
      </c>
      <c r="L3310" s="8">
        <v>1.773019886173E12</v>
      </c>
      <c r="M3310" s="9"/>
      <c r="N3310" s="10"/>
      <c r="O3310" s="10"/>
      <c r="P3310" s="10"/>
      <c r="Q3310" s="10"/>
      <c r="R3310" s="10"/>
      <c r="S3310" s="10"/>
      <c r="T3310" s="10"/>
      <c r="U3310" s="10"/>
      <c r="V3310" s="10"/>
    </row>
    <row r="3311" ht="22.5" customHeight="1">
      <c r="A3311" s="5">
        <v>2.07946293292E11</v>
      </c>
      <c r="B3311" s="5" t="s">
        <v>3109</v>
      </c>
      <c r="C3311" s="5">
        <v>51918838497</v>
      </c>
      <c r="D3311" s="5" t="s">
        <v>13</v>
      </c>
      <c r="E3311" s="5">
        <v>8.0566583E7</v>
      </c>
      <c r="F3311" s="5" t="s">
        <v>259</v>
      </c>
      <c r="G3311" s="5" t="s">
        <v>15</v>
      </c>
      <c r="H3311" s="5" t="s">
        <v>66</v>
      </c>
      <c r="I3311" s="6" t="s">
        <v>17</v>
      </c>
      <c r="J3311" s="7" t="s">
        <v>58</v>
      </c>
      <c r="K3311" s="11" t="s">
        <v>59</v>
      </c>
      <c r="L3311" s="8">
        <v>1.773021501668E12</v>
      </c>
      <c r="M3311" s="9"/>
      <c r="N3311" s="10"/>
      <c r="O3311" s="10"/>
      <c r="P3311" s="10"/>
      <c r="Q3311" s="10"/>
      <c r="R3311" s="10"/>
      <c r="S3311" s="10"/>
      <c r="T3311" s="10"/>
      <c r="U3311" s="10"/>
      <c r="V3311" s="10"/>
    </row>
    <row r="3312" ht="22.5" customHeight="1">
      <c r="A3312" s="5">
        <v>2.07943728569E11</v>
      </c>
      <c r="B3312" s="5" t="s">
        <v>3110</v>
      </c>
      <c r="C3312" s="5">
        <v>5521976394834</v>
      </c>
      <c r="D3312" s="5" t="s">
        <v>13</v>
      </c>
      <c r="E3312" s="5">
        <v>7.9360573E7</v>
      </c>
      <c r="F3312" s="5" t="s">
        <v>39</v>
      </c>
      <c r="G3312" s="5" t="s">
        <v>15</v>
      </c>
      <c r="H3312" s="5" t="s">
        <v>66</v>
      </c>
      <c r="I3312" s="6" t="s">
        <v>17</v>
      </c>
      <c r="J3312" s="7" t="s">
        <v>124</v>
      </c>
      <c r="K3312" s="7" t="s">
        <v>125</v>
      </c>
      <c r="L3312" s="8">
        <v>1.773022174682E12</v>
      </c>
      <c r="M3312" s="9"/>
      <c r="N3312" s="10"/>
      <c r="O3312" s="10"/>
      <c r="P3312" s="10"/>
      <c r="Q3312" s="10"/>
      <c r="R3312" s="10"/>
      <c r="S3312" s="10"/>
      <c r="T3312" s="10"/>
      <c r="U3312" s="10"/>
      <c r="V3312" s="10"/>
    </row>
    <row r="3313" ht="22.5" customHeight="1">
      <c r="A3313" s="5">
        <v>2.07945162012E11</v>
      </c>
      <c r="B3313" s="5" t="s">
        <v>3111</v>
      </c>
      <c r="C3313" s="5">
        <v>51912208678</v>
      </c>
      <c r="D3313" s="5" t="s">
        <v>13</v>
      </c>
      <c r="E3313" s="5">
        <v>8.7547393E7</v>
      </c>
      <c r="F3313" s="5" t="s">
        <v>28</v>
      </c>
      <c r="G3313" s="5" t="s">
        <v>32</v>
      </c>
      <c r="H3313" s="5" t="s">
        <v>24</v>
      </c>
      <c r="I3313" s="6" t="s">
        <v>17</v>
      </c>
      <c r="J3313" s="7" t="s">
        <v>18</v>
      </c>
      <c r="K3313" s="7" t="s">
        <v>19</v>
      </c>
      <c r="L3313" s="8">
        <v>1.773022265027E12</v>
      </c>
      <c r="M3313" s="9"/>
      <c r="N3313" s="10"/>
      <c r="O3313" s="10"/>
      <c r="P3313" s="10"/>
      <c r="Q3313" s="10"/>
      <c r="R3313" s="10"/>
      <c r="S3313" s="10"/>
      <c r="T3313" s="10"/>
      <c r="U3313" s="10"/>
      <c r="V3313" s="10"/>
    </row>
    <row r="3314" ht="22.5" customHeight="1">
      <c r="A3314" s="5">
        <v>1.84713577777E11</v>
      </c>
      <c r="B3314" s="5" t="s">
        <v>3112</v>
      </c>
      <c r="C3314" s="5">
        <v>51972942955</v>
      </c>
      <c r="D3314" s="5" t="s">
        <v>13</v>
      </c>
      <c r="E3314" s="5">
        <v>8.0566583E7</v>
      </c>
      <c r="F3314" s="5" t="s">
        <v>39</v>
      </c>
      <c r="G3314" s="5" t="s">
        <v>32</v>
      </c>
      <c r="H3314" s="5" t="s">
        <v>114</v>
      </c>
      <c r="I3314" s="6" t="s">
        <v>17</v>
      </c>
      <c r="J3314" s="7" t="s">
        <v>18</v>
      </c>
      <c r="K3314" s="7" t="s">
        <v>19</v>
      </c>
      <c r="L3314" s="8">
        <v>1.77302230434E12</v>
      </c>
      <c r="M3314" s="9"/>
      <c r="N3314" s="10"/>
      <c r="O3314" s="10"/>
      <c r="P3314" s="10"/>
      <c r="Q3314" s="10"/>
      <c r="R3314" s="10"/>
      <c r="S3314" s="10"/>
      <c r="T3314" s="10"/>
      <c r="U3314" s="10"/>
      <c r="V3314" s="10"/>
    </row>
    <row r="3315" ht="22.5" customHeight="1">
      <c r="A3315" s="5">
        <v>2.07944545456E11</v>
      </c>
      <c r="B3315" s="5" t="s">
        <v>3113</v>
      </c>
      <c r="C3315" s="5">
        <v>51944981710</v>
      </c>
      <c r="D3315" s="5" t="s">
        <v>13</v>
      </c>
      <c r="E3315" s="5">
        <v>8.7547393E7</v>
      </c>
      <c r="F3315" s="5" t="s">
        <v>714</v>
      </c>
      <c r="G3315" s="5" t="s">
        <v>15</v>
      </c>
      <c r="H3315" s="5" t="s">
        <v>66</v>
      </c>
      <c r="I3315" s="6" t="s">
        <v>17</v>
      </c>
      <c r="J3315" s="7" t="s">
        <v>58</v>
      </c>
      <c r="K3315" s="11" t="s">
        <v>59</v>
      </c>
      <c r="L3315" s="8">
        <v>1.773022994248E12</v>
      </c>
      <c r="M3315" s="9"/>
      <c r="N3315" s="10"/>
      <c r="O3315" s="10"/>
      <c r="P3315" s="10"/>
      <c r="Q3315" s="10"/>
      <c r="R3315" s="10"/>
      <c r="S3315" s="10"/>
      <c r="T3315" s="10"/>
      <c r="U3315" s="10"/>
      <c r="V3315" s="10"/>
    </row>
    <row r="3316" ht="22.5" customHeight="1">
      <c r="A3316" s="5">
        <v>2.0795269723E11</v>
      </c>
      <c r="B3316" s="5" t="s">
        <v>3114</v>
      </c>
      <c r="C3316" s="5">
        <v>51930569389</v>
      </c>
      <c r="D3316" s="5" t="s">
        <v>13</v>
      </c>
      <c r="E3316" s="5">
        <v>8.7547393E7</v>
      </c>
      <c r="F3316" s="5" t="s">
        <v>65</v>
      </c>
      <c r="G3316" s="5" t="s">
        <v>15</v>
      </c>
      <c r="H3316" s="5" t="s">
        <v>51</v>
      </c>
      <c r="I3316" s="6" t="s">
        <v>17</v>
      </c>
      <c r="J3316" s="7" t="s">
        <v>18</v>
      </c>
      <c r="K3316" s="7" t="s">
        <v>19</v>
      </c>
      <c r="L3316" s="8">
        <v>1.773023018069E12</v>
      </c>
      <c r="M3316" s="9"/>
      <c r="N3316" s="10"/>
      <c r="O3316" s="10"/>
      <c r="P3316" s="10"/>
      <c r="Q3316" s="10"/>
      <c r="R3316" s="10"/>
      <c r="S3316" s="10"/>
      <c r="T3316" s="10"/>
      <c r="U3316" s="10"/>
      <c r="V3316" s="10"/>
    </row>
    <row r="3317" ht="22.5" customHeight="1">
      <c r="A3317" s="5">
        <v>2.07953641574E11</v>
      </c>
      <c r="B3317" s="5" t="s">
        <v>3115</v>
      </c>
      <c r="C3317" s="5">
        <v>51934191572</v>
      </c>
      <c r="D3317" s="5" t="s">
        <v>13</v>
      </c>
      <c r="E3317" s="5">
        <v>8.0566583E7</v>
      </c>
      <c r="F3317" s="5" t="s">
        <v>259</v>
      </c>
      <c r="G3317" s="5" t="s">
        <v>15</v>
      </c>
      <c r="H3317" s="5" t="s">
        <v>29</v>
      </c>
      <c r="I3317" s="6" t="s">
        <v>17</v>
      </c>
      <c r="J3317" s="7" t="s">
        <v>18</v>
      </c>
      <c r="K3317" s="7" t="s">
        <v>19</v>
      </c>
      <c r="L3317" s="8">
        <v>1.773023690894E12</v>
      </c>
      <c r="M3317" s="9"/>
      <c r="N3317" s="10"/>
      <c r="O3317" s="10"/>
      <c r="P3317" s="10"/>
      <c r="Q3317" s="10"/>
      <c r="R3317" s="10"/>
      <c r="S3317" s="10"/>
      <c r="T3317" s="10"/>
      <c r="U3317" s="10"/>
      <c r="V3317" s="10"/>
    </row>
    <row r="3318" ht="22.5" customHeight="1">
      <c r="A3318" s="5">
        <v>2.07953952022E11</v>
      </c>
      <c r="B3318" s="5" t="s">
        <v>3116</v>
      </c>
      <c r="C3318" s="5">
        <v>51977800934</v>
      </c>
      <c r="D3318" s="5" t="s">
        <v>13</v>
      </c>
      <c r="E3318" s="5">
        <v>8.7547393E7</v>
      </c>
      <c r="F3318" s="5" t="s">
        <v>14</v>
      </c>
      <c r="G3318" s="5" t="s">
        <v>15</v>
      </c>
      <c r="H3318" s="5" t="s">
        <v>16</v>
      </c>
      <c r="I3318" s="6" t="s">
        <v>17</v>
      </c>
      <c r="J3318" s="7" t="s">
        <v>18</v>
      </c>
      <c r="K3318" s="7" t="s">
        <v>19</v>
      </c>
      <c r="L3318" s="8">
        <v>1.773024137586E12</v>
      </c>
      <c r="M3318" s="9"/>
      <c r="N3318" s="10"/>
      <c r="O3318" s="10"/>
      <c r="P3318" s="10"/>
      <c r="Q3318" s="10"/>
      <c r="R3318" s="10"/>
      <c r="S3318" s="10"/>
      <c r="T3318" s="10"/>
      <c r="U3318" s="10"/>
      <c r="V3318" s="10"/>
    </row>
    <row r="3319" ht="22.5" customHeight="1">
      <c r="A3319" s="5">
        <v>1.35009800059E11</v>
      </c>
      <c r="B3319" s="5" t="s">
        <v>3099</v>
      </c>
      <c r="C3319" s="5">
        <v>51906285888</v>
      </c>
      <c r="D3319" s="5" t="s">
        <v>38</v>
      </c>
      <c r="E3319" s="5"/>
      <c r="F3319" s="5"/>
      <c r="G3319" s="5"/>
      <c r="H3319" s="5"/>
      <c r="I3319" s="6"/>
      <c r="J3319" s="7" t="s">
        <v>34</v>
      </c>
      <c r="K3319" s="7"/>
      <c r="L3319" s="8">
        <v>1.773024692969E12</v>
      </c>
      <c r="M3319" s="9"/>
      <c r="N3319" s="10"/>
      <c r="O3319" s="10"/>
      <c r="P3319" s="10"/>
      <c r="Q3319" s="10"/>
      <c r="R3319" s="10"/>
      <c r="S3319" s="10"/>
      <c r="T3319" s="10"/>
      <c r="U3319" s="10"/>
      <c r="V3319" s="10"/>
    </row>
    <row r="3320" ht="22.5" customHeight="1">
      <c r="A3320" s="5">
        <v>2.0794681147E11</v>
      </c>
      <c r="B3320" s="5" t="s">
        <v>3117</v>
      </c>
      <c r="C3320" s="5">
        <v>51917030279</v>
      </c>
      <c r="D3320" s="5" t="s">
        <v>22</v>
      </c>
      <c r="E3320" s="5">
        <v>8.7547393E7</v>
      </c>
      <c r="F3320" s="5" t="s">
        <v>28</v>
      </c>
      <c r="G3320" s="5">
        <v>50</v>
      </c>
      <c r="H3320" s="5" t="s">
        <v>16</v>
      </c>
      <c r="I3320" s="6"/>
      <c r="J3320" s="7" t="s">
        <v>34</v>
      </c>
      <c r="K3320" s="7"/>
      <c r="L3320" s="8">
        <v>1.773025529356E12</v>
      </c>
      <c r="M3320" s="9"/>
      <c r="N3320" s="10"/>
      <c r="O3320" s="10"/>
      <c r="P3320" s="10"/>
      <c r="Q3320" s="10"/>
      <c r="R3320" s="10"/>
      <c r="S3320" s="10"/>
      <c r="T3320" s="10"/>
      <c r="U3320" s="10"/>
      <c r="V3320" s="10"/>
    </row>
    <row r="3321" ht="22.5" customHeight="1">
      <c r="A3321" s="5">
        <v>2.07861614772E11</v>
      </c>
      <c r="B3321" s="5" t="s">
        <v>3118</v>
      </c>
      <c r="C3321" s="5">
        <v>51967762221</v>
      </c>
      <c r="D3321" s="5" t="s">
        <v>13</v>
      </c>
      <c r="E3321" s="5">
        <v>8.7547393E7</v>
      </c>
      <c r="F3321" s="5" t="s">
        <v>42</v>
      </c>
      <c r="G3321" s="5" t="s">
        <v>32</v>
      </c>
      <c r="H3321" s="5" t="s">
        <v>24</v>
      </c>
      <c r="I3321" s="6" t="s">
        <v>17</v>
      </c>
      <c r="J3321" s="7" t="s">
        <v>34</v>
      </c>
      <c r="K3321" s="7"/>
      <c r="L3321" s="8">
        <v>1.773025745423E12</v>
      </c>
      <c r="M3321" s="9"/>
      <c r="N3321" s="10"/>
      <c r="O3321" s="10"/>
      <c r="P3321" s="10"/>
      <c r="Q3321" s="10"/>
      <c r="R3321" s="10"/>
      <c r="S3321" s="10"/>
      <c r="T3321" s="10"/>
      <c r="U3321" s="10"/>
      <c r="V3321" s="10"/>
    </row>
    <row r="3322" ht="22.5" customHeight="1">
      <c r="A3322" s="5">
        <v>2.07946812479E11</v>
      </c>
      <c r="B3322" s="5" t="s">
        <v>3119</v>
      </c>
      <c r="C3322" s="5">
        <v>51970859256</v>
      </c>
      <c r="D3322" s="5" t="s">
        <v>38</v>
      </c>
      <c r="E3322" s="5">
        <v>8.7547393E7</v>
      </c>
      <c r="F3322" s="5"/>
      <c r="G3322" s="5"/>
      <c r="H3322" s="5"/>
      <c r="I3322" s="6"/>
      <c r="J3322" s="7" t="s">
        <v>18</v>
      </c>
      <c r="K3322" s="7" t="s">
        <v>2930</v>
      </c>
      <c r="L3322" s="8">
        <v>1.773025889235E12</v>
      </c>
      <c r="M3322" s="9"/>
      <c r="N3322" s="10"/>
      <c r="O3322" s="10"/>
      <c r="P3322" s="10"/>
      <c r="Q3322" s="10"/>
      <c r="R3322" s="10"/>
      <c r="S3322" s="10"/>
      <c r="T3322" s="10"/>
      <c r="U3322" s="10"/>
      <c r="V3322" s="10"/>
    </row>
    <row r="3323" ht="22.5" customHeight="1">
      <c r="A3323" s="5">
        <v>2.04396041772E11</v>
      </c>
      <c r="B3323" s="5" t="s">
        <v>3120</v>
      </c>
      <c r="C3323" s="5">
        <v>51900216482</v>
      </c>
      <c r="D3323" s="5" t="s">
        <v>22</v>
      </c>
      <c r="E3323" s="5">
        <v>8.0566583E7</v>
      </c>
      <c r="F3323" s="5" t="s">
        <v>39</v>
      </c>
      <c r="G3323" s="5" t="s">
        <v>104</v>
      </c>
      <c r="H3323" s="5" t="s">
        <v>55</v>
      </c>
      <c r="I3323" s="6" t="s">
        <v>17</v>
      </c>
      <c r="J3323" s="7" t="s">
        <v>34</v>
      </c>
      <c r="K3323" s="7"/>
      <c r="L3323" s="8">
        <v>1.773026705284E12</v>
      </c>
      <c r="M3323" s="9"/>
      <c r="N3323" s="10"/>
      <c r="O3323" s="10"/>
      <c r="P3323" s="10"/>
      <c r="Q3323" s="10"/>
      <c r="R3323" s="10"/>
      <c r="S3323" s="10"/>
      <c r="T3323" s="10"/>
      <c r="U3323" s="10"/>
      <c r="V3323" s="10"/>
    </row>
    <row r="3324" ht="22.5" customHeight="1">
      <c r="A3324" s="5">
        <v>2.079497918E11</v>
      </c>
      <c r="B3324" s="5" t="s">
        <v>3121</v>
      </c>
      <c r="C3324" s="5">
        <v>51901386058</v>
      </c>
      <c r="D3324" s="5" t="s">
        <v>13</v>
      </c>
      <c r="E3324" s="5">
        <v>8.7547393E7</v>
      </c>
      <c r="F3324" s="5" t="s">
        <v>39</v>
      </c>
      <c r="G3324" s="5" t="s">
        <v>15</v>
      </c>
      <c r="H3324" s="5" t="s">
        <v>51</v>
      </c>
      <c r="I3324" s="6" t="s">
        <v>17</v>
      </c>
      <c r="J3324" s="7" t="s">
        <v>25</v>
      </c>
      <c r="K3324" s="7" t="s">
        <v>501</v>
      </c>
      <c r="L3324" s="8">
        <v>1.773026846726E12</v>
      </c>
      <c r="M3324" s="9"/>
      <c r="N3324" s="10"/>
      <c r="O3324" s="10"/>
      <c r="P3324" s="10"/>
      <c r="Q3324" s="10"/>
      <c r="R3324" s="10"/>
      <c r="S3324" s="10"/>
      <c r="T3324" s="10"/>
      <c r="U3324" s="10"/>
      <c r="V3324" s="10"/>
    </row>
    <row r="3325" ht="22.5" customHeight="1">
      <c r="A3325" s="5">
        <v>2.0795422447E11</v>
      </c>
      <c r="B3325" s="5" t="s">
        <v>3122</v>
      </c>
      <c r="C3325" s="5">
        <v>51931935893</v>
      </c>
      <c r="D3325" s="5" t="s">
        <v>13</v>
      </c>
      <c r="E3325" s="5">
        <v>8.7547393E7</v>
      </c>
      <c r="F3325" s="5" t="s">
        <v>39</v>
      </c>
      <c r="G3325" s="5" t="s">
        <v>15</v>
      </c>
      <c r="H3325" s="5" t="s">
        <v>51</v>
      </c>
      <c r="I3325" s="6" t="s">
        <v>17</v>
      </c>
      <c r="J3325" s="7" t="s">
        <v>34</v>
      </c>
      <c r="K3325" s="7"/>
      <c r="L3325" s="8">
        <v>1.77302706624E12</v>
      </c>
      <c r="M3325" s="9"/>
      <c r="N3325" s="10"/>
      <c r="O3325" s="10"/>
      <c r="P3325" s="10"/>
      <c r="Q3325" s="10"/>
      <c r="R3325" s="10"/>
      <c r="S3325" s="10"/>
      <c r="T3325" s="10"/>
      <c r="U3325" s="10"/>
      <c r="V3325" s="10"/>
    </row>
    <row r="3326" ht="22.5" customHeight="1">
      <c r="A3326" s="5">
        <v>2.07938532354E11</v>
      </c>
      <c r="B3326" s="5" t="s">
        <v>3123</v>
      </c>
      <c r="C3326" s="5">
        <v>51907888822</v>
      </c>
      <c r="D3326" s="5" t="s">
        <v>13</v>
      </c>
      <c r="E3326" s="5">
        <v>8.7547393E7</v>
      </c>
      <c r="F3326" s="5" t="s">
        <v>28</v>
      </c>
      <c r="G3326" s="5" t="s">
        <v>32</v>
      </c>
      <c r="H3326" s="5" t="s">
        <v>16</v>
      </c>
      <c r="I3326" s="6" t="s">
        <v>17</v>
      </c>
      <c r="J3326" s="7" t="s">
        <v>18</v>
      </c>
      <c r="K3326" s="7" t="s">
        <v>19</v>
      </c>
      <c r="L3326" s="8">
        <v>1.77302820555E12</v>
      </c>
      <c r="M3326" s="9"/>
      <c r="N3326" s="10"/>
      <c r="O3326" s="10"/>
      <c r="P3326" s="10"/>
      <c r="Q3326" s="10"/>
      <c r="R3326" s="10"/>
      <c r="S3326" s="10"/>
      <c r="T3326" s="10"/>
      <c r="U3326" s="10"/>
      <c r="V3326" s="10"/>
    </row>
    <row r="3327" ht="22.5" customHeight="1">
      <c r="A3327" s="5">
        <v>2.07949869368E11</v>
      </c>
      <c r="B3327" s="5" t="s">
        <v>3124</v>
      </c>
      <c r="C3327" s="5">
        <v>51912919795</v>
      </c>
      <c r="D3327" s="5" t="s">
        <v>38</v>
      </c>
      <c r="E3327" s="5">
        <v>8.7547393E7</v>
      </c>
      <c r="F3327" s="5"/>
      <c r="G3327" s="5"/>
      <c r="H3327" s="5"/>
      <c r="I3327" s="6"/>
      <c r="J3327" s="7" t="s">
        <v>18</v>
      </c>
      <c r="K3327" s="7" t="s">
        <v>19</v>
      </c>
      <c r="L3327" s="8">
        <v>1.773028242334E12</v>
      </c>
      <c r="M3327" s="9"/>
      <c r="N3327" s="10"/>
      <c r="O3327" s="10"/>
      <c r="P3327" s="10"/>
      <c r="Q3327" s="10"/>
      <c r="R3327" s="10"/>
      <c r="S3327" s="10"/>
      <c r="T3327" s="10"/>
      <c r="U3327" s="10"/>
      <c r="V3327" s="10"/>
    </row>
    <row r="3328" ht="22.5" customHeight="1">
      <c r="A3328" s="5">
        <v>2.07961787923E11</v>
      </c>
      <c r="B3328" s="5" t="s">
        <v>3125</v>
      </c>
      <c r="C3328" s="5">
        <v>5511947503020</v>
      </c>
      <c r="D3328" s="5" t="s">
        <v>13</v>
      </c>
      <c r="E3328" s="5">
        <v>7.9360573E7</v>
      </c>
      <c r="F3328" s="5" t="s">
        <v>714</v>
      </c>
      <c r="G3328" s="5" t="s">
        <v>32</v>
      </c>
      <c r="H3328" s="5" t="s">
        <v>16</v>
      </c>
      <c r="I3328" s="6" t="s">
        <v>17</v>
      </c>
      <c r="J3328" s="7" t="s">
        <v>34</v>
      </c>
      <c r="K3328" s="7"/>
      <c r="L3328" s="8">
        <v>1.773028528198E12</v>
      </c>
      <c r="M3328" s="9"/>
      <c r="N3328" s="10"/>
      <c r="O3328" s="10"/>
      <c r="P3328" s="10"/>
      <c r="Q3328" s="10"/>
      <c r="R3328" s="10"/>
      <c r="S3328" s="10"/>
      <c r="T3328" s="10"/>
      <c r="U3328" s="10"/>
      <c r="V3328" s="10"/>
    </row>
    <row r="3329" ht="22.5" customHeight="1">
      <c r="A3329" s="5">
        <v>2.07955794049E11</v>
      </c>
      <c r="B3329" s="5" t="s">
        <v>3126</v>
      </c>
      <c r="C3329" s="5">
        <v>51902061876</v>
      </c>
      <c r="D3329" s="5" t="s">
        <v>13</v>
      </c>
      <c r="E3329" s="5">
        <v>8.0566583E7</v>
      </c>
      <c r="F3329" s="5" t="s">
        <v>14</v>
      </c>
      <c r="G3329" s="5" t="s">
        <v>32</v>
      </c>
      <c r="H3329" s="5" t="s">
        <v>24</v>
      </c>
      <c r="I3329" s="6" t="s">
        <v>17</v>
      </c>
      <c r="J3329" s="7" t="s">
        <v>18</v>
      </c>
      <c r="K3329" s="7" t="s">
        <v>19</v>
      </c>
      <c r="L3329" s="8">
        <v>1.773028775888E12</v>
      </c>
      <c r="M3329" s="9"/>
      <c r="N3329" s="10"/>
      <c r="O3329" s="10"/>
      <c r="P3329" s="10"/>
      <c r="Q3329" s="10"/>
      <c r="R3329" s="10"/>
      <c r="S3329" s="10"/>
      <c r="T3329" s="10"/>
      <c r="U3329" s="10"/>
      <c r="V3329" s="10"/>
    </row>
    <row r="3330" ht="22.5" customHeight="1">
      <c r="A3330" s="5">
        <v>2.07963788652E11</v>
      </c>
      <c r="B3330" s="5" t="s">
        <v>3127</v>
      </c>
      <c r="C3330" s="5">
        <v>51986366940</v>
      </c>
      <c r="D3330" s="5" t="s">
        <v>13</v>
      </c>
      <c r="E3330" s="5">
        <v>8.7547393E7</v>
      </c>
      <c r="F3330" s="5" t="s">
        <v>259</v>
      </c>
      <c r="G3330" s="5" t="s">
        <v>15</v>
      </c>
      <c r="H3330" s="5" t="s">
        <v>24</v>
      </c>
      <c r="I3330" s="6" t="s">
        <v>17</v>
      </c>
      <c r="J3330" s="7" t="s">
        <v>18</v>
      </c>
      <c r="K3330" s="7" t="s">
        <v>19</v>
      </c>
      <c r="L3330" s="8">
        <v>1.773028992984E12</v>
      </c>
      <c r="M3330" s="9"/>
      <c r="N3330" s="10"/>
      <c r="O3330" s="10"/>
      <c r="P3330" s="10"/>
      <c r="Q3330" s="10"/>
      <c r="R3330" s="10"/>
      <c r="S3330" s="10"/>
      <c r="T3330" s="10"/>
      <c r="U3330" s="10"/>
      <c r="V3330" s="10"/>
    </row>
    <row r="3331" ht="22.5" customHeight="1">
      <c r="A3331" s="5">
        <v>1.90078807629E11</v>
      </c>
      <c r="B3331" s="5" t="s">
        <v>3128</v>
      </c>
      <c r="C3331" s="5">
        <v>51930847874</v>
      </c>
      <c r="D3331" s="5" t="s">
        <v>13</v>
      </c>
      <c r="E3331" s="5">
        <v>8.7547393E7</v>
      </c>
      <c r="F3331" s="5" t="s">
        <v>259</v>
      </c>
      <c r="G3331" s="5" t="s">
        <v>15</v>
      </c>
      <c r="H3331" s="5" t="s">
        <v>69</v>
      </c>
      <c r="I3331" s="6" t="s">
        <v>17</v>
      </c>
      <c r="J3331" s="7" t="s">
        <v>18</v>
      </c>
      <c r="K3331" s="7" t="s">
        <v>19</v>
      </c>
      <c r="L3331" s="8">
        <v>1.773029523486E12</v>
      </c>
      <c r="M3331" s="9"/>
      <c r="N3331" s="10"/>
      <c r="O3331" s="10"/>
      <c r="P3331" s="10"/>
      <c r="Q3331" s="10"/>
      <c r="R3331" s="10"/>
      <c r="S3331" s="10"/>
      <c r="T3331" s="10"/>
      <c r="U3331" s="10"/>
      <c r="V3331" s="10"/>
    </row>
    <row r="3332" ht="22.5" customHeight="1">
      <c r="A3332" s="5">
        <v>2.07958828169E11</v>
      </c>
      <c r="B3332" s="5" t="s">
        <v>3129</v>
      </c>
      <c r="C3332" s="5">
        <v>51924612272</v>
      </c>
      <c r="D3332" s="5" t="s">
        <v>13</v>
      </c>
      <c r="E3332" s="5">
        <v>8.0566583E7</v>
      </c>
      <c r="F3332" s="5" t="s">
        <v>39</v>
      </c>
      <c r="G3332" s="5" t="s">
        <v>15</v>
      </c>
      <c r="H3332" s="5" t="s">
        <v>114</v>
      </c>
      <c r="I3332" s="6" t="s">
        <v>17</v>
      </c>
      <c r="J3332" s="7" t="s">
        <v>18</v>
      </c>
      <c r="K3332" s="7" t="s">
        <v>19</v>
      </c>
      <c r="L3332" s="8">
        <v>1.773031143791E12</v>
      </c>
      <c r="M3332" s="9"/>
      <c r="N3332" s="10"/>
      <c r="O3332" s="10"/>
      <c r="P3332" s="10"/>
      <c r="Q3332" s="10"/>
      <c r="R3332" s="10"/>
      <c r="S3332" s="10"/>
      <c r="T3332" s="10"/>
      <c r="U3332" s="10"/>
      <c r="V3332" s="10"/>
    </row>
    <row r="3333" ht="22.5" customHeight="1">
      <c r="A3333" s="5">
        <v>2.07963055704E11</v>
      </c>
      <c r="B3333" s="5" t="s">
        <v>3130</v>
      </c>
      <c r="C3333" s="5">
        <v>51931104449</v>
      </c>
      <c r="D3333" s="5" t="s">
        <v>13</v>
      </c>
      <c r="E3333" s="5">
        <v>8.7547393E7</v>
      </c>
      <c r="F3333" s="5" t="s">
        <v>39</v>
      </c>
      <c r="G3333" s="5" t="s">
        <v>15</v>
      </c>
      <c r="H3333" s="5" t="s">
        <v>51</v>
      </c>
      <c r="I3333" s="6"/>
      <c r="J3333" s="7" t="s">
        <v>18</v>
      </c>
      <c r="K3333" s="7" t="s">
        <v>19</v>
      </c>
      <c r="L3333" s="8">
        <v>1.773031547202E12</v>
      </c>
      <c r="M3333" s="9"/>
      <c r="N3333" s="10"/>
      <c r="O3333" s="10"/>
      <c r="P3333" s="10"/>
      <c r="Q3333" s="10"/>
      <c r="R3333" s="10"/>
      <c r="S3333" s="10"/>
      <c r="T3333" s="10"/>
      <c r="U3333" s="10"/>
      <c r="V3333" s="10"/>
    </row>
    <row r="3334" ht="22.5" customHeight="1">
      <c r="A3334" s="5">
        <v>2.07958848145E11</v>
      </c>
      <c r="B3334" s="5" t="s">
        <v>3131</v>
      </c>
      <c r="C3334" s="5">
        <v>51928079301</v>
      </c>
      <c r="D3334" s="5" t="s">
        <v>13</v>
      </c>
      <c r="E3334" s="5">
        <v>8.0566583E7</v>
      </c>
      <c r="F3334" s="5" t="s">
        <v>714</v>
      </c>
      <c r="G3334" s="5" t="s">
        <v>15</v>
      </c>
      <c r="H3334" s="5" t="s">
        <v>114</v>
      </c>
      <c r="I3334" s="6" t="s">
        <v>36</v>
      </c>
      <c r="J3334" s="7" t="s">
        <v>34</v>
      </c>
      <c r="K3334" s="7"/>
      <c r="L3334" s="8">
        <v>1.773031562317E12</v>
      </c>
      <c r="M3334" s="9"/>
      <c r="N3334" s="10"/>
      <c r="O3334" s="10"/>
      <c r="P3334" s="10"/>
      <c r="Q3334" s="10"/>
      <c r="R3334" s="10"/>
      <c r="S3334" s="10"/>
      <c r="T3334" s="10"/>
      <c r="U3334" s="10"/>
      <c r="V3334" s="10"/>
    </row>
    <row r="3335" ht="22.5" customHeight="1">
      <c r="A3335" s="5">
        <v>2.07964865094E11</v>
      </c>
      <c r="B3335" s="5" t="s">
        <v>3132</v>
      </c>
      <c r="C3335" s="5">
        <v>51949336832</v>
      </c>
      <c r="D3335" s="5" t="s">
        <v>13</v>
      </c>
      <c r="E3335" s="5">
        <v>8.7547393E7</v>
      </c>
      <c r="F3335" s="5" t="s">
        <v>39</v>
      </c>
      <c r="G3335" s="5" t="s">
        <v>15</v>
      </c>
      <c r="H3335" s="5" t="s">
        <v>51</v>
      </c>
      <c r="I3335" s="6" t="s">
        <v>17</v>
      </c>
      <c r="J3335" s="7" t="s">
        <v>34</v>
      </c>
      <c r="K3335" s="7"/>
      <c r="L3335" s="8">
        <v>1.773031572225E12</v>
      </c>
      <c r="M3335" s="9"/>
      <c r="N3335" s="10"/>
      <c r="O3335" s="10"/>
      <c r="P3335" s="10"/>
      <c r="Q3335" s="10"/>
      <c r="R3335" s="10"/>
      <c r="S3335" s="10"/>
      <c r="T3335" s="10"/>
      <c r="U3335" s="10"/>
      <c r="V3335" s="10"/>
    </row>
    <row r="3336" ht="22.5" customHeight="1">
      <c r="A3336" s="5">
        <v>2.07793369933E11</v>
      </c>
      <c r="B3336" s="5" t="s">
        <v>3133</v>
      </c>
      <c r="C3336" s="5">
        <v>51976192775</v>
      </c>
      <c r="D3336" s="5" t="s">
        <v>103</v>
      </c>
      <c r="E3336" s="5">
        <v>8.0566583E7</v>
      </c>
      <c r="F3336" s="5" t="s">
        <v>93</v>
      </c>
      <c r="G3336" s="5" t="s">
        <v>104</v>
      </c>
      <c r="H3336" s="5" t="s">
        <v>997</v>
      </c>
      <c r="I3336" s="6" t="s">
        <v>63</v>
      </c>
      <c r="J3336" s="7" t="s">
        <v>25</v>
      </c>
      <c r="K3336" s="7" t="s">
        <v>501</v>
      </c>
      <c r="L3336" s="8">
        <v>1.773033951218E12</v>
      </c>
      <c r="M3336" s="9"/>
      <c r="N3336" s="10"/>
      <c r="O3336" s="10"/>
      <c r="P3336" s="10"/>
      <c r="Q3336" s="10"/>
      <c r="R3336" s="10"/>
      <c r="S3336" s="10"/>
      <c r="T3336" s="10"/>
      <c r="U3336" s="10"/>
      <c r="V3336" s="10"/>
    </row>
    <row r="3337" ht="22.5" customHeight="1">
      <c r="A3337" s="5">
        <v>2.07973773316E11</v>
      </c>
      <c r="B3337" s="5" t="s">
        <v>3134</v>
      </c>
      <c r="C3337" s="5">
        <v>51935488000</v>
      </c>
      <c r="D3337" s="5" t="s">
        <v>13</v>
      </c>
      <c r="E3337" s="5">
        <v>8.0566583E7</v>
      </c>
      <c r="F3337" s="5" t="s">
        <v>39</v>
      </c>
      <c r="G3337" s="5" t="s">
        <v>15</v>
      </c>
      <c r="H3337" s="5" t="s">
        <v>51</v>
      </c>
      <c r="I3337" s="6" t="s">
        <v>17</v>
      </c>
      <c r="J3337" s="7" t="s">
        <v>18</v>
      </c>
      <c r="K3337" s="7" t="s">
        <v>19</v>
      </c>
      <c r="L3337" s="8">
        <v>1.773034336287E12</v>
      </c>
      <c r="M3337" s="9"/>
      <c r="N3337" s="10"/>
      <c r="O3337" s="10"/>
      <c r="P3337" s="10"/>
      <c r="Q3337" s="10"/>
      <c r="R3337" s="10"/>
      <c r="S3337" s="10"/>
      <c r="T3337" s="10"/>
      <c r="U3337" s="10"/>
      <c r="V3337" s="10"/>
    </row>
    <row r="3338" ht="22.5" customHeight="1">
      <c r="A3338" s="5">
        <v>2.07966382429E11</v>
      </c>
      <c r="B3338" s="5" t="s">
        <v>3135</v>
      </c>
      <c r="C3338" s="5">
        <v>51900347260</v>
      </c>
      <c r="D3338" s="5" t="s">
        <v>13</v>
      </c>
      <c r="E3338" s="5">
        <v>8.7547393E7</v>
      </c>
      <c r="F3338" s="5" t="s">
        <v>14</v>
      </c>
      <c r="G3338" s="5" t="s">
        <v>15</v>
      </c>
      <c r="H3338" s="5" t="s">
        <v>188</v>
      </c>
      <c r="I3338" s="6" t="s">
        <v>17</v>
      </c>
      <c r="J3338" s="7" t="s">
        <v>18</v>
      </c>
      <c r="K3338" s="7" t="s">
        <v>19</v>
      </c>
      <c r="L3338" s="8">
        <v>1.773034670406E12</v>
      </c>
      <c r="M3338" s="9"/>
      <c r="N3338" s="10"/>
      <c r="O3338" s="10"/>
      <c r="P3338" s="10"/>
      <c r="Q3338" s="10"/>
      <c r="R3338" s="10"/>
      <c r="S3338" s="10"/>
      <c r="T3338" s="10"/>
      <c r="U3338" s="10"/>
      <c r="V3338" s="10"/>
    </row>
    <row r="3339" ht="22.5" customHeight="1">
      <c r="A3339" s="5">
        <v>2.07970416179E11</v>
      </c>
      <c r="B3339" s="5" t="s">
        <v>3136</v>
      </c>
      <c r="C3339" s="5">
        <v>51965479207</v>
      </c>
      <c r="D3339" s="5" t="s">
        <v>38</v>
      </c>
      <c r="E3339" s="5">
        <v>8.0566583E7</v>
      </c>
      <c r="F3339" s="5"/>
      <c r="G3339" s="5"/>
      <c r="H3339" s="5"/>
      <c r="I3339" s="6"/>
      <c r="J3339" s="7" t="s">
        <v>18</v>
      </c>
      <c r="K3339" s="7" t="s">
        <v>19</v>
      </c>
      <c r="L3339" s="8">
        <v>1.773035485707E12</v>
      </c>
      <c r="M3339" s="9"/>
      <c r="N3339" s="10"/>
      <c r="O3339" s="10"/>
      <c r="P3339" s="10"/>
      <c r="Q3339" s="10"/>
      <c r="R3339" s="10"/>
      <c r="S3339" s="10"/>
      <c r="T3339" s="10"/>
      <c r="U3339" s="10"/>
      <c r="V3339" s="10"/>
    </row>
    <row r="3340" ht="22.5" customHeight="1">
      <c r="A3340" s="5">
        <v>2.07982590095E11</v>
      </c>
      <c r="B3340" s="5" t="s">
        <v>3137</v>
      </c>
      <c r="C3340" s="5">
        <v>51937025599</v>
      </c>
      <c r="D3340" s="5" t="s">
        <v>13</v>
      </c>
      <c r="E3340" s="5">
        <v>8.0566583E7</v>
      </c>
      <c r="F3340" s="5" t="s">
        <v>510</v>
      </c>
      <c r="G3340" s="5" t="s">
        <v>15</v>
      </c>
      <c r="H3340" s="5" t="s">
        <v>66</v>
      </c>
      <c r="I3340" s="6" t="s">
        <v>17</v>
      </c>
      <c r="J3340" s="7" t="s">
        <v>18</v>
      </c>
      <c r="K3340" s="7" t="s">
        <v>19</v>
      </c>
      <c r="L3340" s="8">
        <v>1.773037475535E12</v>
      </c>
      <c r="M3340" s="9"/>
      <c r="N3340" s="10"/>
      <c r="O3340" s="10"/>
      <c r="P3340" s="10"/>
      <c r="Q3340" s="10"/>
      <c r="R3340" s="10"/>
      <c r="S3340" s="10"/>
      <c r="T3340" s="10"/>
      <c r="U3340" s="10"/>
      <c r="V3340" s="10"/>
    </row>
    <row r="3341" ht="22.5" customHeight="1">
      <c r="A3341" s="5">
        <v>2.07994074245E11</v>
      </c>
      <c r="B3341" s="5" t="s">
        <v>3138</v>
      </c>
      <c r="C3341" s="5">
        <v>51999808380</v>
      </c>
      <c r="D3341" s="5" t="s">
        <v>13</v>
      </c>
      <c r="E3341" s="5">
        <v>8.7547393E7</v>
      </c>
      <c r="F3341" s="5" t="s">
        <v>259</v>
      </c>
      <c r="G3341" s="5" t="s">
        <v>15</v>
      </c>
      <c r="H3341" s="5" t="s">
        <v>66</v>
      </c>
      <c r="I3341" s="6" t="s">
        <v>17</v>
      </c>
      <c r="J3341" s="7" t="s">
        <v>18</v>
      </c>
      <c r="K3341" s="7" t="s">
        <v>19</v>
      </c>
      <c r="L3341" s="8">
        <v>1.77304337791E12</v>
      </c>
      <c r="M3341" s="9"/>
      <c r="N3341" s="10"/>
      <c r="O3341" s="10"/>
      <c r="P3341" s="10"/>
      <c r="Q3341" s="10"/>
      <c r="R3341" s="10"/>
      <c r="S3341" s="10"/>
      <c r="T3341" s="10"/>
      <c r="U3341" s="10"/>
      <c r="V3341" s="10"/>
    </row>
    <row r="3342" ht="22.5" customHeight="1">
      <c r="A3342" s="5">
        <v>2.07988469376E11</v>
      </c>
      <c r="B3342" s="5" t="s">
        <v>3139</v>
      </c>
      <c r="C3342" s="5">
        <v>529875648096</v>
      </c>
      <c r="D3342" s="5" t="s">
        <v>13</v>
      </c>
      <c r="E3342" s="5">
        <v>8.7547393E7</v>
      </c>
      <c r="F3342" s="5" t="s">
        <v>65</v>
      </c>
      <c r="G3342" s="5" t="s">
        <v>32</v>
      </c>
      <c r="H3342" s="5" t="s">
        <v>80</v>
      </c>
      <c r="I3342" s="6" t="s">
        <v>36</v>
      </c>
      <c r="J3342" s="7" t="s">
        <v>34</v>
      </c>
      <c r="K3342" s="7"/>
      <c r="L3342" s="8">
        <v>1.773043637289E12</v>
      </c>
      <c r="M3342" s="9"/>
      <c r="N3342" s="10"/>
      <c r="O3342" s="10"/>
      <c r="P3342" s="10"/>
      <c r="Q3342" s="10"/>
      <c r="R3342" s="10"/>
      <c r="S3342" s="10"/>
      <c r="T3342" s="10"/>
      <c r="U3342" s="10"/>
      <c r="V3342" s="10"/>
    </row>
    <row r="3343" ht="22.5" customHeight="1">
      <c r="A3343" s="5">
        <v>2.07993067587E11</v>
      </c>
      <c r="B3343" s="5" t="s">
        <v>3140</v>
      </c>
      <c r="C3343" s="5">
        <v>51927664352</v>
      </c>
      <c r="D3343" s="5" t="s">
        <v>13</v>
      </c>
      <c r="E3343" s="5">
        <v>8.0566583E7</v>
      </c>
      <c r="F3343" s="5" t="s">
        <v>93</v>
      </c>
      <c r="G3343" s="5" t="s">
        <v>15</v>
      </c>
      <c r="H3343" s="5" t="s">
        <v>51</v>
      </c>
      <c r="I3343" s="6" t="s">
        <v>17</v>
      </c>
      <c r="J3343" s="7" t="s">
        <v>18</v>
      </c>
      <c r="K3343" s="7" t="s">
        <v>19</v>
      </c>
      <c r="L3343" s="8">
        <v>1.773046605445E12</v>
      </c>
      <c r="M3343" s="9"/>
      <c r="N3343" s="10"/>
      <c r="O3343" s="10"/>
      <c r="P3343" s="10"/>
      <c r="Q3343" s="10"/>
      <c r="R3343" s="10"/>
      <c r="S3343" s="10"/>
      <c r="T3343" s="10"/>
      <c r="U3343" s="10"/>
      <c r="V3343" s="10"/>
    </row>
    <row r="3344" ht="22.5" customHeight="1">
      <c r="A3344" s="5">
        <v>2.0800319959E11</v>
      </c>
      <c r="B3344" s="5" t="s">
        <v>3141</v>
      </c>
      <c r="C3344" s="5">
        <v>51932877181</v>
      </c>
      <c r="D3344" s="5" t="s">
        <v>13</v>
      </c>
      <c r="E3344" s="5">
        <v>8.7547393E7</v>
      </c>
      <c r="F3344" s="5" t="s">
        <v>39</v>
      </c>
      <c r="G3344" s="5" t="s">
        <v>15</v>
      </c>
      <c r="H3344" s="5" t="s">
        <v>66</v>
      </c>
      <c r="I3344" s="6" t="s">
        <v>17</v>
      </c>
      <c r="J3344" s="7" t="s">
        <v>18</v>
      </c>
      <c r="K3344" s="7" t="s">
        <v>19</v>
      </c>
      <c r="L3344" s="8">
        <v>1.773046691382E12</v>
      </c>
      <c r="M3344" s="9"/>
      <c r="N3344" s="10"/>
      <c r="O3344" s="10"/>
      <c r="P3344" s="10"/>
      <c r="Q3344" s="10"/>
      <c r="R3344" s="10"/>
      <c r="S3344" s="10"/>
      <c r="T3344" s="10"/>
      <c r="U3344" s="10"/>
      <c r="V3344" s="10"/>
    </row>
    <row r="3345" ht="22.5" customHeight="1">
      <c r="A3345" s="5">
        <v>2.07803736229E11</v>
      </c>
      <c r="B3345" s="5" t="s">
        <v>3142</v>
      </c>
      <c r="C3345" s="5">
        <v>51971472338</v>
      </c>
      <c r="D3345" s="5" t="s">
        <v>13</v>
      </c>
      <c r="E3345" s="5">
        <v>8.0566583E7</v>
      </c>
      <c r="F3345" s="5" t="s">
        <v>14</v>
      </c>
      <c r="G3345" s="5" t="s">
        <v>15</v>
      </c>
      <c r="H3345" s="5" t="s">
        <v>69</v>
      </c>
      <c r="I3345" s="6" t="s">
        <v>17</v>
      </c>
      <c r="J3345" s="7" t="s">
        <v>18</v>
      </c>
      <c r="K3345" s="7" t="s">
        <v>19</v>
      </c>
      <c r="L3345" s="8">
        <v>1.773050668096E12</v>
      </c>
      <c r="M3345" s="9"/>
      <c r="N3345" s="10"/>
      <c r="O3345" s="10"/>
      <c r="P3345" s="10"/>
      <c r="Q3345" s="10"/>
      <c r="R3345" s="10"/>
      <c r="S3345" s="10"/>
      <c r="T3345" s="10"/>
      <c r="U3345" s="10"/>
      <c r="V3345" s="10"/>
    </row>
    <row r="3346" ht="22.5" customHeight="1">
      <c r="A3346" s="5">
        <v>1.89815165958E11</v>
      </c>
      <c r="B3346" s="5" t="s">
        <v>3143</v>
      </c>
      <c r="C3346" s="5">
        <v>51965308482</v>
      </c>
      <c r="D3346" s="5" t="s">
        <v>13</v>
      </c>
      <c r="E3346" s="5">
        <v>8.0566583E7</v>
      </c>
      <c r="F3346" s="5" t="s">
        <v>28</v>
      </c>
      <c r="G3346" s="5" t="s">
        <v>32</v>
      </c>
      <c r="H3346" s="5" t="s">
        <v>188</v>
      </c>
      <c r="I3346" s="6" t="s">
        <v>17</v>
      </c>
      <c r="J3346" s="7" t="s">
        <v>18</v>
      </c>
      <c r="K3346" s="7" t="s">
        <v>19</v>
      </c>
      <c r="L3346" s="8">
        <v>1.773051985049E12</v>
      </c>
      <c r="M3346" s="9"/>
      <c r="N3346" s="10"/>
      <c r="O3346" s="10"/>
      <c r="P3346" s="10"/>
      <c r="Q3346" s="10"/>
      <c r="R3346" s="10"/>
      <c r="S3346" s="10"/>
      <c r="T3346" s="10"/>
      <c r="U3346" s="10"/>
      <c r="V3346" s="10"/>
    </row>
    <row r="3347" ht="22.5" customHeight="1">
      <c r="A3347" s="5">
        <v>2.08025209467E11</v>
      </c>
      <c r="B3347" s="5" t="s">
        <v>3144</v>
      </c>
      <c r="C3347" s="5">
        <v>5551991097339</v>
      </c>
      <c r="D3347" s="5" t="s">
        <v>13</v>
      </c>
      <c r="E3347" s="5">
        <v>7.9360573E7</v>
      </c>
      <c r="F3347" s="5" t="s">
        <v>39</v>
      </c>
      <c r="G3347" s="5" t="s">
        <v>15</v>
      </c>
      <c r="H3347" s="5" t="s">
        <v>29</v>
      </c>
      <c r="I3347" s="6" t="s">
        <v>17</v>
      </c>
      <c r="J3347" s="7" t="s">
        <v>124</v>
      </c>
      <c r="K3347" s="7" t="s">
        <v>1256</v>
      </c>
      <c r="L3347" s="8">
        <v>1.773052728076E12</v>
      </c>
      <c r="M3347" s="9"/>
      <c r="N3347" s="10"/>
      <c r="O3347" s="10"/>
      <c r="P3347" s="10"/>
      <c r="Q3347" s="10"/>
      <c r="R3347" s="10"/>
      <c r="S3347" s="10"/>
      <c r="T3347" s="10"/>
      <c r="U3347" s="10"/>
      <c r="V3347" s="10"/>
    </row>
    <row r="3348" ht="22.5" customHeight="1">
      <c r="A3348" s="5">
        <v>2.08030480896E11</v>
      </c>
      <c r="B3348" s="5" t="s">
        <v>3145</v>
      </c>
      <c r="C3348" s="5">
        <v>51972127591</v>
      </c>
      <c r="D3348" s="5" t="s">
        <v>13</v>
      </c>
      <c r="E3348" s="5">
        <v>8.0566583E7</v>
      </c>
      <c r="F3348" s="5" t="s">
        <v>259</v>
      </c>
      <c r="G3348" s="5" t="s">
        <v>15</v>
      </c>
      <c r="H3348" s="5" t="s">
        <v>51</v>
      </c>
      <c r="I3348" s="6" t="s">
        <v>17</v>
      </c>
      <c r="J3348" s="7" t="s">
        <v>18</v>
      </c>
      <c r="K3348" s="7" t="s">
        <v>19</v>
      </c>
      <c r="L3348" s="8">
        <v>1.773056431978E12</v>
      </c>
      <c r="M3348" s="9"/>
      <c r="N3348" s="10"/>
      <c r="O3348" s="10"/>
      <c r="P3348" s="10"/>
      <c r="Q3348" s="10"/>
      <c r="R3348" s="10"/>
      <c r="S3348" s="10"/>
      <c r="T3348" s="10"/>
      <c r="U3348" s="10"/>
      <c r="V3348" s="10"/>
    </row>
    <row r="3349" ht="22.5" customHeight="1">
      <c r="A3349" s="5">
        <v>2.07725161647E11</v>
      </c>
      <c r="B3349" s="5" t="s">
        <v>3146</v>
      </c>
      <c r="C3349" s="5">
        <v>51959003624</v>
      </c>
      <c r="D3349" s="5" t="s">
        <v>13</v>
      </c>
      <c r="E3349" s="5">
        <v>8.0566583E7</v>
      </c>
      <c r="F3349" s="5" t="s">
        <v>39</v>
      </c>
      <c r="G3349" s="5" t="s">
        <v>15</v>
      </c>
      <c r="H3349" s="5" t="s">
        <v>51</v>
      </c>
      <c r="I3349" s="6" t="s">
        <v>17</v>
      </c>
      <c r="J3349" s="7" t="s">
        <v>25</v>
      </c>
      <c r="K3349" s="7"/>
      <c r="L3349" s="8">
        <v>1.77305675838E12</v>
      </c>
      <c r="M3349" s="9"/>
      <c r="N3349" s="10"/>
      <c r="O3349" s="10"/>
      <c r="P3349" s="10"/>
      <c r="Q3349" s="10"/>
      <c r="R3349" s="10"/>
      <c r="S3349" s="10"/>
      <c r="T3349" s="10"/>
      <c r="U3349" s="10"/>
      <c r="V3349" s="10"/>
    </row>
    <row r="3350" ht="22.5" customHeight="1">
      <c r="A3350" s="5">
        <v>2.08033076082E11</v>
      </c>
      <c r="B3350" s="5" t="s">
        <v>3147</v>
      </c>
      <c r="C3350" s="5">
        <v>51945210464</v>
      </c>
      <c r="D3350" s="5" t="s">
        <v>13</v>
      </c>
      <c r="E3350" s="5">
        <v>8.0566583E7</v>
      </c>
      <c r="F3350" s="5" t="s">
        <v>42</v>
      </c>
      <c r="G3350" s="5" t="s">
        <v>15</v>
      </c>
      <c r="H3350" s="5" t="s">
        <v>51</v>
      </c>
      <c r="I3350" s="6" t="s">
        <v>17</v>
      </c>
      <c r="J3350" s="7" t="s">
        <v>18</v>
      </c>
      <c r="K3350" s="7" t="s">
        <v>19</v>
      </c>
      <c r="L3350" s="8">
        <v>1.773057965885E12</v>
      </c>
      <c r="M3350" s="9"/>
      <c r="N3350" s="10"/>
      <c r="O3350" s="10"/>
      <c r="P3350" s="10"/>
      <c r="Q3350" s="10"/>
      <c r="R3350" s="10"/>
      <c r="S3350" s="10"/>
      <c r="T3350" s="10"/>
      <c r="U3350" s="10"/>
      <c r="V3350" s="10"/>
    </row>
    <row r="3351" ht="22.5" customHeight="1">
      <c r="A3351" s="5">
        <v>2.08034677391E11</v>
      </c>
      <c r="B3351" s="5" t="s">
        <v>3148</v>
      </c>
      <c r="C3351" s="5">
        <v>51995351225</v>
      </c>
      <c r="D3351" s="5" t="s">
        <v>13</v>
      </c>
      <c r="E3351" s="5">
        <v>8.0566583E7</v>
      </c>
      <c r="F3351" s="5" t="s">
        <v>714</v>
      </c>
      <c r="G3351" s="5" t="s">
        <v>15</v>
      </c>
      <c r="H3351" s="5" t="s">
        <v>69</v>
      </c>
      <c r="I3351" s="6" t="s">
        <v>17</v>
      </c>
      <c r="J3351" s="7" t="s">
        <v>18</v>
      </c>
      <c r="K3351" s="7" t="s">
        <v>19</v>
      </c>
      <c r="L3351" s="8">
        <v>1.77305810968E12</v>
      </c>
      <c r="M3351" s="9"/>
      <c r="N3351" s="10"/>
      <c r="O3351" s="10"/>
      <c r="P3351" s="10"/>
      <c r="Q3351" s="10"/>
      <c r="R3351" s="10"/>
      <c r="S3351" s="10"/>
      <c r="T3351" s="10"/>
      <c r="U3351" s="10"/>
      <c r="V3351" s="10"/>
    </row>
    <row r="3352" ht="22.5" customHeight="1">
      <c r="A3352" s="5">
        <v>2.08039114587E11</v>
      </c>
      <c r="B3352" s="5" t="s">
        <v>3149</v>
      </c>
      <c r="C3352" s="5">
        <v>5519997938338</v>
      </c>
      <c r="D3352" s="5" t="s">
        <v>13</v>
      </c>
      <c r="E3352" s="5">
        <v>7.9360573E7</v>
      </c>
      <c r="F3352" s="5" t="s">
        <v>28</v>
      </c>
      <c r="G3352" s="5" t="s">
        <v>32</v>
      </c>
      <c r="H3352" s="5" t="s">
        <v>66</v>
      </c>
      <c r="I3352" s="6" t="s">
        <v>17</v>
      </c>
      <c r="J3352" s="7" t="s">
        <v>124</v>
      </c>
      <c r="K3352" s="7" t="s">
        <v>1256</v>
      </c>
      <c r="L3352" s="8">
        <v>1.773058560379E12</v>
      </c>
      <c r="M3352" s="9"/>
      <c r="N3352" s="10"/>
      <c r="O3352" s="10"/>
      <c r="P3352" s="10"/>
      <c r="Q3352" s="10"/>
      <c r="R3352" s="10"/>
      <c r="S3352" s="10"/>
      <c r="T3352" s="10"/>
      <c r="U3352" s="10"/>
      <c r="V3352" s="10"/>
    </row>
    <row r="3353" ht="22.5" customHeight="1">
      <c r="A3353" s="5">
        <v>2.0804472638E11</v>
      </c>
      <c r="B3353" s="5" t="s">
        <v>3150</v>
      </c>
      <c r="C3353" s="5">
        <v>5521969942939</v>
      </c>
      <c r="D3353" s="5" t="s">
        <v>13</v>
      </c>
      <c r="E3353" s="5">
        <v>7.9360573E7</v>
      </c>
      <c r="F3353" s="5" t="s">
        <v>28</v>
      </c>
      <c r="G3353" s="5" t="s">
        <v>32</v>
      </c>
      <c r="H3353" s="5" t="s">
        <v>16</v>
      </c>
      <c r="I3353" s="6" t="s">
        <v>17</v>
      </c>
      <c r="J3353" s="7" t="s">
        <v>124</v>
      </c>
      <c r="K3353" s="7" t="s">
        <v>1256</v>
      </c>
      <c r="L3353" s="8">
        <v>1.773059131431E12</v>
      </c>
      <c r="M3353" s="9"/>
      <c r="N3353" s="10"/>
      <c r="O3353" s="10"/>
      <c r="P3353" s="10"/>
      <c r="Q3353" s="10"/>
      <c r="R3353" s="10"/>
      <c r="S3353" s="10"/>
      <c r="T3353" s="10"/>
      <c r="U3353" s="10"/>
      <c r="V3353" s="10"/>
    </row>
    <row r="3354" ht="22.5" customHeight="1">
      <c r="A3354" s="5">
        <v>2.08042837301E11</v>
      </c>
      <c r="B3354" s="5" t="s">
        <v>3151</v>
      </c>
      <c r="C3354" s="5">
        <v>51952322708</v>
      </c>
      <c r="D3354" s="5" t="s">
        <v>13</v>
      </c>
      <c r="E3354" s="5">
        <v>8.7547393E7</v>
      </c>
      <c r="F3354" s="5" t="s">
        <v>714</v>
      </c>
      <c r="G3354" s="5" t="s">
        <v>32</v>
      </c>
      <c r="H3354" s="5" t="s">
        <v>66</v>
      </c>
      <c r="I3354" s="6" t="s">
        <v>17</v>
      </c>
      <c r="J3354" s="7" t="s">
        <v>25</v>
      </c>
      <c r="K3354" s="7" t="s">
        <v>501</v>
      </c>
      <c r="L3354" s="8">
        <v>1.773059971752E12</v>
      </c>
      <c r="M3354" s="9"/>
      <c r="N3354" s="10"/>
      <c r="O3354" s="10"/>
      <c r="P3354" s="10"/>
      <c r="Q3354" s="10"/>
      <c r="R3354" s="10"/>
      <c r="S3354" s="10"/>
      <c r="T3354" s="10"/>
      <c r="U3354" s="10"/>
      <c r="V3354" s="10"/>
    </row>
    <row r="3355" ht="22.5" customHeight="1">
      <c r="A3355" s="5">
        <v>2.08046931207E11</v>
      </c>
      <c r="B3355" s="5" t="s">
        <v>3152</v>
      </c>
      <c r="C3355" s="5">
        <v>5589988318208</v>
      </c>
      <c r="D3355" s="5" t="s">
        <v>13</v>
      </c>
      <c r="E3355" s="5">
        <v>7.9360573E7</v>
      </c>
      <c r="F3355" s="5" t="s">
        <v>28</v>
      </c>
      <c r="G3355" s="5" t="s">
        <v>15</v>
      </c>
      <c r="H3355" s="5" t="s">
        <v>16</v>
      </c>
      <c r="I3355" s="6" t="s">
        <v>17</v>
      </c>
      <c r="J3355" s="7" t="s">
        <v>34</v>
      </c>
      <c r="K3355" s="7"/>
      <c r="L3355" s="8">
        <v>1.773060634541E12</v>
      </c>
      <c r="M3355" s="9"/>
      <c r="N3355" s="10"/>
      <c r="O3355" s="10"/>
      <c r="P3355" s="10"/>
      <c r="Q3355" s="10"/>
      <c r="R3355" s="10"/>
      <c r="S3355" s="10"/>
      <c r="T3355" s="10"/>
      <c r="U3355" s="10"/>
      <c r="V3355" s="10"/>
    </row>
    <row r="3356" ht="22.5" customHeight="1">
      <c r="A3356" s="5">
        <v>2.05303812621E11</v>
      </c>
      <c r="B3356" s="5" t="s">
        <v>3153</v>
      </c>
      <c r="C3356" s="5">
        <v>51962445616</v>
      </c>
      <c r="D3356" s="5" t="s">
        <v>13</v>
      </c>
      <c r="E3356" s="5">
        <v>8.0566583E7</v>
      </c>
      <c r="F3356" s="5" t="s">
        <v>28</v>
      </c>
      <c r="G3356" s="5" t="s">
        <v>15</v>
      </c>
      <c r="H3356" s="5" t="s">
        <v>51</v>
      </c>
      <c r="I3356" s="6" t="s">
        <v>17</v>
      </c>
      <c r="J3356" s="7" t="s">
        <v>18</v>
      </c>
      <c r="K3356" s="7" t="s">
        <v>19</v>
      </c>
      <c r="L3356" s="8">
        <v>1.773060818873E12</v>
      </c>
      <c r="M3356" s="9"/>
      <c r="N3356" s="10"/>
      <c r="O3356" s="10"/>
      <c r="P3356" s="10"/>
      <c r="Q3356" s="10"/>
      <c r="R3356" s="10"/>
      <c r="S3356" s="10"/>
      <c r="T3356" s="10"/>
      <c r="U3356" s="10"/>
      <c r="V3356" s="10"/>
    </row>
    <row r="3357" ht="22.5" customHeight="1">
      <c r="A3357" s="5">
        <v>2.08048559171E11</v>
      </c>
      <c r="B3357" s="5" t="s">
        <v>3154</v>
      </c>
      <c r="C3357" s="5">
        <v>51931244642</v>
      </c>
      <c r="D3357" s="5" t="s">
        <v>38</v>
      </c>
      <c r="E3357" s="5">
        <v>8.7547393E7</v>
      </c>
      <c r="F3357" s="5" t="s">
        <v>714</v>
      </c>
      <c r="G3357" s="5" t="s">
        <v>15</v>
      </c>
      <c r="H3357" s="5" t="s">
        <v>51</v>
      </c>
      <c r="I3357" s="6" t="s">
        <v>17</v>
      </c>
      <c r="J3357" s="7" t="s">
        <v>18</v>
      </c>
      <c r="K3357" s="7" t="s">
        <v>19</v>
      </c>
      <c r="L3357" s="8">
        <v>1.773061062303E12</v>
      </c>
      <c r="M3357" s="9"/>
      <c r="N3357" s="10"/>
      <c r="O3357" s="10"/>
      <c r="P3357" s="10"/>
      <c r="Q3357" s="10"/>
      <c r="R3357" s="10"/>
      <c r="S3357" s="10"/>
      <c r="T3357" s="10"/>
      <c r="U3357" s="10"/>
      <c r="V3357" s="10"/>
    </row>
    <row r="3358" ht="22.5" customHeight="1">
      <c r="A3358" s="5">
        <v>2.08044213092E11</v>
      </c>
      <c r="B3358" s="5" t="s">
        <v>3155</v>
      </c>
      <c r="C3358" s="5">
        <v>51921046494</v>
      </c>
      <c r="D3358" s="5" t="s">
        <v>22</v>
      </c>
      <c r="E3358" s="5">
        <v>8.7547393E7</v>
      </c>
      <c r="F3358" s="5" t="s">
        <v>39</v>
      </c>
      <c r="G3358" s="5" t="s">
        <v>44</v>
      </c>
      <c r="H3358" s="5" t="s">
        <v>114</v>
      </c>
      <c r="I3358" s="6" t="s">
        <v>17</v>
      </c>
      <c r="J3358" s="7" t="s">
        <v>18</v>
      </c>
      <c r="K3358" s="7" t="s">
        <v>19</v>
      </c>
      <c r="L3358" s="8">
        <v>1.773061050834E12</v>
      </c>
      <c r="M3358" s="9"/>
      <c r="N3358" s="10"/>
      <c r="O3358" s="10"/>
      <c r="P3358" s="10"/>
      <c r="Q3358" s="10"/>
      <c r="R3358" s="10"/>
      <c r="S3358" s="10"/>
      <c r="T3358" s="10"/>
      <c r="U3358" s="10"/>
      <c r="V3358" s="10"/>
    </row>
    <row r="3359" ht="22.5" customHeight="1">
      <c r="A3359" s="5">
        <v>2.08045747272E11</v>
      </c>
      <c r="B3359" s="5" t="s">
        <v>3156</v>
      </c>
      <c r="C3359" s="5">
        <v>5593981102506</v>
      </c>
      <c r="D3359" s="5" t="s">
        <v>13</v>
      </c>
      <c r="E3359" s="5">
        <v>7.9360573E7</v>
      </c>
      <c r="F3359" s="5" t="s">
        <v>14</v>
      </c>
      <c r="G3359" s="5" t="s">
        <v>15</v>
      </c>
      <c r="H3359" s="5" t="s">
        <v>128</v>
      </c>
      <c r="I3359" s="6" t="s">
        <v>148</v>
      </c>
      <c r="J3359" s="7" t="s">
        <v>124</v>
      </c>
      <c r="K3359" s="7" t="s">
        <v>1256</v>
      </c>
      <c r="L3359" s="8">
        <v>1.773061946794E12</v>
      </c>
      <c r="M3359" s="9"/>
      <c r="N3359" s="10"/>
      <c r="O3359" s="10"/>
      <c r="P3359" s="10"/>
      <c r="Q3359" s="10"/>
      <c r="R3359" s="10"/>
      <c r="S3359" s="10"/>
      <c r="T3359" s="10"/>
      <c r="U3359" s="10"/>
      <c r="V3359" s="10"/>
    </row>
    <row r="3360" ht="22.5" customHeight="1">
      <c r="A3360" s="5">
        <v>2.0805034267E11</v>
      </c>
      <c r="B3360" s="5" t="s">
        <v>3157</v>
      </c>
      <c r="C3360" s="5">
        <v>595981981143</v>
      </c>
      <c r="D3360" s="5" t="s">
        <v>13</v>
      </c>
      <c r="E3360" s="5">
        <v>8.0566583E7</v>
      </c>
      <c r="F3360" s="5" t="s">
        <v>39</v>
      </c>
      <c r="G3360" s="5" t="s">
        <v>32</v>
      </c>
      <c r="H3360" s="5" t="s">
        <v>114</v>
      </c>
      <c r="I3360" s="6" t="s">
        <v>49</v>
      </c>
      <c r="J3360" s="7" t="s">
        <v>34</v>
      </c>
      <c r="K3360" s="7"/>
      <c r="L3360" s="8">
        <v>1.77306235635E12</v>
      </c>
      <c r="M3360" s="9"/>
      <c r="N3360" s="10"/>
      <c r="O3360" s="10"/>
      <c r="P3360" s="10"/>
      <c r="Q3360" s="10"/>
      <c r="R3360" s="10"/>
      <c r="S3360" s="10"/>
      <c r="T3360" s="10"/>
      <c r="U3360" s="10"/>
      <c r="V3360" s="10"/>
    </row>
    <row r="3361" ht="22.5" customHeight="1">
      <c r="A3361" s="5">
        <v>2.08049126053E11</v>
      </c>
      <c r="B3361" s="5" t="s">
        <v>3158</v>
      </c>
      <c r="C3361" s="5">
        <v>51940252929</v>
      </c>
      <c r="D3361" s="5" t="s">
        <v>13</v>
      </c>
      <c r="E3361" s="5">
        <v>8.0566583E7</v>
      </c>
      <c r="F3361" s="5" t="s">
        <v>42</v>
      </c>
      <c r="G3361" s="5" t="s">
        <v>15</v>
      </c>
      <c r="H3361" s="5" t="s">
        <v>16</v>
      </c>
      <c r="I3361" s="6" t="s">
        <v>63</v>
      </c>
      <c r="J3361" s="7" t="s">
        <v>18</v>
      </c>
      <c r="K3361" s="7" t="s">
        <v>19</v>
      </c>
      <c r="L3361" s="8">
        <v>1.773062608995E12</v>
      </c>
      <c r="M3361" s="9"/>
      <c r="N3361" s="10"/>
      <c r="O3361" s="10"/>
      <c r="P3361" s="10"/>
      <c r="Q3361" s="10"/>
      <c r="R3361" s="10"/>
      <c r="S3361" s="10"/>
      <c r="T3361" s="10"/>
      <c r="U3361" s="10"/>
      <c r="V3361" s="10"/>
    </row>
    <row r="3362" ht="22.5" customHeight="1">
      <c r="A3362" s="5">
        <v>2.08049418315E11</v>
      </c>
      <c r="B3362" s="5" t="s">
        <v>3159</v>
      </c>
      <c r="C3362" s="5">
        <v>51941244425</v>
      </c>
      <c r="D3362" s="5" t="s">
        <v>13</v>
      </c>
      <c r="E3362" s="5">
        <v>8.7547393E7</v>
      </c>
      <c r="F3362" s="5" t="s">
        <v>259</v>
      </c>
      <c r="G3362" s="5" t="s">
        <v>32</v>
      </c>
      <c r="H3362" s="5" t="s">
        <v>66</v>
      </c>
      <c r="I3362" s="6" t="s">
        <v>63</v>
      </c>
      <c r="J3362" s="7" t="s">
        <v>18</v>
      </c>
      <c r="K3362" s="7" t="s">
        <v>19</v>
      </c>
      <c r="L3362" s="8">
        <v>1.773063058074E12</v>
      </c>
      <c r="M3362" s="9"/>
      <c r="N3362" s="10"/>
      <c r="O3362" s="10"/>
      <c r="P3362" s="10"/>
      <c r="Q3362" s="10"/>
      <c r="R3362" s="10"/>
      <c r="S3362" s="10"/>
      <c r="T3362" s="10"/>
      <c r="U3362" s="10"/>
      <c r="V3362" s="10"/>
    </row>
    <row r="3363" ht="22.5" customHeight="1">
      <c r="A3363" s="5">
        <v>2.08049814559E11</v>
      </c>
      <c r="B3363" s="5" t="s">
        <v>3160</v>
      </c>
      <c r="C3363" s="5">
        <v>51925357078</v>
      </c>
      <c r="D3363" s="5" t="s">
        <v>13</v>
      </c>
      <c r="E3363" s="5">
        <v>8.0566583E7</v>
      </c>
      <c r="F3363" s="5" t="s">
        <v>93</v>
      </c>
      <c r="G3363" s="5" t="s">
        <v>15</v>
      </c>
      <c r="H3363" s="5" t="s">
        <v>66</v>
      </c>
      <c r="I3363" s="6" t="s">
        <v>17</v>
      </c>
      <c r="J3363" s="7" t="s">
        <v>18</v>
      </c>
      <c r="K3363" s="7" t="s">
        <v>2930</v>
      </c>
      <c r="L3363" s="8">
        <v>1.77306314554E12</v>
      </c>
      <c r="M3363" s="9"/>
      <c r="N3363" s="10"/>
      <c r="O3363" s="10"/>
      <c r="P3363" s="10"/>
      <c r="Q3363" s="10"/>
      <c r="R3363" s="10"/>
      <c r="S3363" s="10"/>
      <c r="T3363" s="10"/>
      <c r="U3363" s="10"/>
      <c r="V3363" s="10"/>
    </row>
    <row r="3364" ht="22.5" customHeight="1">
      <c r="A3364" s="5">
        <v>2.08052622762E11</v>
      </c>
      <c r="B3364" s="5" t="s">
        <v>3161</v>
      </c>
      <c r="C3364" s="5">
        <v>5535999236141</v>
      </c>
      <c r="D3364" s="5" t="s">
        <v>103</v>
      </c>
      <c r="E3364" s="5">
        <v>7.9360573E7</v>
      </c>
      <c r="F3364" s="5" t="s">
        <v>93</v>
      </c>
      <c r="G3364" s="5" t="s">
        <v>44</v>
      </c>
      <c r="H3364" s="5" t="s">
        <v>114</v>
      </c>
      <c r="I3364" s="6" t="s">
        <v>17</v>
      </c>
      <c r="J3364" s="7" t="s">
        <v>58</v>
      </c>
      <c r="K3364" s="11" t="s">
        <v>59</v>
      </c>
      <c r="L3364" s="8">
        <v>1.773064211896E12</v>
      </c>
      <c r="M3364" s="9"/>
      <c r="N3364" s="10"/>
      <c r="O3364" s="10"/>
      <c r="P3364" s="10"/>
      <c r="Q3364" s="10"/>
      <c r="R3364" s="10"/>
      <c r="S3364" s="10"/>
      <c r="T3364" s="10"/>
      <c r="U3364" s="10"/>
      <c r="V3364" s="10"/>
    </row>
    <row r="3365" ht="22.5" customHeight="1">
      <c r="A3365" s="5">
        <v>2.08059593292E11</v>
      </c>
      <c r="B3365" s="5" t="s">
        <v>3162</v>
      </c>
      <c r="C3365" s="5">
        <v>51949381250</v>
      </c>
      <c r="D3365" s="5" t="s">
        <v>13</v>
      </c>
      <c r="E3365" s="5">
        <v>8.0566583E7</v>
      </c>
      <c r="F3365" s="5" t="s">
        <v>259</v>
      </c>
      <c r="G3365" s="5" t="s">
        <v>79</v>
      </c>
      <c r="H3365" s="5" t="s">
        <v>16</v>
      </c>
      <c r="I3365" s="6" t="s">
        <v>17</v>
      </c>
      <c r="J3365" s="7" t="s">
        <v>18</v>
      </c>
      <c r="K3365" s="7" t="s">
        <v>19</v>
      </c>
      <c r="L3365" s="8">
        <v>1.773064546711E12</v>
      </c>
      <c r="M3365" s="9"/>
      <c r="N3365" s="10"/>
      <c r="O3365" s="10"/>
      <c r="P3365" s="10"/>
      <c r="Q3365" s="10"/>
      <c r="R3365" s="10"/>
      <c r="S3365" s="10"/>
      <c r="T3365" s="10"/>
      <c r="U3365" s="10"/>
      <c r="V3365" s="10"/>
    </row>
    <row r="3366" ht="22.5" customHeight="1">
      <c r="A3366" s="5">
        <v>2.08056669738E11</v>
      </c>
      <c r="B3366" s="5" t="s">
        <v>3163</v>
      </c>
      <c r="C3366" s="5">
        <v>5549999927474</v>
      </c>
      <c r="D3366" s="5" t="s">
        <v>13</v>
      </c>
      <c r="E3366" s="5">
        <v>7.9360573E7</v>
      </c>
      <c r="F3366" s="5" t="s">
        <v>28</v>
      </c>
      <c r="G3366" s="5" t="s">
        <v>15</v>
      </c>
      <c r="H3366" s="5" t="s">
        <v>51</v>
      </c>
      <c r="I3366" s="6" t="s">
        <v>17</v>
      </c>
      <c r="J3366" s="7" t="s">
        <v>34</v>
      </c>
      <c r="K3366" s="7"/>
      <c r="L3366" s="8">
        <v>1.773065297438E12</v>
      </c>
      <c r="M3366" s="9"/>
      <c r="N3366" s="10"/>
      <c r="O3366" s="10"/>
      <c r="P3366" s="10"/>
      <c r="Q3366" s="10"/>
      <c r="R3366" s="10"/>
      <c r="S3366" s="10"/>
      <c r="T3366" s="10"/>
      <c r="U3366" s="10"/>
      <c r="V3366" s="10"/>
    </row>
    <row r="3367" ht="22.5" customHeight="1">
      <c r="A3367" s="5">
        <v>2.08065767288E11</v>
      </c>
      <c r="B3367" s="5" t="s">
        <v>3164</v>
      </c>
      <c r="C3367" s="5">
        <v>51959879343</v>
      </c>
      <c r="D3367" s="5" t="s">
        <v>13</v>
      </c>
      <c r="E3367" s="5">
        <v>8.0566583E7</v>
      </c>
      <c r="F3367" s="5" t="s">
        <v>42</v>
      </c>
      <c r="G3367" s="5" t="s">
        <v>15</v>
      </c>
      <c r="H3367" s="5" t="s">
        <v>16</v>
      </c>
      <c r="I3367" s="6" t="s">
        <v>17</v>
      </c>
      <c r="J3367" s="7" t="s">
        <v>34</v>
      </c>
      <c r="K3367" s="7"/>
      <c r="L3367" s="8">
        <v>1.773066169446E12</v>
      </c>
      <c r="M3367" s="9"/>
      <c r="N3367" s="10"/>
      <c r="O3367" s="10"/>
      <c r="P3367" s="10"/>
      <c r="Q3367" s="10"/>
      <c r="R3367" s="10"/>
      <c r="S3367" s="10"/>
      <c r="T3367" s="10"/>
      <c r="U3367" s="10"/>
      <c r="V3367" s="10"/>
    </row>
    <row r="3368" ht="22.5" customHeight="1">
      <c r="A3368" s="5">
        <v>2.08060690574E11</v>
      </c>
      <c r="B3368" s="5" t="s">
        <v>3165</v>
      </c>
      <c r="C3368" s="5">
        <v>5563992613731</v>
      </c>
      <c r="D3368" s="5" t="s">
        <v>13</v>
      </c>
      <c r="E3368" s="5">
        <v>7.9360573E7</v>
      </c>
      <c r="F3368" s="5" t="s">
        <v>93</v>
      </c>
      <c r="G3368" s="5" t="s">
        <v>15</v>
      </c>
      <c r="H3368" s="5" t="s">
        <v>114</v>
      </c>
      <c r="I3368" s="6" t="s">
        <v>17</v>
      </c>
      <c r="J3368" s="7" t="s">
        <v>34</v>
      </c>
      <c r="K3368" s="7"/>
      <c r="L3368" s="8">
        <v>1.773066416207E12</v>
      </c>
      <c r="M3368" s="9"/>
      <c r="N3368" s="10"/>
      <c r="O3368" s="10"/>
      <c r="P3368" s="10"/>
      <c r="Q3368" s="10"/>
      <c r="R3368" s="10"/>
      <c r="S3368" s="10"/>
      <c r="T3368" s="10"/>
      <c r="U3368" s="10"/>
      <c r="V3368" s="10"/>
    </row>
    <row r="3369" ht="22.5" customHeight="1">
      <c r="A3369" s="5">
        <v>2.07942406723E11</v>
      </c>
      <c r="B3369" s="5" t="s">
        <v>3166</v>
      </c>
      <c r="C3369" s="5">
        <v>51916832281</v>
      </c>
      <c r="D3369" s="5" t="s">
        <v>13</v>
      </c>
      <c r="E3369" s="5">
        <v>8.7547393E7</v>
      </c>
      <c r="F3369" s="5" t="s">
        <v>510</v>
      </c>
      <c r="G3369" s="5" t="s">
        <v>15</v>
      </c>
      <c r="H3369" s="5" t="s">
        <v>16</v>
      </c>
      <c r="I3369" s="6" t="s">
        <v>17</v>
      </c>
      <c r="J3369" s="7" t="s">
        <v>18</v>
      </c>
      <c r="K3369" s="7" t="s">
        <v>19</v>
      </c>
      <c r="L3369" s="8">
        <v>1.773066521506E12</v>
      </c>
      <c r="M3369" s="9"/>
      <c r="N3369" s="10"/>
      <c r="O3369" s="10"/>
      <c r="P3369" s="10"/>
      <c r="Q3369" s="10"/>
      <c r="R3369" s="10"/>
      <c r="S3369" s="10"/>
      <c r="T3369" s="10"/>
      <c r="U3369" s="10"/>
      <c r="V3369" s="10"/>
    </row>
    <row r="3370" ht="22.5" customHeight="1">
      <c r="A3370" s="5">
        <v>2.08065542761E11</v>
      </c>
      <c r="B3370" s="5" t="s">
        <v>3167</v>
      </c>
      <c r="C3370" s="5">
        <v>51981281121</v>
      </c>
      <c r="D3370" s="5" t="s">
        <v>13</v>
      </c>
      <c r="E3370" s="5">
        <v>8.0566583E7</v>
      </c>
      <c r="F3370" s="5" t="s">
        <v>65</v>
      </c>
      <c r="G3370" s="5" t="s">
        <v>15</v>
      </c>
      <c r="H3370" s="5" t="s">
        <v>114</v>
      </c>
      <c r="I3370" s="6" t="s">
        <v>17</v>
      </c>
      <c r="J3370" s="7" t="s">
        <v>18</v>
      </c>
      <c r="K3370" s="7" t="s">
        <v>19</v>
      </c>
      <c r="L3370" s="8">
        <v>1.773067121489E12</v>
      </c>
      <c r="M3370" s="9"/>
      <c r="N3370" s="10"/>
      <c r="O3370" s="10"/>
      <c r="P3370" s="10"/>
      <c r="Q3370" s="10"/>
      <c r="R3370" s="10"/>
      <c r="S3370" s="10"/>
      <c r="T3370" s="10"/>
      <c r="U3370" s="10"/>
      <c r="V3370" s="10"/>
    </row>
    <row r="3371" ht="22.5" customHeight="1">
      <c r="A3371" s="5">
        <v>2.08071426872E11</v>
      </c>
      <c r="B3371" s="5" t="s">
        <v>3168</v>
      </c>
      <c r="C3371" s="5">
        <v>51901165698</v>
      </c>
      <c r="D3371" s="5" t="s">
        <v>13</v>
      </c>
      <c r="E3371" s="5">
        <v>8.7547393E7</v>
      </c>
      <c r="F3371" s="5" t="s">
        <v>93</v>
      </c>
      <c r="G3371" s="5" t="s">
        <v>15</v>
      </c>
      <c r="H3371" s="5" t="s">
        <v>24</v>
      </c>
      <c r="I3371" s="6" t="s">
        <v>17</v>
      </c>
      <c r="J3371" s="7" t="s">
        <v>34</v>
      </c>
      <c r="K3371" s="7"/>
      <c r="L3371" s="8">
        <v>1.77306813633E12</v>
      </c>
      <c r="M3371" s="9"/>
      <c r="N3371" s="10"/>
      <c r="O3371" s="10"/>
      <c r="P3371" s="10"/>
      <c r="Q3371" s="10"/>
      <c r="R3371" s="10"/>
      <c r="S3371" s="10"/>
      <c r="T3371" s="10"/>
      <c r="U3371" s="10"/>
      <c r="V3371" s="10"/>
    </row>
    <row r="3372" ht="22.5" customHeight="1">
      <c r="A3372" s="5">
        <v>2.08066804509E11</v>
      </c>
      <c r="B3372" s="5" t="s">
        <v>3169</v>
      </c>
      <c r="C3372" s="5">
        <v>51958517813</v>
      </c>
      <c r="D3372" s="5" t="s">
        <v>13</v>
      </c>
      <c r="E3372" s="5">
        <v>8.0566583E7</v>
      </c>
      <c r="F3372" s="5" t="s">
        <v>39</v>
      </c>
      <c r="G3372" s="5" t="s">
        <v>15</v>
      </c>
      <c r="H3372" s="5" t="s">
        <v>51</v>
      </c>
      <c r="I3372" s="6" t="s">
        <v>17</v>
      </c>
      <c r="J3372" s="7" t="s">
        <v>18</v>
      </c>
      <c r="K3372" s="7" t="s">
        <v>19</v>
      </c>
      <c r="L3372" s="8">
        <v>1.773068749185E12</v>
      </c>
      <c r="M3372" s="9"/>
      <c r="N3372" s="10"/>
      <c r="O3372" s="10"/>
      <c r="P3372" s="10"/>
      <c r="Q3372" s="10"/>
      <c r="R3372" s="10"/>
      <c r="S3372" s="10"/>
      <c r="T3372" s="10"/>
      <c r="U3372" s="10"/>
      <c r="V3372" s="10"/>
    </row>
    <row r="3373" ht="22.5" customHeight="1">
      <c r="A3373" s="5">
        <v>2.0806861188E11</v>
      </c>
      <c r="B3373" s="5" t="s">
        <v>3170</v>
      </c>
      <c r="C3373" s="5">
        <v>51910958987</v>
      </c>
      <c r="D3373" s="5" t="s">
        <v>13</v>
      </c>
      <c r="E3373" s="5">
        <v>8.0566583E7</v>
      </c>
      <c r="F3373" s="5" t="s">
        <v>39</v>
      </c>
      <c r="G3373" s="5" t="s">
        <v>15</v>
      </c>
      <c r="H3373" s="5" t="s">
        <v>51</v>
      </c>
      <c r="I3373" s="6" t="s">
        <v>17</v>
      </c>
      <c r="J3373" s="7" t="s">
        <v>18</v>
      </c>
      <c r="K3373" s="7" t="s">
        <v>19</v>
      </c>
      <c r="L3373" s="8">
        <v>1.773068859328E12</v>
      </c>
      <c r="M3373" s="9"/>
      <c r="N3373" s="10"/>
      <c r="O3373" s="10"/>
      <c r="P3373" s="10"/>
      <c r="Q3373" s="10"/>
      <c r="R3373" s="10"/>
      <c r="S3373" s="10"/>
      <c r="T3373" s="10"/>
      <c r="U3373" s="10"/>
      <c r="V3373" s="10"/>
    </row>
    <row r="3374" ht="22.5" customHeight="1">
      <c r="A3374" s="5">
        <v>2.08080870463E11</v>
      </c>
      <c r="B3374" s="5" t="s">
        <v>3171</v>
      </c>
      <c r="C3374" s="5">
        <v>51938772220</v>
      </c>
      <c r="D3374" s="5" t="s">
        <v>13</v>
      </c>
      <c r="E3374" s="5">
        <v>8.0566583E7</v>
      </c>
      <c r="F3374" s="5" t="s">
        <v>65</v>
      </c>
      <c r="G3374" s="5" t="s">
        <v>15</v>
      </c>
      <c r="H3374" s="5" t="s">
        <v>51</v>
      </c>
      <c r="I3374" s="6" t="s">
        <v>36</v>
      </c>
      <c r="J3374" s="7" t="s">
        <v>34</v>
      </c>
      <c r="K3374" s="7"/>
      <c r="L3374" s="8">
        <v>1.773070788717E12</v>
      </c>
      <c r="M3374" s="9"/>
      <c r="N3374" s="10"/>
      <c r="O3374" s="10"/>
      <c r="P3374" s="10"/>
      <c r="Q3374" s="10"/>
      <c r="R3374" s="10"/>
      <c r="S3374" s="10"/>
      <c r="T3374" s="10"/>
      <c r="U3374" s="10"/>
      <c r="V3374" s="10"/>
    </row>
    <row r="3375" ht="22.5" customHeight="1">
      <c r="A3375" s="5">
        <v>2.06469668375E11</v>
      </c>
      <c r="B3375" s="5" t="s">
        <v>3172</v>
      </c>
      <c r="C3375" s="5">
        <v>5518991905948</v>
      </c>
      <c r="D3375" s="5" t="s">
        <v>22</v>
      </c>
      <c r="E3375" s="5">
        <v>7.9360573E7</v>
      </c>
      <c r="F3375" s="5" t="s">
        <v>39</v>
      </c>
      <c r="G3375" s="5" t="s">
        <v>79</v>
      </c>
      <c r="H3375" s="5" t="s">
        <v>55</v>
      </c>
      <c r="I3375" s="6" t="s">
        <v>36</v>
      </c>
      <c r="J3375" s="7" t="s">
        <v>34</v>
      </c>
      <c r="K3375" s="7"/>
      <c r="L3375" s="8">
        <v>1.773072342523E12</v>
      </c>
      <c r="M3375" s="9"/>
      <c r="N3375" s="10"/>
      <c r="O3375" s="10"/>
      <c r="P3375" s="10"/>
      <c r="Q3375" s="10"/>
      <c r="R3375" s="10"/>
      <c r="S3375" s="10"/>
      <c r="T3375" s="10"/>
      <c r="U3375" s="10"/>
      <c r="V3375" s="10"/>
    </row>
    <row r="3376" ht="22.5" customHeight="1">
      <c r="A3376" s="5">
        <v>2.0809043177E11</v>
      </c>
      <c r="B3376" s="5" t="s">
        <v>3173</v>
      </c>
      <c r="C3376" s="5">
        <v>51980607256</v>
      </c>
      <c r="D3376" s="5" t="s">
        <v>13</v>
      </c>
      <c r="E3376" s="5">
        <v>8.0566583E7</v>
      </c>
      <c r="F3376" s="5" t="s">
        <v>65</v>
      </c>
      <c r="G3376" s="5" t="s">
        <v>15</v>
      </c>
      <c r="H3376" s="5" t="s">
        <v>24</v>
      </c>
      <c r="I3376" s="6" t="s">
        <v>17</v>
      </c>
      <c r="J3376" s="7" t="s">
        <v>18</v>
      </c>
      <c r="K3376" s="7" t="s">
        <v>19</v>
      </c>
      <c r="L3376" s="8">
        <v>1.773072622439E12</v>
      </c>
      <c r="M3376" s="9"/>
      <c r="N3376" s="10"/>
      <c r="O3376" s="10"/>
      <c r="P3376" s="10"/>
      <c r="Q3376" s="10"/>
      <c r="R3376" s="10"/>
      <c r="S3376" s="10"/>
      <c r="T3376" s="10"/>
      <c r="U3376" s="10"/>
      <c r="V3376" s="10"/>
    </row>
    <row r="3377" ht="22.5" customHeight="1">
      <c r="A3377" s="5">
        <v>2.08086083864E11</v>
      </c>
      <c r="B3377" s="5" t="s">
        <v>3174</v>
      </c>
      <c r="C3377" s="5">
        <v>51930192180</v>
      </c>
      <c r="D3377" s="5" t="s">
        <v>13</v>
      </c>
      <c r="E3377" s="5">
        <v>8.0566583E7</v>
      </c>
      <c r="F3377" s="5" t="s">
        <v>39</v>
      </c>
      <c r="G3377" s="5" t="s">
        <v>15</v>
      </c>
      <c r="H3377" s="5" t="s">
        <v>66</v>
      </c>
      <c r="I3377" s="6" t="s">
        <v>17</v>
      </c>
      <c r="J3377" s="7" t="s">
        <v>18</v>
      </c>
      <c r="K3377" s="7" t="s">
        <v>19</v>
      </c>
      <c r="L3377" s="8">
        <v>1.773072755197E12</v>
      </c>
      <c r="M3377" s="9"/>
      <c r="N3377" s="10"/>
      <c r="O3377" s="10"/>
      <c r="P3377" s="10"/>
      <c r="Q3377" s="10"/>
      <c r="R3377" s="10"/>
      <c r="S3377" s="10"/>
      <c r="T3377" s="10"/>
      <c r="U3377" s="10"/>
      <c r="V3377" s="10"/>
    </row>
    <row r="3378" ht="22.5" customHeight="1">
      <c r="A3378" s="5">
        <v>2.08103751477E11</v>
      </c>
      <c r="B3378" s="5" t="s">
        <v>3175</v>
      </c>
      <c r="C3378" s="5">
        <v>51921172807</v>
      </c>
      <c r="D3378" s="5" t="s">
        <v>22</v>
      </c>
      <c r="E3378" s="5">
        <v>8.7547393E7</v>
      </c>
      <c r="F3378" s="5" t="s">
        <v>39</v>
      </c>
      <c r="G3378" s="5" t="s">
        <v>44</v>
      </c>
      <c r="H3378" s="5" t="s">
        <v>66</v>
      </c>
      <c r="I3378" s="6" t="s">
        <v>17</v>
      </c>
      <c r="J3378" s="7" t="s">
        <v>18</v>
      </c>
      <c r="K3378" s="7" t="s">
        <v>19</v>
      </c>
      <c r="L3378" s="8">
        <v>1.773075525479E12</v>
      </c>
      <c r="M3378" s="9"/>
      <c r="N3378" s="10"/>
      <c r="O3378" s="10"/>
      <c r="P3378" s="10"/>
      <c r="Q3378" s="10"/>
      <c r="R3378" s="10"/>
      <c r="S3378" s="10"/>
      <c r="T3378" s="10"/>
      <c r="U3378" s="10"/>
      <c r="V3378" s="10"/>
    </row>
    <row r="3379" ht="22.5" customHeight="1">
      <c r="A3379" s="5">
        <v>2.08105013324E11</v>
      </c>
      <c r="B3379" s="5" t="s">
        <v>3176</v>
      </c>
      <c r="C3379" s="5">
        <v>51921778218</v>
      </c>
      <c r="D3379" s="5" t="s">
        <v>38</v>
      </c>
      <c r="E3379" s="5">
        <v>8.7547393E7</v>
      </c>
      <c r="F3379" s="5" t="s">
        <v>259</v>
      </c>
      <c r="G3379" s="5" t="s">
        <v>15</v>
      </c>
      <c r="H3379" s="5" t="s">
        <v>24</v>
      </c>
      <c r="I3379" s="6" t="s">
        <v>17</v>
      </c>
      <c r="J3379" s="7" t="s">
        <v>18</v>
      </c>
      <c r="K3379" s="7" t="s">
        <v>19</v>
      </c>
      <c r="L3379" s="8">
        <v>1.773075822257E12</v>
      </c>
      <c r="M3379" s="9"/>
      <c r="N3379" s="10"/>
      <c r="O3379" s="10"/>
      <c r="P3379" s="10"/>
      <c r="Q3379" s="10"/>
      <c r="R3379" s="10"/>
      <c r="S3379" s="10"/>
      <c r="T3379" s="10"/>
      <c r="U3379" s="10"/>
      <c r="V3379" s="10"/>
    </row>
    <row r="3380" ht="22.5" customHeight="1">
      <c r="A3380" s="5">
        <v>2.08105013324E11</v>
      </c>
      <c r="B3380" s="5" t="s">
        <v>3176</v>
      </c>
      <c r="C3380" s="5">
        <v>51921778218</v>
      </c>
      <c r="D3380" s="5" t="s">
        <v>13</v>
      </c>
      <c r="E3380" s="5">
        <v>8.7547393E7</v>
      </c>
      <c r="F3380" s="5" t="s">
        <v>259</v>
      </c>
      <c r="G3380" s="5" t="s">
        <v>15</v>
      </c>
      <c r="H3380" s="5" t="s">
        <v>24</v>
      </c>
      <c r="I3380" s="6" t="s">
        <v>17</v>
      </c>
      <c r="J3380" s="7" t="s">
        <v>18</v>
      </c>
      <c r="K3380" s="7" t="s">
        <v>19</v>
      </c>
      <c r="L3380" s="8">
        <v>1.773075908126E12</v>
      </c>
      <c r="M3380" s="9"/>
      <c r="N3380" s="10"/>
      <c r="O3380" s="10"/>
      <c r="P3380" s="10"/>
      <c r="Q3380" s="10"/>
      <c r="R3380" s="10"/>
      <c r="S3380" s="10"/>
      <c r="T3380" s="10"/>
      <c r="U3380" s="10"/>
      <c r="V3380" s="10"/>
    </row>
    <row r="3381" ht="22.5" customHeight="1">
      <c r="A3381" s="5">
        <v>2.07926779796E11</v>
      </c>
      <c r="B3381" s="5" t="s">
        <v>3177</v>
      </c>
      <c r="C3381" s="5">
        <v>51971677755</v>
      </c>
      <c r="D3381" s="5" t="s">
        <v>13</v>
      </c>
      <c r="E3381" s="5">
        <v>8.7547393E7</v>
      </c>
      <c r="F3381" s="5" t="s">
        <v>714</v>
      </c>
      <c r="G3381" s="5" t="s">
        <v>32</v>
      </c>
      <c r="H3381" s="5" t="s">
        <v>16</v>
      </c>
      <c r="I3381" s="6" t="s">
        <v>17</v>
      </c>
      <c r="J3381" s="7" t="s">
        <v>34</v>
      </c>
      <c r="K3381" s="7"/>
      <c r="L3381" s="8">
        <v>1.773076253613E12</v>
      </c>
      <c r="M3381" s="9"/>
      <c r="N3381" s="10"/>
      <c r="O3381" s="10"/>
      <c r="P3381" s="10"/>
      <c r="Q3381" s="10"/>
      <c r="R3381" s="10"/>
      <c r="S3381" s="10"/>
      <c r="T3381" s="10"/>
      <c r="U3381" s="10"/>
      <c r="V3381" s="10"/>
    </row>
    <row r="3382" ht="22.5" customHeight="1">
      <c r="A3382" s="5">
        <v>2.08106346093E11</v>
      </c>
      <c r="B3382" s="5" t="s">
        <v>3178</v>
      </c>
      <c r="C3382" s="5">
        <v>51922833892</v>
      </c>
      <c r="D3382" s="5" t="s">
        <v>13</v>
      </c>
      <c r="E3382" s="5">
        <v>8.0566583E7</v>
      </c>
      <c r="F3382" s="5"/>
      <c r="G3382" s="5" t="s">
        <v>15</v>
      </c>
      <c r="H3382" s="5" t="s">
        <v>51</v>
      </c>
      <c r="I3382" s="6" t="s">
        <v>63</v>
      </c>
      <c r="J3382" s="7" t="s">
        <v>18</v>
      </c>
      <c r="K3382" s="7" t="s">
        <v>19</v>
      </c>
      <c r="L3382" s="8">
        <v>1.77307633471E12</v>
      </c>
      <c r="M3382" s="9"/>
      <c r="N3382" s="10"/>
      <c r="O3382" s="10"/>
      <c r="P3382" s="10"/>
      <c r="Q3382" s="10"/>
      <c r="R3382" s="10"/>
      <c r="S3382" s="10"/>
      <c r="T3382" s="10"/>
      <c r="U3382" s="10"/>
      <c r="V3382" s="10"/>
    </row>
    <row r="3383" ht="22.5" customHeight="1">
      <c r="A3383" s="5">
        <v>2.0809886806E11</v>
      </c>
      <c r="B3383" s="5" t="s">
        <v>3179</v>
      </c>
      <c r="C3383" s="5">
        <v>51926128384</v>
      </c>
      <c r="D3383" s="5" t="s">
        <v>13</v>
      </c>
      <c r="E3383" s="5">
        <v>8.0566583E7</v>
      </c>
      <c r="F3383" s="5" t="s">
        <v>82</v>
      </c>
      <c r="G3383" s="5" t="s">
        <v>104</v>
      </c>
      <c r="H3383" s="5" t="s">
        <v>86</v>
      </c>
      <c r="I3383" s="6" t="s">
        <v>17</v>
      </c>
      <c r="J3383" s="7" t="s">
        <v>18</v>
      </c>
      <c r="K3383" s="7" t="s">
        <v>19</v>
      </c>
      <c r="L3383" s="8">
        <v>1.773076607631E12</v>
      </c>
      <c r="M3383" s="9"/>
      <c r="N3383" s="10"/>
      <c r="O3383" s="10"/>
      <c r="P3383" s="10"/>
      <c r="Q3383" s="10"/>
      <c r="R3383" s="10"/>
      <c r="S3383" s="10"/>
      <c r="T3383" s="10"/>
      <c r="U3383" s="10"/>
      <c r="V3383" s="10"/>
    </row>
    <row r="3384" ht="22.5" customHeight="1">
      <c r="A3384" s="5">
        <v>1.98266393426E11</v>
      </c>
      <c r="B3384" s="5" t="s">
        <v>3180</v>
      </c>
      <c r="C3384" s="5">
        <v>51960994478</v>
      </c>
      <c r="D3384" s="5" t="s">
        <v>103</v>
      </c>
      <c r="E3384" s="5">
        <v>8.0566583E7</v>
      </c>
      <c r="F3384" s="5" t="s">
        <v>259</v>
      </c>
      <c r="G3384" s="5" t="s">
        <v>79</v>
      </c>
      <c r="H3384" s="5" t="s">
        <v>24</v>
      </c>
      <c r="I3384" s="6" t="s">
        <v>17</v>
      </c>
      <c r="J3384" s="7" t="s">
        <v>58</v>
      </c>
      <c r="K3384" s="11" t="s">
        <v>59</v>
      </c>
      <c r="L3384" s="8">
        <v>1.773078810898E12</v>
      </c>
      <c r="M3384" s="9"/>
      <c r="N3384" s="10"/>
      <c r="O3384" s="10"/>
      <c r="P3384" s="10"/>
      <c r="Q3384" s="10"/>
      <c r="R3384" s="10"/>
      <c r="S3384" s="10"/>
      <c r="T3384" s="10"/>
      <c r="U3384" s="10"/>
      <c r="V3384" s="10"/>
    </row>
    <row r="3385" ht="22.5" customHeight="1">
      <c r="A3385" s="5">
        <v>2.08116866339E11</v>
      </c>
      <c r="B3385" s="5" t="s">
        <v>3181</v>
      </c>
      <c r="C3385" s="5">
        <v>51901973769</v>
      </c>
      <c r="D3385" s="5" t="s">
        <v>22</v>
      </c>
      <c r="E3385" s="5">
        <v>8.0566583E7</v>
      </c>
      <c r="F3385" s="5" t="s">
        <v>28</v>
      </c>
      <c r="G3385" s="5" t="s">
        <v>44</v>
      </c>
      <c r="H3385" s="5" t="s">
        <v>51</v>
      </c>
      <c r="I3385" s="6" t="s">
        <v>17</v>
      </c>
      <c r="J3385" s="7" t="s">
        <v>34</v>
      </c>
      <c r="K3385" s="7"/>
      <c r="L3385" s="8">
        <v>1.773080205746E12</v>
      </c>
      <c r="M3385" s="9"/>
      <c r="N3385" s="10"/>
      <c r="O3385" s="10"/>
      <c r="P3385" s="10"/>
      <c r="Q3385" s="10"/>
      <c r="R3385" s="10"/>
      <c r="S3385" s="10"/>
      <c r="T3385" s="10"/>
      <c r="U3385" s="10"/>
      <c r="V3385" s="10"/>
    </row>
    <row r="3386" ht="22.5" customHeight="1">
      <c r="A3386" s="5">
        <v>2.08112458394E11</v>
      </c>
      <c r="B3386" s="5" t="s">
        <v>3182</v>
      </c>
      <c r="C3386" s="5">
        <v>51939773024</v>
      </c>
      <c r="D3386" s="5" t="s">
        <v>13</v>
      </c>
      <c r="E3386" s="5">
        <v>8.7547393E7</v>
      </c>
      <c r="F3386" s="5" t="s">
        <v>42</v>
      </c>
      <c r="G3386" s="5" t="s">
        <v>15</v>
      </c>
      <c r="H3386" s="5" t="s">
        <v>51</v>
      </c>
      <c r="I3386" s="6" t="s">
        <v>17</v>
      </c>
      <c r="J3386" s="7" t="s">
        <v>18</v>
      </c>
      <c r="K3386" s="7" t="s">
        <v>19</v>
      </c>
      <c r="L3386" s="8">
        <v>1.773080540866E12</v>
      </c>
      <c r="M3386" s="9"/>
      <c r="N3386" s="10"/>
      <c r="O3386" s="10"/>
      <c r="P3386" s="10"/>
      <c r="Q3386" s="10"/>
      <c r="R3386" s="10"/>
      <c r="S3386" s="10"/>
      <c r="T3386" s="10"/>
      <c r="U3386" s="10"/>
      <c r="V3386" s="10"/>
    </row>
    <row r="3387" ht="22.5" customHeight="1">
      <c r="A3387" s="5">
        <v>1.54843493513E11</v>
      </c>
      <c r="B3387" s="5" t="s">
        <v>3183</v>
      </c>
      <c r="C3387" s="5">
        <v>51992302384</v>
      </c>
      <c r="D3387" s="5" t="s">
        <v>13</v>
      </c>
      <c r="E3387" s="5">
        <v>8.0566583E7</v>
      </c>
      <c r="F3387" s="5" t="s">
        <v>14</v>
      </c>
      <c r="G3387" s="5" t="s">
        <v>15</v>
      </c>
      <c r="H3387" s="5" t="s">
        <v>24</v>
      </c>
      <c r="I3387" s="6" t="s">
        <v>63</v>
      </c>
      <c r="J3387" s="7" t="s">
        <v>34</v>
      </c>
      <c r="K3387" s="7"/>
      <c r="L3387" s="8">
        <v>1.773080888221E12</v>
      </c>
      <c r="M3387" s="9"/>
      <c r="N3387" s="10"/>
      <c r="O3387" s="10"/>
      <c r="P3387" s="10"/>
      <c r="Q3387" s="10"/>
      <c r="R3387" s="10"/>
      <c r="S3387" s="10"/>
      <c r="T3387" s="10"/>
      <c r="U3387" s="10"/>
      <c r="V3387" s="10"/>
    </row>
    <row r="3388" ht="22.5" customHeight="1">
      <c r="A3388" s="5">
        <v>2.08117423679E11</v>
      </c>
      <c r="B3388" s="5" t="s">
        <v>3184</v>
      </c>
      <c r="C3388" s="5">
        <v>5535988341689</v>
      </c>
      <c r="D3388" s="5" t="s">
        <v>22</v>
      </c>
      <c r="E3388" s="5">
        <v>7.9360573E7</v>
      </c>
      <c r="F3388" s="5" t="s">
        <v>28</v>
      </c>
      <c r="G3388" s="5" t="s">
        <v>44</v>
      </c>
      <c r="H3388" s="5" t="s">
        <v>114</v>
      </c>
      <c r="I3388" s="6" t="s">
        <v>63</v>
      </c>
      <c r="J3388" s="7" t="s">
        <v>34</v>
      </c>
      <c r="K3388" s="7"/>
      <c r="L3388" s="8">
        <v>1.773082631114E12</v>
      </c>
      <c r="M3388" s="9"/>
      <c r="N3388" s="10"/>
      <c r="O3388" s="10"/>
      <c r="P3388" s="10"/>
      <c r="Q3388" s="10"/>
      <c r="R3388" s="10"/>
      <c r="S3388" s="10"/>
      <c r="T3388" s="10"/>
      <c r="U3388" s="10"/>
      <c r="V3388" s="10"/>
    </row>
    <row r="3389" ht="22.5" customHeight="1">
      <c r="A3389" s="5">
        <v>2.08136870788E11</v>
      </c>
      <c r="B3389" s="5" t="s">
        <v>3185</v>
      </c>
      <c r="C3389" s="5">
        <v>51906677045</v>
      </c>
      <c r="D3389" s="5" t="s">
        <v>13</v>
      </c>
      <c r="E3389" s="5">
        <v>8.7547393E7</v>
      </c>
      <c r="F3389" s="5" t="s">
        <v>39</v>
      </c>
      <c r="G3389" s="5" t="s">
        <v>15</v>
      </c>
      <c r="H3389" s="5" t="s">
        <v>51</v>
      </c>
      <c r="I3389" s="6" t="s">
        <v>17</v>
      </c>
      <c r="J3389" s="7" t="s">
        <v>18</v>
      </c>
      <c r="K3389" s="7" t="s">
        <v>19</v>
      </c>
      <c r="L3389" s="8">
        <v>1.773086170985E12</v>
      </c>
      <c r="M3389" s="9"/>
      <c r="N3389" s="10"/>
      <c r="O3389" s="10"/>
      <c r="P3389" s="10"/>
      <c r="Q3389" s="10"/>
      <c r="R3389" s="10"/>
      <c r="S3389" s="10"/>
      <c r="T3389" s="10"/>
      <c r="U3389" s="10"/>
      <c r="V3389" s="10"/>
    </row>
    <row r="3390" ht="22.5" customHeight="1">
      <c r="A3390" s="5">
        <v>2.08136066465E11</v>
      </c>
      <c r="B3390" s="5" t="s">
        <v>3186</v>
      </c>
      <c r="C3390" s="5">
        <v>51916091980</v>
      </c>
      <c r="D3390" s="5" t="s">
        <v>13</v>
      </c>
      <c r="E3390" s="5">
        <v>8.0566583E7</v>
      </c>
      <c r="F3390" s="5" t="s">
        <v>14</v>
      </c>
      <c r="G3390" s="5" t="s">
        <v>32</v>
      </c>
      <c r="H3390" s="5" t="s">
        <v>66</v>
      </c>
      <c r="I3390" s="6" t="s">
        <v>17</v>
      </c>
      <c r="J3390" s="7" t="s">
        <v>18</v>
      </c>
      <c r="K3390" s="7" t="s">
        <v>19</v>
      </c>
      <c r="L3390" s="8">
        <v>1.77308625096E12</v>
      </c>
      <c r="M3390" s="9"/>
      <c r="N3390" s="10"/>
      <c r="O3390" s="10"/>
      <c r="P3390" s="10"/>
      <c r="Q3390" s="10"/>
      <c r="R3390" s="10"/>
      <c r="S3390" s="10"/>
      <c r="T3390" s="10"/>
      <c r="U3390" s="10"/>
      <c r="V3390" s="10"/>
    </row>
    <row r="3391" ht="22.5" customHeight="1">
      <c r="A3391" s="5">
        <v>2.07875738446E11</v>
      </c>
      <c r="B3391" s="5" t="s">
        <v>3187</v>
      </c>
      <c r="C3391" s="5">
        <v>584161615118</v>
      </c>
      <c r="D3391" s="5" t="s">
        <v>13</v>
      </c>
      <c r="E3391" s="5">
        <v>8.7547393E7</v>
      </c>
      <c r="F3391" s="5" t="s">
        <v>93</v>
      </c>
      <c r="G3391" s="5" t="s">
        <v>15</v>
      </c>
      <c r="H3391" s="5" t="s">
        <v>24</v>
      </c>
      <c r="I3391" s="6" t="s">
        <v>17</v>
      </c>
      <c r="J3391" s="7" t="s">
        <v>25</v>
      </c>
      <c r="K3391" s="7" t="s">
        <v>501</v>
      </c>
      <c r="L3391" s="8">
        <v>1.773087387576E12</v>
      </c>
      <c r="M3391" s="9"/>
      <c r="N3391" s="10"/>
      <c r="O3391" s="10"/>
      <c r="P3391" s="10"/>
      <c r="Q3391" s="10"/>
      <c r="R3391" s="10"/>
      <c r="S3391" s="10"/>
      <c r="T3391" s="10"/>
      <c r="U3391" s="10"/>
      <c r="V3391" s="10"/>
    </row>
    <row r="3392" ht="22.5" customHeight="1">
      <c r="A3392" s="5">
        <v>2.08147600178E11</v>
      </c>
      <c r="B3392" s="5" t="s">
        <v>3188</v>
      </c>
      <c r="C3392" s="5">
        <v>51928279712</v>
      </c>
      <c r="D3392" s="5" t="s">
        <v>13</v>
      </c>
      <c r="E3392" s="5">
        <v>8.0566583E7</v>
      </c>
      <c r="F3392" s="5" t="s">
        <v>39</v>
      </c>
      <c r="G3392" s="5" t="s">
        <v>15</v>
      </c>
      <c r="H3392" s="5" t="s">
        <v>24</v>
      </c>
      <c r="I3392" s="6" t="s">
        <v>17</v>
      </c>
      <c r="J3392" s="7" t="s">
        <v>403</v>
      </c>
      <c r="K3392" s="7">
        <v>236025.0</v>
      </c>
      <c r="L3392" s="8">
        <v>1.773088080658E12</v>
      </c>
      <c r="M3392" s="9"/>
      <c r="N3392" s="10"/>
      <c r="O3392" s="10"/>
      <c r="P3392" s="10"/>
      <c r="Q3392" s="10"/>
      <c r="R3392" s="10"/>
      <c r="S3392" s="10"/>
      <c r="T3392" s="10"/>
      <c r="U3392" s="10"/>
      <c r="V3392" s="10"/>
    </row>
    <row r="3393" ht="22.5" customHeight="1">
      <c r="A3393" s="5">
        <v>2.08141665063E11</v>
      </c>
      <c r="B3393" s="5" t="s">
        <v>3189</v>
      </c>
      <c r="C3393" s="5">
        <v>51929201321</v>
      </c>
      <c r="D3393" s="5" t="s">
        <v>13</v>
      </c>
      <c r="E3393" s="5">
        <v>8.7547393E7</v>
      </c>
      <c r="F3393" s="5" t="s">
        <v>65</v>
      </c>
      <c r="G3393" s="5" t="s">
        <v>44</v>
      </c>
      <c r="H3393" s="5" t="s">
        <v>352</v>
      </c>
      <c r="I3393" s="6" t="s">
        <v>17</v>
      </c>
      <c r="J3393" s="7" t="s">
        <v>34</v>
      </c>
      <c r="K3393" s="7"/>
      <c r="L3393" s="8">
        <v>1.773088961856E12</v>
      </c>
      <c r="M3393" s="9"/>
      <c r="N3393" s="10"/>
      <c r="O3393" s="10"/>
      <c r="P3393" s="10"/>
      <c r="Q3393" s="10"/>
      <c r="R3393" s="10"/>
      <c r="S3393" s="10"/>
      <c r="T3393" s="10"/>
      <c r="U3393" s="10"/>
      <c r="V3393" s="10"/>
    </row>
    <row r="3394" ht="22.5" customHeight="1">
      <c r="A3394" s="5">
        <v>2.08148382635E11</v>
      </c>
      <c r="B3394" s="5" t="s">
        <v>3190</v>
      </c>
      <c r="C3394" s="5">
        <v>5541999046133</v>
      </c>
      <c r="D3394" s="5" t="s">
        <v>38</v>
      </c>
      <c r="E3394" s="5">
        <v>7.9360573E7</v>
      </c>
      <c r="F3394" s="5"/>
      <c r="G3394" s="5"/>
      <c r="H3394" s="5"/>
      <c r="I3394" s="6"/>
      <c r="J3394" s="7" t="s">
        <v>34</v>
      </c>
      <c r="K3394" s="7"/>
      <c r="L3394" s="8">
        <v>1.773089602165E12</v>
      </c>
      <c r="M3394" s="9"/>
      <c r="N3394" s="10"/>
      <c r="O3394" s="10"/>
      <c r="P3394" s="10"/>
      <c r="Q3394" s="10"/>
      <c r="R3394" s="10"/>
      <c r="S3394" s="10"/>
      <c r="T3394" s="10"/>
      <c r="U3394" s="10"/>
      <c r="V3394" s="10"/>
    </row>
    <row r="3395" ht="22.5" customHeight="1">
      <c r="A3395" s="5">
        <v>1.72631359562E11</v>
      </c>
      <c r="B3395" s="5" t="s">
        <v>3191</v>
      </c>
      <c r="C3395" s="5">
        <v>51964351515</v>
      </c>
      <c r="D3395" s="5" t="s">
        <v>13</v>
      </c>
      <c r="E3395" s="5"/>
      <c r="F3395" s="5" t="s">
        <v>28</v>
      </c>
      <c r="G3395" s="5"/>
      <c r="H3395" s="5"/>
      <c r="I3395" s="6"/>
      <c r="J3395" s="7" t="s">
        <v>34</v>
      </c>
      <c r="K3395" s="7"/>
      <c r="L3395" s="8">
        <v>1.773092409296E12</v>
      </c>
      <c r="M3395" s="9"/>
      <c r="N3395" s="10"/>
      <c r="O3395" s="10"/>
      <c r="P3395" s="10"/>
      <c r="Q3395" s="10"/>
      <c r="R3395" s="10"/>
      <c r="S3395" s="10"/>
      <c r="T3395" s="10"/>
      <c r="U3395" s="10"/>
      <c r="V3395" s="10"/>
    </row>
    <row r="3396" ht="22.5" customHeight="1">
      <c r="A3396" s="5">
        <v>2.08163871148E11</v>
      </c>
      <c r="B3396" s="5" t="s">
        <v>3192</v>
      </c>
      <c r="C3396" s="5">
        <v>51961344267</v>
      </c>
      <c r="D3396" s="5" t="s">
        <v>13</v>
      </c>
      <c r="E3396" s="5">
        <v>8.7547393E7</v>
      </c>
      <c r="F3396" s="5" t="s">
        <v>510</v>
      </c>
      <c r="G3396" s="5"/>
      <c r="H3396" s="5" t="s">
        <v>66</v>
      </c>
      <c r="I3396" s="6" t="s">
        <v>148</v>
      </c>
      <c r="J3396" s="7" t="s">
        <v>18</v>
      </c>
      <c r="K3396" s="7" t="s">
        <v>19</v>
      </c>
      <c r="L3396" s="8">
        <v>1.773092943024E12</v>
      </c>
      <c r="M3396" s="9"/>
      <c r="N3396" s="10"/>
      <c r="O3396" s="10"/>
      <c r="P3396" s="10"/>
      <c r="Q3396" s="10"/>
      <c r="R3396" s="10"/>
      <c r="S3396" s="10"/>
      <c r="T3396" s="10"/>
      <c r="U3396" s="10"/>
      <c r="V3396" s="10"/>
    </row>
    <row r="3397" ht="22.5" customHeight="1">
      <c r="A3397" s="5">
        <v>2.08154064761E11</v>
      </c>
      <c r="B3397" s="5" t="s">
        <v>3193</v>
      </c>
      <c r="C3397" s="5">
        <v>51913728489</v>
      </c>
      <c r="D3397" s="5" t="s">
        <v>13</v>
      </c>
      <c r="E3397" s="5">
        <v>8.7547393E7</v>
      </c>
      <c r="F3397" s="5" t="s">
        <v>510</v>
      </c>
      <c r="G3397" s="5" t="s">
        <v>104</v>
      </c>
      <c r="H3397" s="5" t="s">
        <v>24</v>
      </c>
      <c r="I3397" s="6" t="s">
        <v>17</v>
      </c>
      <c r="J3397" s="7" t="s">
        <v>124</v>
      </c>
      <c r="K3397" s="7" t="s">
        <v>125</v>
      </c>
      <c r="L3397" s="8">
        <v>1.773093251417E12</v>
      </c>
      <c r="M3397" s="9"/>
      <c r="N3397" s="10"/>
      <c r="O3397" s="10"/>
      <c r="P3397" s="10"/>
      <c r="Q3397" s="10"/>
      <c r="R3397" s="10"/>
      <c r="S3397" s="10"/>
      <c r="T3397" s="10"/>
      <c r="U3397" s="10"/>
      <c r="V3397" s="10"/>
    </row>
    <row r="3398" ht="22.5" customHeight="1">
      <c r="A3398" s="5">
        <v>1.59585789509E11</v>
      </c>
      <c r="B3398" s="5" t="s">
        <v>2308</v>
      </c>
      <c r="C3398" s="5">
        <v>51937837961</v>
      </c>
      <c r="D3398" s="5" t="s">
        <v>22</v>
      </c>
      <c r="E3398" s="5">
        <v>8.0566583E7</v>
      </c>
      <c r="F3398" s="5" t="s">
        <v>39</v>
      </c>
      <c r="G3398" s="5" t="s">
        <v>44</v>
      </c>
      <c r="H3398" s="5" t="s">
        <v>24</v>
      </c>
      <c r="I3398" s="6" t="s">
        <v>36</v>
      </c>
      <c r="J3398" s="7" t="s">
        <v>34</v>
      </c>
      <c r="K3398" s="7"/>
      <c r="L3398" s="8">
        <v>1.773093332936E12</v>
      </c>
      <c r="M3398" s="9"/>
      <c r="N3398" s="10"/>
      <c r="O3398" s="10"/>
      <c r="P3398" s="10"/>
      <c r="Q3398" s="10"/>
      <c r="R3398" s="10"/>
      <c r="S3398" s="10"/>
      <c r="T3398" s="10"/>
      <c r="U3398" s="10"/>
      <c r="V3398" s="10"/>
    </row>
    <row r="3399" ht="22.5" customHeight="1">
      <c r="A3399" s="5">
        <v>2.05746804066E11</v>
      </c>
      <c r="B3399" s="5" t="s">
        <v>2251</v>
      </c>
      <c r="C3399" s="5">
        <v>51904928102</v>
      </c>
      <c r="D3399" s="5" t="s">
        <v>13</v>
      </c>
      <c r="E3399" s="5">
        <v>8.7547393E7</v>
      </c>
      <c r="F3399" s="5" t="s">
        <v>28</v>
      </c>
      <c r="G3399" s="5" t="s">
        <v>44</v>
      </c>
      <c r="H3399" s="5" t="s">
        <v>69</v>
      </c>
      <c r="I3399" s="6" t="s">
        <v>17</v>
      </c>
      <c r="J3399" s="7" t="s">
        <v>34</v>
      </c>
      <c r="K3399" s="7"/>
      <c r="L3399" s="8">
        <v>1.773093415808E12</v>
      </c>
      <c r="M3399" s="9"/>
      <c r="N3399" s="10"/>
      <c r="O3399" s="10"/>
      <c r="P3399" s="10"/>
      <c r="Q3399" s="10"/>
      <c r="R3399" s="10"/>
      <c r="S3399" s="10"/>
      <c r="T3399" s="10"/>
      <c r="U3399" s="10"/>
      <c r="V3399" s="10"/>
    </row>
    <row r="3400" ht="22.5" customHeight="1">
      <c r="A3400" s="5">
        <v>2.08157268115E11</v>
      </c>
      <c r="B3400" s="5" t="s">
        <v>3194</v>
      </c>
      <c r="C3400" s="5">
        <v>51987154367</v>
      </c>
      <c r="D3400" s="5" t="s">
        <v>13</v>
      </c>
      <c r="E3400" s="5">
        <v>8.7547393E7</v>
      </c>
      <c r="F3400" s="5" t="s">
        <v>28</v>
      </c>
      <c r="G3400" s="5" t="s">
        <v>15</v>
      </c>
      <c r="H3400" s="5" t="s">
        <v>69</v>
      </c>
      <c r="I3400" s="6" t="s">
        <v>17</v>
      </c>
      <c r="J3400" s="7" t="s">
        <v>18</v>
      </c>
      <c r="K3400" s="7" t="s">
        <v>19</v>
      </c>
      <c r="L3400" s="8">
        <v>1.773094071067E12</v>
      </c>
      <c r="M3400" s="9"/>
      <c r="N3400" s="10"/>
      <c r="O3400" s="10"/>
      <c r="P3400" s="10"/>
      <c r="Q3400" s="10"/>
      <c r="R3400" s="10"/>
      <c r="S3400" s="10"/>
      <c r="T3400" s="10"/>
      <c r="U3400" s="10"/>
      <c r="V3400" s="10"/>
    </row>
    <row r="3401" ht="22.5" customHeight="1">
      <c r="A3401" s="5">
        <v>1.85537973309E11</v>
      </c>
      <c r="B3401" s="5" t="s">
        <v>3195</v>
      </c>
      <c r="C3401" s="5">
        <v>51934861481</v>
      </c>
      <c r="D3401" s="5" t="s">
        <v>13</v>
      </c>
      <c r="E3401" s="5">
        <v>8.0566583E7</v>
      </c>
      <c r="F3401" s="5" t="s">
        <v>39</v>
      </c>
      <c r="G3401" s="5" t="s">
        <v>15</v>
      </c>
      <c r="H3401" s="5" t="s">
        <v>51</v>
      </c>
      <c r="I3401" s="6" t="s">
        <v>63</v>
      </c>
      <c r="J3401" s="7" t="s">
        <v>18</v>
      </c>
      <c r="K3401" s="7" t="s">
        <v>19</v>
      </c>
      <c r="L3401" s="8">
        <v>1.77309453915E12</v>
      </c>
      <c r="M3401" s="9"/>
      <c r="N3401" s="10"/>
      <c r="O3401" s="10"/>
      <c r="P3401" s="10"/>
      <c r="Q3401" s="10"/>
      <c r="R3401" s="10"/>
      <c r="S3401" s="10"/>
      <c r="T3401" s="10"/>
      <c r="U3401" s="10"/>
      <c r="V3401" s="10"/>
    </row>
    <row r="3402" ht="22.5" customHeight="1">
      <c r="A3402" s="5">
        <v>2.08155335039E11</v>
      </c>
      <c r="B3402" s="5" t="s">
        <v>3196</v>
      </c>
      <c r="C3402" s="5">
        <v>51987370805</v>
      </c>
      <c r="D3402" s="5" t="s">
        <v>13</v>
      </c>
      <c r="E3402" s="5">
        <v>8.0566583E7</v>
      </c>
      <c r="F3402" s="5" t="s">
        <v>82</v>
      </c>
      <c r="G3402" s="5" t="s">
        <v>15</v>
      </c>
      <c r="H3402" s="5" t="s">
        <v>24</v>
      </c>
      <c r="I3402" s="6" t="s">
        <v>17</v>
      </c>
      <c r="J3402" s="7" t="s">
        <v>25</v>
      </c>
      <c r="K3402" s="7" t="s">
        <v>26</v>
      </c>
      <c r="L3402" s="8">
        <v>1.773094626062E12</v>
      </c>
      <c r="M3402" s="9"/>
      <c r="N3402" s="10"/>
      <c r="O3402" s="10"/>
      <c r="P3402" s="10"/>
      <c r="Q3402" s="10"/>
      <c r="R3402" s="10"/>
      <c r="S3402" s="10"/>
      <c r="T3402" s="10"/>
      <c r="U3402" s="10"/>
      <c r="V3402" s="10"/>
    </row>
    <row r="3403" ht="22.5" customHeight="1">
      <c r="A3403" s="5">
        <v>2.08156241479E11</v>
      </c>
      <c r="B3403" s="5" t="s">
        <v>3197</v>
      </c>
      <c r="C3403" s="5">
        <v>51938807738</v>
      </c>
      <c r="D3403" s="5" t="s">
        <v>13</v>
      </c>
      <c r="E3403" s="5">
        <v>8.0566583E7</v>
      </c>
      <c r="F3403" s="5" t="s">
        <v>259</v>
      </c>
      <c r="G3403" s="5" t="s">
        <v>15</v>
      </c>
      <c r="H3403" s="5" t="s">
        <v>29</v>
      </c>
      <c r="I3403" s="6" t="s">
        <v>17</v>
      </c>
      <c r="J3403" s="7" t="s">
        <v>25</v>
      </c>
      <c r="K3403" s="7" t="s">
        <v>501</v>
      </c>
      <c r="L3403" s="8">
        <v>1.773094932107E12</v>
      </c>
      <c r="M3403" s="9"/>
      <c r="N3403" s="10"/>
      <c r="O3403" s="10"/>
      <c r="P3403" s="10"/>
      <c r="Q3403" s="10"/>
      <c r="R3403" s="10"/>
      <c r="S3403" s="10"/>
      <c r="T3403" s="10"/>
      <c r="U3403" s="10"/>
      <c r="V3403" s="10"/>
    </row>
    <row r="3404" ht="22.5" customHeight="1">
      <c r="A3404" s="5">
        <v>2.08163588421E11</v>
      </c>
      <c r="B3404" s="5" t="s">
        <v>3198</v>
      </c>
      <c r="C3404" s="5">
        <v>51912286397</v>
      </c>
      <c r="D3404" s="5" t="s">
        <v>13</v>
      </c>
      <c r="E3404" s="5">
        <v>8.7547393E7</v>
      </c>
      <c r="F3404" s="5" t="s">
        <v>42</v>
      </c>
      <c r="G3404" s="5" t="s">
        <v>15</v>
      </c>
      <c r="H3404" s="5" t="s">
        <v>66</v>
      </c>
      <c r="I3404" s="6" t="s">
        <v>17</v>
      </c>
      <c r="J3404" s="7" t="s">
        <v>124</v>
      </c>
      <c r="K3404" s="7" t="s">
        <v>125</v>
      </c>
      <c r="L3404" s="8">
        <v>1.773096165627E12</v>
      </c>
      <c r="M3404" s="9"/>
      <c r="N3404" s="10"/>
      <c r="O3404" s="10"/>
      <c r="P3404" s="10"/>
      <c r="Q3404" s="10"/>
      <c r="R3404" s="10"/>
      <c r="S3404" s="10"/>
      <c r="T3404" s="10"/>
      <c r="U3404" s="10"/>
      <c r="V3404" s="10"/>
    </row>
    <row r="3405" ht="22.5" customHeight="1">
      <c r="A3405" s="5">
        <v>2.08170454189E11</v>
      </c>
      <c r="B3405" s="5" t="s">
        <v>3199</v>
      </c>
      <c r="C3405" s="5">
        <v>51931884592</v>
      </c>
      <c r="D3405" s="5" t="s">
        <v>38</v>
      </c>
      <c r="E3405" s="5">
        <v>8.0566583E7</v>
      </c>
      <c r="F3405" s="5" t="s">
        <v>28</v>
      </c>
      <c r="G3405" s="5" t="s">
        <v>44</v>
      </c>
      <c r="H3405" s="5" t="s">
        <v>16</v>
      </c>
      <c r="I3405" s="6" t="s">
        <v>17</v>
      </c>
      <c r="J3405" s="7" t="s">
        <v>18</v>
      </c>
      <c r="K3405" s="7" t="s">
        <v>19</v>
      </c>
      <c r="L3405" s="8">
        <v>1.773097513409E12</v>
      </c>
      <c r="M3405" s="9"/>
      <c r="N3405" s="10"/>
      <c r="O3405" s="10"/>
      <c r="P3405" s="10"/>
      <c r="Q3405" s="10"/>
      <c r="R3405" s="10"/>
      <c r="S3405" s="10"/>
      <c r="T3405" s="10"/>
      <c r="U3405" s="10"/>
      <c r="V3405" s="10"/>
    </row>
    <row r="3406" ht="22.5" customHeight="1">
      <c r="A3406" s="5">
        <v>2.08171093426E11</v>
      </c>
      <c r="B3406" s="5" t="s">
        <v>3200</v>
      </c>
      <c r="C3406" s="5">
        <v>51940659797</v>
      </c>
      <c r="D3406" s="5" t="s">
        <v>38</v>
      </c>
      <c r="E3406" s="5">
        <v>8.0566583E7</v>
      </c>
      <c r="F3406" s="5"/>
      <c r="G3406" s="5"/>
      <c r="H3406" s="5"/>
      <c r="I3406" s="6"/>
      <c r="J3406" s="7" t="s">
        <v>34</v>
      </c>
      <c r="K3406" s="7"/>
      <c r="L3406" s="8">
        <v>1.773098170235E12</v>
      </c>
      <c r="M3406" s="9"/>
      <c r="N3406" s="10"/>
      <c r="O3406" s="10"/>
      <c r="P3406" s="10"/>
      <c r="Q3406" s="10"/>
      <c r="R3406" s="10"/>
      <c r="S3406" s="10"/>
      <c r="T3406" s="10"/>
      <c r="U3406" s="10"/>
      <c r="V3406" s="10"/>
    </row>
    <row r="3407" ht="22.5" customHeight="1">
      <c r="A3407" s="5">
        <v>2.08170134658E11</v>
      </c>
      <c r="B3407" s="5" t="s">
        <v>3201</v>
      </c>
      <c r="C3407" s="5">
        <v>51989395707</v>
      </c>
      <c r="D3407" s="5" t="s">
        <v>13</v>
      </c>
      <c r="E3407" s="5">
        <v>8.7547393E7</v>
      </c>
      <c r="F3407" s="5" t="s">
        <v>259</v>
      </c>
      <c r="G3407" s="5" t="s">
        <v>32</v>
      </c>
      <c r="H3407" s="5" t="s">
        <v>16</v>
      </c>
      <c r="I3407" s="6" t="s">
        <v>17</v>
      </c>
      <c r="J3407" s="7" t="s">
        <v>34</v>
      </c>
      <c r="K3407" s="7"/>
      <c r="L3407" s="8">
        <v>1.773098414668E12</v>
      </c>
      <c r="M3407" s="9"/>
      <c r="N3407" s="10"/>
      <c r="O3407" s="10"/>
      <c r="P3407" s="10"/>
      <c r="Q3407" s="10"/>
      <c r="R3407" s="10"/>
      <c r="S3407" s="10"/>
      <c r="T3407" s="10"/>
      <c r="U3407" s="10"/>
      <c r="V3407" s="10"/>
    </row>
    <row r="3408" ht="22.5" customHeight="1">
      <c r="A3408" s="5">
        <v>2.07938532354E11</v>
      </c>
      <c r="B3408" s="5" t="s">
        <v>3123</v>
      </c>
      <c r="C3408" s="5">
        <v>51907888822</v>
      </c>
      <c r="D3408" s="5" t="s">
        <v>22</v>
      </c>
      <c r="E3408" s="5">
        <v>8.7547393E7</v>
      </c>
      <c r="F3408" s="5" t="s">
        <v>28</v>
      </c>
      <c r="G3408" s="5" t="s">
        <v>44</v>
      </c>
      <c r="H3408" s="5" t="s">
        <v>16</v>
      </c>
      <c r="I3408" s="6" t="s">
        <v>17</v>
      </c>
      <c r="J3408" s="7" t="s">
        <v>34</v>
      </c>
      <c r="K3408" s="7"/>
      <c r="L3408" s="8">
        <v>1.773099467534E12</v>
      </c>
      <c r="M3408" s="9"/>
      <c r="N3408" s="10"/>
      <c r="O3408" s="10"/>
      <c r="P3408" s="10"/>
      <c r="Q3408" s="10"/>
      <c r="R3408" s="10"/>
      <c r="S3408" s="10"/>
      <c r="T3408" s="10"/>
      <c r="U3408" s="10"/>
      <c r="V3408" s="10"/>
    </row>
    <row r="3409" ht="22.5" customHeight="1">
      <c r="A3409" s="5">
        <v>2.04185528863E11</v>
      </c>
      <c r="B3409" s="5" t="s">
        <v>3202</v>
      </c>
      <c r="C3409" s="5">
        <v>51918598807</v>
      </c>
      <c r="D3409" s="5" t="s">
        <v>22</v>
      </c>
      <c r="E3409" s="5">
        <v>8.0566583E7</v>
      </c>
      <c r="F3409" s="5" t="s">
        <v>93</v>
      </c>
      <c r="G3409" s="5" t="s">
        <v>44</v>
      </c>
      <c r="H3409" s="5" t="s">
        <v>51</v>
      </c>
      <c r="I3409" s="6" t="s">
        <v>17</v>
      </c>
      <c r="J3409" s="7" t="s">
        <v>18</v>
      </c>
      <c r="K3409" s="7" t="s">
        <v>19</v>
      </c>
      <c r="L3409" s="8">
        <v>1.77310018972E12</v>
      </c>
      <c r="M3409" s="9"/>
      <c r="N3409" s="10"/>
      <c r="O3409" s="10"/>
      <c r="P3409" s="10"/>
      <c r="Q3409" s="10"/>
      <c r="R3409" s="10"/>
      <c r="S3409" s="10"/>
      <c r="T3409" s="10"/>
      <c r="U3409" s="10"/>
      <c r="V3409" s="10"/>
    </row>
    <row r="3410" ht="22.5" customHeight="1">
      <c r="A3410" s="5">
        <v>8.22756858E10</v>
      </c>
      <c r="B3410" s="5" t="s">
        <v>3203</v>
      </c>
      <c r="C3410" s="5">
        <v>51943194723</v>
      </c>
      <c r="D3410" s="5" t="s">
        <v>22</v>
      </c>
      <c r="E3410" s="5">
        <v>8.7547393E7</v>
      </c>
      <c r="F3410" s="5" t="s">
        <v>82</v>
      </c>
      <c r="G3410" s="5" t="s">
        <v>79</v>
      </c>
      <c r="H3410" s="5" t="s">
        <v>2207</v>
      </c>
      <c r="I3410" s="6" t="s">
        <v>17</v>
      </c>
      <c r="J3410" s="7" t="s">
        <v>18</v>
      </c>
      <c r="K3410" s="7" t="s">
        <v>116</v>
      </c>
      <c r="L3410" s="8">
        <v>1.77310055311E12</v>
      </c>
      <c r="M3410" s="9"/>
      <c r="N3410" s="10"/>
      <c r="O3410" s="10"/>
      <c r="P3410" s="10"/>
      <c r="Q3410" s="10"/>
      <c r="R3410" s="10"/>
      <c r="S3410" s="10"/>
      <c r="T3410" s="10"/>
      <c r="U3410" s="10"/>
      <c r="V3410" s="10"/>
    </row>
    <row r="3411" ht="22.5" customHeight="1">
      <c r="A3411" s="5">
        <v>2.07917155654E11</v>
      </c>
      <c r="B3411" s="5" t="s">
        <v>3204</v>
      </c>
      <c r="C3411" s="5">
        <v>51972127651</v>
      </c>
      <c r="D3411" s="5" t="s">
        <v>13</v>
      </c>
      <c r="E3411" s="5">
        <v>8.7547393E7</v>
      </c>
      <c r="F3411" s="5" t="s">
        <v>714</v>
      </c>
      <c r="G3411" s="5" t="s">
        <v>15</v>
      </c>
      <c r="H3411" s="5" t="s">
        <v>66</v>
      </c>
      <c r="I3411" s="6" t="s">
        <v>17</v>
      </c>
      <c r="J3411" s="7" t="s">
        <v>18</v>
      </c>
      <c r="K3411" s="7" t="s">
        <v>19</v>
      </c>
      <c r="L3411" s="8">
        <v>1.773101239716E12</v>
      </c>
      <c r="M3411" s="9"/>
      <c r="N3411" s="10"/>
      <c r="O3411" s="10"/>
      <c r="P3411" s="10"/>
      <c r="Q3411" s="10"/>
      <c r="R3411" s="10"/>
      <c r="S3411" s="10"/>
      <c r="T3411" s="10"/>
      <c r="U3411" s="10"/>
      <c r="V3411" s="10"/>
    </row>
    <row r="3412" ht="22.5" customHeight="1">
      <c r="A3412" s="5">
        <v>2.0816996521E11</v>
      </c>
      <c r="B3412" s="5" t="s">
        <v>3205</v>
      </c>
      <c r="C3412" s="5">
        <v>5516988074521</v>
      </c>
      <c r="D3412" s="5" t="s">
        <v>13</v>
      </c>
      <c r="E3412" s="5">
        <v>7.9360573E7</v>
      </c>
      <c r="F3412" s="5" t="s">
        <v>65</v>
      </c>
      <c r="G3412" s="5" t="s">
        <v>15</v>
      </c>
      <c r="H3412" s="5" t="s">
        <v>24</v>
      </c>
      <c r="I3412" s="6" t="s">
        <v>17</v>
      </c>
      <c r="J3412" s="7" t="s">
        <v>34</v>
      </c>
      <c r="K3412" s="7"/>
      <c r="L3412" s="8">
        <v>1.773101568893E12</v>
      </c>
      <c r="M3412" s="9"/>
      <c r="N3412" s="10"/>
      <c r="O3412" s="10"/>
      <c r="P3412" s="10"/>
      <c r="Q3412" s="10"/>
      <c r="R3412" s="10"/>
      <c r="S3412" s="10"/>
      <c r="T3412" s="10"/>
      <c r="U3412" s="10"/>
      <c r="V3412" s="10"/>
    </row>
    <row r="3413" ht="22.5" customHeight="1">
      <c r="A3413" s="5">
        <v>2.08173415492E11</v>
      </c>
      <c r="B3413" s="5" t="s">
        <v>3206</v>
      </c>
      <c r="C3413" s="5">
        <v>51955702300</v>
      </c>
      <c r="D3413" s="5" t="s">
        <v>13</v>
      </c>
      <c r="E3413" s="5">
        <v>8.0566583E7</v>
      </c>
      <c r="F3413" s="5" t="s">
        <v>259</v>
      </c>
      <c r="G3413" s="5" t="s">
        <v>15</v>
      </c>
      <c r="H3413" s="5" t="s">
        <v>188</v>
      </c>
      <c r="I3413" s="6" t="s">
        <v>36</v>
      </c>
      <c r="J3413" s="7" t="s">
        <v>18</v>
      </c>
      <c r="K3413" s="7" t="s">
        <v>3207</v>
      </c>
      <c r="L3413" s="8">
        <v>1.773102192706E12</v>
      </c>
      <c r="M3413" s="9"/>
      <c r="N3413" s="10"/>
      <c r="O3413" s="10"/>
      <c r="P3413" s="10"/>
      <c r="Q3413" s="10"/>
      <c r="R3413" s="10"/>
      <c r="S3413" s="10"/>
      <c r="T3413" s="10"/>
      <c r="U3413" s="10"/>
      <c r="V3413" s="10"/>
    </row>
    <row r="3414" ht="22.5" customHeight="1">
      <c r="A3414" s="5">
        <v>2.08178809784E11</v>
      </c>
      <c r="B3414" s="5" t="s">
        <v>3208</v>
      </c>
      <c r="C3414" s="5">
        <v>5522997757992</v>
      </c>
      <c r="D3414" s="5" t="s">
        <v>13</v>
      </c>
      <c r="E3414" s="5">
        <v>7.9360573E7</v>
      </c>
      <c r="F3414" s="5" t="s">
        <v>259</v>
      </c>
      <c r="G3414" s="5" t="s">
        <v>15</v>
      </c>
      <c r="H3414" s="5" t="s">
        <v>80</v>
      </c>
      <c r="I3414" s="6" t="s">
        <v>17</v>
      </c>
      <c r="J3414" s="7" t="s">
        <v>34</v>
      </c>
      <c r="K3414" s="7"/>
      <c r="L3414" s="8">
        <v>1.773102340376E12</v>
      </c>
      <c r="M3414" s="9"/>
      <c r="N3414" s="10"/>
      <c r="O3414" s="10"/>
      <c r="P3414" s="10"/>
      <c r="Q3414" s="10"/>
      <c r="R3414" s="10"/>
      <c r="S3414" s="10"/>
      <c r="T3414" s="10"/>
      <c r="U3414" s="10"/>
      <c r="V3414" s="10"/>
    </row>
    <row r="3415" ht="22.5" customHeight="1">
      <c r="A3415" s="5">
        <v>2.08176638858E11</v>
      </c>
      <c r="B3415" s="5" t="s">
        <v>3209</v>
      </c>
      <c r="C3415" s="5">
        <v>51978577950</v>
      </c>
      <c r="D3415" s="5" t="s">
        <v>13</v>
      </c>
      <c r="E3415" s="5">
        <v>8.7547393E7</v>
      </c>
      <c r="F3415" s="5" t="s">
        <v>28</v>
      </c>
      <c r="G3415" s="5" t="s">
        <v>32</v>
      </c>
      <c r="H3415" s="5" t="s">
        <v>16</v>
      </c>
      <c r="I3415" s="6"/>
      <c r="J3415" s="7" t="s">
        <v>18</v>
      </c>
      <c r="K3415" s="7" t="s">
        <v>19</v>
      </c>
      <c r="L3415" s="8">
        <v>1.773103130615E12</v>
      </c>
      <c r="M3415" s="9"/>
      <c r="N3415" s="10"/>
      <c r="O3415" s="10"/>
      <c r="P3415" s="10"/>
      <c r="Q3415" s="10"/>
      <c r="R3415" s="10"/>
      <c r="S3415" s="10"/>
      <c r="T3415" s="10"/>
      <c r="U3415" s="10"/>
      <c r="V3415" s="10"/>
    </row>
    <row r="3416" ht="22.5" customHeight="1">
      <c r="A3416" s="5">
        <v>2.08196124241E11</v>
      </c>
      <c r="B3416" s="5" t="s">
        <v>3210</v>
      </c>
      <c r="C3416" s="5">
        <v>5511970189699</v>
      </c>
      <c r="D3416" s="5" t="s">
        <v>13</v>
      </c>
      <c r="E3416" s="5">
        <v>7.9360573E7</v>
      </c>
      <c r="F3416" s="5" t="s">
        <v>714</v>
      </c>
      <c r="G3416" s="5" t="s">
        <v>15</v>
      </c>
      <c r="H3416" s="5" t="s">
        <v>16</v>
      </c>
      <c r="I3416" s="6" t="s">
        <v>36</v>
      </c>
      <c r="J3416" s="7" t="s">
        <v>34</v>
      </c>
      <c r="K3416" s="7"/>
      <c r="L3416" s="8">
        <v>1.773104247356E12</v>
      </c>
      <c r="M3416" s="9"/>
      <c r="N3416" s="10"/>
      <c r="O3416" s="10"/>
      <c r="P3416" s="10"/>
      <c r="Q3416" s="10"/>
      <c r="R3416" s="10"/>
      <c r="S3416" s="10"/>
      <c r="T3416" s="10"/>
      <c r="U3416" s="10"/>
      <c r="V3416" s="10"/>
    </row>
    <row r="3417" ht="22.5" customHeight="1">
      <c r="A3417" s="5">
        <v>1.57458582358E11</v>
      </c>
      <c r="B3417" s="5" t="s">
        <v>3211</v>
      </c>
      <c r="C3417" s="5">
        <v>18097059802</v>
      </c>
      <c r="D3417" s="5" t="s">
        <v>13</v>
      </c>
      <c r="E3417" s="5">
        <v>8.0566583E7</v>
      </c>
      <c r="F3417" s="5" t="s">
        <v>714</v>
      </c>
      <c r="G3417" s="5" t="s">
        <v>15</v>
      </c>
      <c r="H3417" s="5" t="s">
        <v>74</v>
      </c>
      <c r="I3417" s="6" t="s">
        <v>148</v>
      </c>
      <c r="J3417" s="7" t="s">
        <v>34</v>
      </c>
      <c r="K3417" s="7"/>
      <c r="L3417" s="8">
        <v>1.773105955069E12</v>
      </c>
      <c r="M3417" s="9"/>
      <c r="N3417" s="10"/>
      <c r="O3417" s="10"/>
      <c r="P3417" s="10"/>
      <c r="Q3417" s="10"/>
      <c r="R3417" s="10"/>
      <c r="S3417" s="10"/>
      <c r="T3417" s="10"/>
      <c r="U3417" s="10"/>
      <c r="V3417" s="10"/>
    </row>
    <row r="3418" ht="22.5" customHeight="1">
      <c r="A3418" s="5">
        <v>2.08030480896E11</v>
      </c>
      <c r="B3418" s="5" t="s">
        <v>3145</v>
      </c>
      <c r="C3418" s="5">
        <v>51972127591</v>
      </c>
      <c r="D3418" s="5" t="s">
        <v>13</v>
      </c>
      <c r="E3418" s="5">
        <v>8.0566583E7</v>
      </c>
      <c r="F3418" s="5" t="s">
        <v>93</v>
      </c>
      <c r="G3418" s="5" t="s">
        <v>15</v>
      </c>
      <c r="H3418" s="5" t="s">
        <v>66</v>
      </c>
      <c r="I3418" s="6" t="s">
        <v>17</v>
      </c>
      <c r="J3418" s="7" t="s">
        <v>34</v>
      </c>
      <c r="K3418" s="7"/>
      <c r="L3418" s="8">
        <v>1.773106616923E12</v>
      </c>
      <c r="M3418" s="9"/>
      <c r="N3418" s="10"/>
      <c r="O3418" s="10"/>
      <c r="P3418" s="10"/>
      <c r="Q3418" s="10"/>
      <c r="R3418" s="10"/>
      <c r="S3418" s="10"/>
      <c r="T3418" s="10"/>
      <c r="U3418" s="10"/>
      <c r="V3418" s="10"/>
    </row>
    <row r="3419" ht="22.5" customHeight="1">
      <c r="A3419" s="5">
        <v>2.08199554422E11</v>
      </c>
      <c r="B3419" s="5" t="s">
        <v>3212</v>
      </c>
      <c r="C3419" s="5">
        <v>5518981329408</v>
      </c>
      <c r="D3419" s="5" t="s">
        <v>22</v>
      </c>
      <c r="E3419" s="5">
        <v>7.9360573E7</v>
      </c>
      <c r="F3419" s="5" t="s">
        <v>93</v>
      </c>
      <c r="G3419" s="5" t="s">
        <v>44</v>
      </c>
      <c r="H3419" s="5" t="s">
        <v>66</v>
      </c>
      <c r="I3419" s="6" t="s">
        <v>17</v>
      </c>
      <c r="J3419" s="7" t="s">
        <v>34</v>
      </c>
      <c r="K3419" s="7"/>
      <c r="L3419" s="8">
        <v>1.773107560513E12</v>
      </c>
      <c r="M3419" s="9"/>
      <c r="N3419" s="10"/>
      <c r="O3419" s="10"/>
      <c r="P3419" s="10"/>
      <c r="Q3419" s="10"/>
      <c r="R3419" s="10"/>
      <c r="S3419" s="10"/>
      <c r="T3419" s="10"/>
      <c r="U3419" s="10"/>
      <c r="V3419" s="10"/>
    </row>
    <row r="3420" ht="22.5" customHeight="1">
      <c r="A3420" s="5">
        <v>2.08199482669E11</v>
      </c>
      <c r="B3420" s="5" t="s">
        <v>3213</v>
      </c>
      <c r="C3420" s="5">
        <v>51955913876</v>
      </c>
      <c r="D3420" s="5" t="s">
        <v>103</v>
      </c>
      <c r="E3420" s="5">
        <v>8.0566583E7</v>
      </c>
      <c r="F3420" s="5" t="s">
        <v>259</v>
      </c>
      <c r="G3420" s="5" t="s">
        <v>104</v>
      </c>
      <c r="H3420" s="5" t="s">
        <v>16</v>
      </c>
      <c r="I3420" s="6" t="s">
        <v>17</v>
      </c>
      <c r="J3420" s="7" t="s">
        <v>18</v>
      </c>
      <c r="K3420" s="7" t="s">
        <v>19</v>
      </c>
      <c r="L3420" s="8">
        <v>1.773107824561E12</v>
      </c>
      <c r="M3420" s="9"/>
      <c r="N3420" s="10"/>
      <c r="O3420" s="10"/>
      <c r="P3420" s="10"/>
      <c r="Q3420" s="10"/>
      <c r="R3420" s="10"/>
      <c r="S3420" s="10"/>
      <c r="T3420" s="10"/>
      <c r="U3420" s="10"/>
      <c r="V3420" s="10"/>
    </row>
    <row r="3421" ht="22.5" customHeight="1">
      <c r="A3421" s="5">
        <v>2.08201394979E11</v>
      </c>
      <c r="B3421" s="5" t="s">
        <v>3214</v>
      </c>
      <c r="C3421" s="5">
        <v>51921131077</v>
      </c>
      <c r="D3421" s="5" t="s">
        <v>13</v>
      </c>
      <c r="E3421" s="5">
        <v>8.0566583E7</v>
      </c>
      <c r="F3421" s="5" t="s">
        <v>39</v>
      </c>
      <c r="G3421" s="5" t="s">
        <v>15</v>
      </c>
      <c r="H3421" s="5" t="s">
        <v>24</v>
      </c>
      <c r="I3421" s="6" t="s">
        <v>17</v>
      </c>
      <c r="J3421" s="7" t="s">
        <v>18</v>
      </c>
      <c r="K3421" s="7" t="s">
        <v>19</v>
      </c>
      <c r="L3421" s="8">
        <v>1.773108291552E12</v>
      </c>
      <c r="M3421" s="9"/>
      <c r="N3421" s="10"/>
      <c r="O3421" s="10"/>
      <c r="P3421" s="10"/>
      <c r="Q3421" s="10"/>
      <c r="R3421" s="10"/>
      <c r="S3421" s="10"/>
      <c r="T3421" s="10"/>
      <c r="U3421" s="10"/>
      <c r="V3421" s="10"/>
    </row>
    <row r="3422" ht="22.5" customHeight="1">
      <c r="A3422" s="5">
        <v>2.08186744759E11</v>
      </c>
      <c r="B3422" s="5" t="s">
        <v>3215</v>
      </c>
      <c r="C3422" s="5">
        <v>51962256397</v>
      </c>
      <c r="D3422" s="5" t="s">
        <v>13</v>
      </c>
      <c r="E3422" s="5">
        <v>8.7547393E7</v>
      </c>
      <c r="F3422" s="5"/>
      <c r="G3422" s="5"/>
      <c r="H3422" s="5" t="s">
        <v>16</v>
      </c>
      <c r="I3422" s="6" t="s">
        <v>17</v>
      </c>
      <c r="J3422" s="7" t="s">
        <v>18</v>
      </c>
      <c r="K3422" s="7" t="s">
        <v>19</v>
      </c>
      <c r="L3422" s="8">
        <v>1.773108730351E12</v>
      </c>
      <c r="M3422" s="9"/>
      <c r="N3422" s="10"/>
      <c r="O3422" s="10"/>
      <c r="P3422" s="10"/>
      <c r="Q3422" s="10"/>
      <c r="R3422" s="10"/>
      <c r="S3422" s="10"/>
      <c r="T3422" s="10"/>
      <c r="U3422" s="10"/>
      <c r="V3422" s="10"/>
    </row>
    <row r="3423" ht="22.5" customHeight="1">
      <c r="A3423" s="5">
        <v>2.08190227078E11</v>
      </c>
      <c r="B3423" s="5" t="s">
        <v>3216</v>
      </c>
      <c r="C3423" s="5">
        <v>51958500822</v>
      </c>
      <c r="D3423" s="5" t="s">
        <v>13</v>
      </c>
      <c r="E3423" s="5">
        <v>8.0566583E7</v>
      </c>
      <c r="F3423" s="5" t="s">
        <v>39</v>
      </c>
      <c r="G3423" s="5" t="s">
        <v>15</v>
      </c>
      <c r="H3423" s="5" t="s">
        <v>69</v>
      </c>
      <c r="I3423" s="6" t="s">
        <v>17</v>
      </c>
      <c r="J3423" s="7" t="s">
        <v>25</v>
      </c>
      <c r="K3423" s="7" t="s">
        <v>501</v>
      </c>
      <c r="L3423" s="8">
        <v>1.773110104844E12</v>
      </c>
      <c r="M3423" s="9"/>
      <c r="N3423" s="10"/>
      <c r="O3423" s="10"/>
      <c r="P3423" s="10"/>
      <c r="Q3423" s="10"/>
      <c r="R3423" s="10"/>
      <c r="S3423" s="10"/>
      <c r="T3423" s="10"/>
      <c r="U3423" s="10"/>
      <c r="V3423" s="10"/>
    </row>
    <row r="3424" ht="22.5" customHeight="1">
      <c r="A3424" s="5">
        <v>2.08201421094E11</v>
      </c>
      <c r="B3424" s="5" t="s">
        <v>3217</v>
      </c>
      <c r="C3424" s="5">
        <v>528443063382</v>
      </c>
      <c r="D3424" s="5" t="s">
        <v>13</v>
      </c>
      <c r="E3424" s="5">
        <v>8.0566583E7</v>
      </c>
      <c r="F3424" s="5" t="s">
        <v>14</v>
      </c>
      <c r="G3424" s="5" t="s">
        <v>15</v>
      </c>
      <c r="H3424" s="5" t="s">
        <v>51</v>
      </c>
      <c r="I3424" s="6" t="s">
        <v>36</v>
      </c>
      <c r="J3424" s="7" t="s">
        <v>124</v>
      </c>
      <c r="K3424" s="7" t="s">
        <v>2680</v>
      </c>
      <c r="L3424" s="8">
        <v>1.773110425291E12</v>
      </c>
      <c r="M3424" s="9"/>
      <c r="N3424" s="10"/>
      <c r="O3424" s="10"/>
      <c r="P3424" s="10"/>
      <c r="Q3424" s="10"/>
      <c r="R3424" s="10"/>
      <c r="S3424" s="10"/>
      <c r="T3424" s="10"/>
      <c r="U3424" s="10"/>
      <c r="V3424" s="10"/>
    </row>
    <row r="3425" ht="22.5" customHeight="1">
      <c r="A3425" s="5">
        <v>2.08192337301E11</v>
      </c>
      <c r="B3425" s="5" t="s">
        <v>3218</v>
      </c>
      <c r="C3425" s="5">
        <v>51929940618</v>
      </c>
      <c r="D3425" s="5" t="s">
        <v>13</v>
      </c>
      <c r="E3425" s="5">
        <v>8.7547393E7</v>
      </c>
      <c r="F3425" s="5" t="s">
        <v>39</v>
      </c>
      <c r="G3425" s="5" t="s">
        <v>32</v>
      </c>
      <c r="H3425" s="5" t="s">
        <v>66</v>
      </c>
      <c r="I3425" s="6" t="s">
        <v>49</v>
      </c>
      <c r="J3425" s="7" t="s">
        <v>34</v>
      </c>
      <c r="K3425" s="7"/>
      <c r="L3425" s="8">
        <v>1.773110818244E12</v>
      </c>
      <c r="M3425" s="9"/>
      <c r="N3425" s="10"/>
      <c r="O3425" s="10"/>
      <c r="P3425" s="10"/>
      <c r="Q3425" s="10"/>
      <c r="R3425" s="10"/>
      <c r="S3425" s="10"/>
      <c r="T3425" s="10"/>
      <c r="U3425" s="10"/>
      <c r="V3425" s="10"/>
    </row>
    <row r="3426" ht="22.5" customHeight="1">
      <c r="A3426" s="5">
        <v>2.08192125968E11</v>
      </c>
      <c r="B3426" s="5" t="s">
        <v>3219</v>
      </c>
      <c r="C3426" s="5">
        <v>51916033599</v>
      </c>
      <c r="D3426" s="5" t="s">
        <v>13</v>
      </c>
      <c r="E3426" s="5">
        <v>8.0566583E7</v>
      </c>
      <c r="F3426" s="5" t="s">
        <v>93</v>
      </c>
      <c r="G3426" s="5" t="s">
        <v>15</v>
      </c>
      <c r="H3426" s="5" t="s">
        <v>16</v>
      </c>
      <c r="I3426" s="6" t="s">
        <v>17</v>
      </c>
      <c r="J3426" s="7" t="s">
        <v>18</v>
      </c>
      <c r="K3426" s="7" t="s">
        <v>19</v>
      </c>
      <c r="L3426" s="8">
        <v>1.773111102387E12</v>
      </c>
      <c r="M3426" s="9"/>
      <c r="N3426" s="10"/>
      <c r="O3426" s="10"/>
      <c r="P3426" s="10"/>
      <c r="Q3426" s="10"/>
      <c r="R3426" s="10"/>
      <c r="S3426" s="10"/>
      <c r="T3426" s="10"/>
      <c r="U3426" s="10"/>
      <c r="V3426" s="10"/>
    </row>
    <row r="3427" ht="22.5" customHeight="1">
      <c r="A3427" s="5">
        <v>2.08205001638E11</v>
      </c>
      <c r="B3427" s="5" t="s">
        <v>3220</v>
      </c>
      <c r="C3427" s="5">
        <v>5516981941343</v>
      </c>
      <c r="D3427" s="5" t="s">
        <v>13</v>
      </c>
      <c r="E3427" s="5">
        <v>7.9360573E7</v>
      </c>
      <c r="F3427" s="5" t="s">
        <v>65</v>
      </c>
      <c r="G3427" s="5" t="s">
        <v>15</v>
      </c>
      <c r="H3427" s="5" t="s">
        <v>114</v>
      </c>
      <c r="I3427" s="6" t="s">
        <v>17</v>
      </c>
      <c r="J3427" s="7" t="s">
        <v>34</v>
      </c>
      <c r="K3427" s="7"/>
      <c r="L3427" s="8">
        <v>1.773111155732E12</v>
      </c>
      <c r="M3427" s="9"/>
      <c r="N3427" s="10"/>
      <c r="O3427" s="10"/>
      <c r="P3427" s="10"/>
      <c r="Q3427" s="10"/>
      <c r="R3427" s="10"/>
      <c r="S3427" s="10"/>
      <c r="T3427" s="10"/>
      <c r="U3427" s="10"/>
      <c r="V3427" s="10"/>
    </row>
    <row r="3428" ht="22.5" customHeight="1">
      <c r="A3428" s="5">
        <v>2.08204730952E11</v>
      </c>
      <c r="B3428" s="5" t="s">
        <v>3221</v>
      </c>
      <c r="C3428" s="5">
        <v>5571993464858</v>
      </c>
      <c r="D3428" s="5" t="s">
        <v>13</v>
      </c>
      <c r="E3428" s="5">
        <v>7.9360573E7</v>
      </c>
      <c r="F3428" s="5"/>
      <c r="G3428" s="5" t="s">
        <v>15</v>
      </c>
      <c r="H3428" s="5" t="s">
        <v>66</v>
      </c>
      <c r="I3428" s="6" t="s">
        <v>17</v>
      </c>
      <c r="J3428" s="7" t="s">
        <v>34</v>
      </c>
      <c r="K3428" s="7"/>
      <c r="L3428" s="8">
        <v>1.773111457333E12</v>
      </c>
      <c r="M3428" s="9"/>
      <c r="N3428" s="10"/>
      <c r="O3428" s="10"/>
      <c r="P3428" s="10"/>
      <c r="Q3428" s="10"/>
      <c r="R3428" s="10"/>
      <c r="S3428" s="10"/>
      <c r="T3428" s="10"/>
      <c r="U3428" s="10"/>
      <c r="V3428" s="10"/>
    </row>
    <row r="3429" ht="22.5" customHeight="1">
      <c r="A3429" s="5">
        <v>2.08193351473E11</v>
      </c>
      <c r="B3429" s="5" t="s">
        <v>3222</v>
      </c>
      <c r="C3429" s="5">
        <v>51973799353</v>
      </c>
      <c r="D3429" s="5" t="s">
        <v>22</v>
      </c>
      <c r="E3429" s="5">
        <v>8.7547393E7</v>
      </c>
      <c r="F3429" s="5" t="s">
        <v>65</v>
      </c>
      <c r="G3429" s="5" t="s">
        <v>44</v>
      </c>
      <c r="H3429" s="5" t="s">
        <v>2427</v>
      </c>
      <c r="I3429" s="6" t="s">
        <v>17</v>
      </c>
      <c r="J3429" s="7" t="s">
        <v>25</v>
      </c>
      <c r="K3429" s="7" t="s">
        <v>501</v>
      </c>
      <c r="L3429" s="8">
        <v>1.773112957085E12</v>
      </c>
      <c r="M3429" s="9"/>
      <c r="N3429" s="10"/>
      <c r="O3429" s="10"/>
      <c r="P3429" s="10"/>
      <c r="Q3429" s="10"/>
      <c r="R3429" s="10"/>
      <c r="S3429" s="10"/>
      <c r="T3429" s="10"/>
      <c r="U3429" s="10"/>
      <c r="V3429" s="10"/>
    </row>
    <row r="3430" ht="22.5" customHeight="1">
      <c r="A3430" s="5">
        <v>2.08203208465E11</v>
      </c>
      <c r="B3430" s="5" t="s">
        <v>3223</v>
      </c>
      <c r="C3430" s="5">
        <v>5519997251098</v>
      </c>
      <c r="D3430" s="5" t="s">
        <v>103</v>
      </c>
      <c r="E3430" s="5">
        <v>7.9360573E7</v>
      </c>
      <c r="F3430" s="5" t="s">
        <v>28</v>
      </c>
      <c r="G3430" s="5" t="s">
        <v>104</v>
      </c>
      <c r="H3430" s="5" t="s">
        <v>66</v>
      </c>
      <c r="I3430" s="6" t="s">
        <v>17</v>
      </c>
      <c r="J3430" s="7" t="s">
        <v>34</v>
      </c>
      <c r="K3430" s="7"/>
      <c r="L3430" s="8">
        <v>1.773113213905E12</v>
      </c>
      <c r="M3430" s="9"/>
      <c r="N3430" s="10"/>
      <c r="O3430" s="10"/>
      <c r="P3430" s="10"/>
      <c r="Q3430" s="10"/>
      <c r="R3430" s="10"/>
      <c r="S3430" s="10"/>
      <c r="T3430" s="10"/>
      <c r="U3430" s="10"/>
      <c r="V3430" s="10"/>
    </row>
    <row r="3431" ht="22.5" customHeight="1">
      <c r="A3431" s="5">
        <v>2.08211424275E11</v>
      </c>
      <c r="B3431" s="5" t="s">
        <v>3224</v>
      </c>
      <c r="C3431" s="5">
        <v>51941674358</v>
      </c>
      <c r="D3431" s="5" t="s">
        <v>13</v>
      </c>
      <c r="E3431" s="5">
        <v>8.0566583E7</v>
      </c>
      <c r="F3431" s="5" t="s">
        <v>510</v>
      </c>
      <c r="G3431" s="5" t="s">
        <v>15</v>
      </c>
      <c r="H3431" s="5" t="s">
        <v>180</v>
      </c>
      <c r="I3431" s="6" t="s">
        <v>17</v>
      </c>
      <c r="J3431" s="7" t="s">
        <v>18</v>
      </c>
      <c r="K3431" s="7" t="s">
        <v>19</v>
      </c>
      <c r="L3431" s="8">
        <v>1.773113959421E12</v>
      </c>
      <c r="M3431" s="9"/>
      <c r="N3431" s="10"/>
      <c r="O3431" s="10"/>
      <c r="P3431" s="10"/>
      <c r="Q3431" s="10"/>
      <c r="R3431" s="10"/>
      <c r="S3431" s="10"/>
      <c r="T3431" s="10"/>
      <c r="U3431" s="10"/>
      <c r="V3431" s="10"/>
    </row>
    <row r="3432" ht="22.5" customHeight="1">
      <c r="A3432" s="5">
        <v>2.08211744534E11</v>
      </c>
      <c r="B3432" s="5" t="s">
        <v>3225</v>
      </c>
      <c r="C3432" s="5">
        <v>51922741130</v>
      </c>
      <c r="D3432" s="5" t="s">
        <v>13</v>
      </c>
      <c r="E3432" s="5">
        <v>8.7547393E7</v>
      </c>
      <c r="F3432" s="5"/>
      <c r="G3432" s="5" t="s">
        <v>15</v>
      </c>
      <c r="H3432" s="5" t="s">
        <v>51</v>
      </c>
      <c r="I3432" s="6"/>
      <c r="J3432" s="7" t="s">
        <v>18</v>
      </c>
      <c r="K3432" s="7" t="s">
        <v>19</v>
      </c>
      <c r="L3432" s="8">
        <v>1.773114012169E12</v>
      </c>
      <c r="M3432" s="9"/>
      <c r="N3432" s="10"/>
      <c r="O3432" s="10"/>
      <c r="P3432" s="10"/>
      <c r="Q3432" s="10"/>
      <c r="R3432" s="10"/>
      <c r="S3432" s="10"/>
      <c r="T3432" s="10"/>
      <c r="U3432" s="10"/>
      <c r="V3432" s="10"/>
    </row>
    <row r="3433" ht="22.5" customHeight="1">
      <c r="A3433" s="5">
        <v>2.08211740307E11</v>
      </c>
      <c r="B3433" s="5" t="s">
        <v>3226</v>
      </c>
      <c r="C3433" s="5">
        <v>5511987602293</v>
      </c>
      <c r="D3433" s="5" t="s">
        <v>13</v>
      </c>
      <c r="E3433" s="5">
        <v>7.9360573E7</v>
      </c>
      <c r="F3433" s="5" t="s">
        <v>93</v>
      </c>
      <c r="G3433" s="5" t="s">
        <v>15</v>
      </c>
      <c r="H3433" s="5" t="s">
        <v>583</v>
      </c>
      <c r="I3433" s="6" t="s">
        <v>17</v>
      </c>
      <c r="J3433" s="7" t="s">
        <v>124</v>
      </c>
      <c r="K3433" s="7" t="s">
        <v>1256</v>
      </c>
      <c r="L3433" s="8">
        <v>1.773114066317E12</v>
      </c>
      <c r="M3433" s="9"/>
      <c r="N3433" s="10"/>
      <c r="O3433" s="10"/>
      <c r="P3433" s="10"/>
      <c r="Q3433" s="10"/>
      <c r="R3433" s="10"/>
      <c r="S3433" s="10"/>
      <c r="T3433" s="10"/>
      <c r="U3433" s="10"/>
      <c r="V3433" s="10"/>
    </row>
    <row r="3434" ht="22.5" customHeight="1">
      <c r="A3434" s="5">
        <v>2.08207114351E11</v>
      </c>
      <c r="B3434" s="5" t="s">
        <v>3227</v>
      </c>
      <c r="C3434" s="5">
        <v>5511996637083</v>
      </c>
      <c r="D3434" s="5" t="s">
        <v>13</v>
      </c>
      <c r="E3434" s="5">
        <v>7.9360573E7</v>
      </c>
      <c r="F3434" s="5" t="s">
        <v>259</v>
      </c>
      <c r="G3434" s="5" t="s">
        <v>15</v>
      </c>
      <c r="H3434" s="5" t="s">
        <v>51</v>
      </c>
      <c r="I3434" s="6" t="s">
        <v>17</v>
      </c>
      <c r="J3434" s="7" t="s">
        <v>34</v>
      </c>
      <c r="K3434" s="7"/>
      <c r="L3434" s="8">
        <v>1.773114429037E12</v>
      </c>
      <c r="M3434" s="9"/>
      <c r="N3434" s="10"/>
      <c r="O3434" s="10"/>
      <c r="P3434" s="10"/>
      <c r="Q3434" s="10"/>
      <c r="R3434" s="10"/>
      <c r="S3434" s="10"/>
      <c r="T3434" s="10"/>
      <c r="U3434" s="10"/>
      <c r="V3434" s="10"/>
    </row>
    <row r="3435" ht="22.5" customHeight="1">
      <c r="A3435" s="5">
        <v>1.50707858054E11</v>
      </c>
      <c r="B3435" s="5" t="s">
        <v>3228</v>
      </c>
      <c r="C3435" s="5">
        <v>51955437266</v>
      </c>
      <c r="D3435" s="5" t="s">
        <v>13</v>
      </c>
      <c r="E3435" s="5">
        <v>8.7547393E7</v>
      </c>
      <c r="F3435" s="5" t="s">
        <v>39</v>
      </c>
      <c r="G3435" s="5" t="s">
        <v>15</v>
      </c>
      <c r="H3435" s="5" t="s">
        <v>51</v>
      </c>
      <c r="I3435" s="6" t="s">
        <v>17</v>
      </c>
      <c r="J3435" s="7" t="s">
        <v>18</v>
      </c>
      <c r="K3435" s="7" t="s">
        <v>116</v>
      </c>
      <c r="L3435" s="8">
        <v>1.773115179833E12</v>
      </c>
      <c r="M3435" s="9"/>
      <c r="N3435" s="10"/>
      <c r="O3435" s="10"/>
      <c r="P3435" s="10"/>
      <c r="Q3435" s="10"/>
      <c r="R3435" s="10"/>
      <c r="S3435" s="10"/>
      <c r="T3435" s="10"/>
      <c r="U3435" s="10"/>
      <c r="V3435" s="10"/>
    </row>
    <row r="3436" ht="22.5" customHeight="1">
      <c r="A3436" s="5">
        <v>2.08213313627E11</v>
      </c>
      <c r="B3436" s="5" t="s">
        <v>3229</v>
      </c>
      <c r="C3436" s="5">
        <v>51942556062</v>
      </c>
      <c r="D3436" s="5" t="s">
        <v>13</v>
      </c>
      <c r="E3436" s="5">
        <v>8.7547393E7</v>
      </c>
      <c r="F3436" s="5" t="s">
        <v>65</v>
      </c>
      <c r="G3436" s="5" t="s">
        <v>32</v>
      </c>
      <c r="H3436" s="5" t="s">
        <v>40</v>
      </c>
      <c r="I3436" s="6" t="s">
        <v>36</v>
      </c>
      <c r="J3436" s="7" t="s">
        <v>18</v>
      </c>
      <c r="K3436" s="7" t="s">
        <v>19</v>
      </c>
      <c r="L3436" s="8">
        <v>1.773115636228E12</v>
      </c>
      <c r="M3436" s="9"/>
      <c r="N3436" s="10"/>
      <c r="O3436" s="10"/>
      <c r="P3436" s="10"/>
      <c r="Q3436" s="10"/>
      <c r="R3436" s="10"/>
      <c r="S3436" s="10"/>
      <c r="T3436" s="10"/>
      <c r="U3436" s="10"/>
      <c r="V3436" s="10"/>
    </row>
    <row r="3437" ht="22.5" customHeight="1">
      <c r="A3437" s="5">
        <v>2.08227395447E11</v>
      </c>
      <c r="B3437" s="5" t="s">
        <v>3230</v>
      </c>
      <c r="C3437" s="5">
        <v>51953031375</v>
      </c>
      <c r="D3437" s="5" t="s">
        <v>13</v>
      </c>
      <c r="E3437" s="5">
        <v>8.7547393E7</v>
      </c>
      <c r="F3437" s="5" t="s">
        <v>14</v>
      </c>
      <c r="G3437" s="5" t="s">
        <v>15</v>
      </c>
      <c r="H3437" s="5" t="s">
        <v>16</v>
      </c>
      <c r="I3437" s="6" t="s">
        <v>148</v>
      </c>
      <c r="J3437" s="7" t="s">
        <v>18</v>
      </c>
      <c r="K3437" s="7" t="s">
        <v>19</v>
      </c>
      <c r="L3437" s="8">
        <v>1.773115804201E12</v>
      </c>
      <c r="M3437" s="9"/>
      <c r="N3437" s="10"/>
      <c r="O3437" s="10"/>
      <c r="P3437" s="10"/>
      <c r="Q3437" s="10"/>
      <c r="R3437" s="10"/>
      <c r="S3437" s="10"/>
      <c r="T3437" s="10"/>
      <c r="U3437" s="10"/>
      <c r="V3437" s="10"/>
    </row>
    <row r="3438" ht="22.5" customHeight="1">
      <c r="A3438" s="5">
        <v>2.08214036148E11</v>
      </c>
      <c r="B3438" s="5" t="s">
        <v>3231</v>
      </c>
      <c r="C3438" s="5">
        <v>51952823572</v>
      </c>
      <c r="D3438" s="5" t="s">
        <v>13</v>
      </c>
      <c r="E3438" s="5">
        <v>8.0566583E7</v>
      </c>
      <c r="F3438" s="5" t="s">
        <v>259</v>
      </c>
      <c r="G3438" s="5" t="s">
        <v>15</v>
      </c>
      <c r="H3438" s="5" t="s">
        <v>66</v>
      </c>
      <c r="I3438" s="6" t="s">
        <v>17</v>
      </c>
      <c r="J3438" s="7" t="s">
        <v>18</v>
      </c>
      <c r="K3438" s="7" t="s">
        <v>19</v>
      </c>
      <c r="L3438" s="8">
        <v>1.773115884969E12</v>
      </c>
      <c r="M3438" s="9"/>
      <c r="N3438" s="10"/>
      <c r="O3438" s="10"/>
      <c r="P3438" s="10"/>
      <c r="Q3438" s="10"/>
      <c r="R3438" s="10"/>
      <c r="S3438" s="10"/>
      <c r="T3438" s="10"/>
      <c r="U3438" s="10"/>
      <c r="V3438" s="10"/>
    </row>
    <row r="3439" ht="22.5" customHeight="1">
      <c r="A3439" s="5">
        <v>2.08214309982E11</v>
      </c>
      <c r="B3439" s="5" t="s">
        <v>3232</v>
      </c>
      <c r="C3439" s="5">
        <v>51918857583</v>
      </c>
      <c r="D3439" s="5" t="s">
        <v>38</v>
      </c>
      <c r="E3439" s="5">
        <v>8.0566583E7</v>
      </c>
      <c r="F3439" s="5"/>
      <c r="G3439" s="5"/>
      <c r="H3439" s="5"/>
      <c r="I3439" s="6"/>
      <c r="J3439" s="7" t="s">
        <v>18</v>
      </c>
      <c r="K3439" s="7" t="s">
        <v>19</v>
      </c>
      <c r="L3439" s="8">
        <v>1.773116774348E12</v>
      </c>
      <c r="M3439" s="9"/>
      <c r="N3439" s="10"/>
      <c r="O3439" s="10"/>
      <c r="P3439" s="10"/>
      <c r="Q3439" s="10"/>
      <c r="R3439" s="10"/>
      <c r="S3439" s="10"/>
      <c r="T3439" s="10"/>
      <c r="U3439" s="10"/>
      <c r="V3439" s="10"/>
    </row>
    <row r="3440" ht="22.5" customHeight="1">
      <c r="A3440" s="5">
        <v>2.08216706924E11</v>
      </c>
      <c r="B3440" s="5" t="s">
        <v>3233</v>
      </c>
      <c r="C3440" s="5">
        <v>51984410555</v>
      </c>
      <c r="D3440" s="5" t="s">
        <v>13</v>
      </c>
      <c r="E3440" s="5">
        <v>8.7547393E7</v>
      </c>
      <c r="F3440" s="5" t="s">
        <v>259</v>
      </c>
      <c r="G3440" s="5" t="s">
        <v>15</v>
      </c>
      <c r="H3440" s="5" t="s">
        <v>24</v>
      </c>
      <c r="I3440" s="6" t="s">
        <v>148</v>
      </c>
      <c r="J3440" s="7" t="s">
        <v>18</v>
      </c>
      <c r="K3440" s="7" t="s">
        <v>19</v>
      </c>
      <c r="L3440" s="8">
        <v>1.773117930384E12</v>
      </c>
      <c r="M3440" s="9"/>
      <c r="N3440" s="10"/>
      <c r="O3440" s="10"/>
      <c r="P3440" s="10"/>
      <c r="Q3440" s="10"/>
      <c r="R3440" s="10"/>
      <c r="S3440" s="10"/>
      <c r="T3440" s="10"/>
      <c r="U3440" s="10"/>
      <c r="V3440" s="10"/>
    </row>
    <row r="3441" ht="22.5" customHeight="1">
      <c r="A3441" s="5">
        <v>2.08228461127E11</v>
      </c>
      <c r="B3441" s="5" t="s">
        <v>3234</v>
      </c>
      <c r="C3441" s="5">
        <v>51960611877</v>
      </c>
      <c r="D3441" s="5" t="s">
        <v>38</v>
      </c>
      <c r="E3441" s="5">
        <v>8.0566583E7</v>
      </c>
      <c r="F3441" s="5"/>
      <c r="G3441" s="5"/>
      <c r="H3441" s="5"/>
      <c r="I3441" s="6"/>
      <c r="J3441" s="7" t="s">
        <v>34</v>
      </c>
      <c r="K3441" s="7"/>
      <c r="L3441" s="8">
        <v>1.773118390861E12</v>
      </c>
      <c r="M3441" s="9"/>
      <c r="N3441" s="10"/>
      <c r="O3441" s="10"/>
      <c r="P3441" s="10"/>
      <c r="Q3441" s="10"/>
      <c r="R3441" s="10"/>
      <c r="S3441" s="10"/>
      <c r="T3441" s="10"/>
      <c r="U3441" s="10"/>
      <c r="V3441" s="10"/>
    </row>
    <row r="3442" ht="22.5" customHeight="1">
      <c r="A3442" s="5">
        <v>2.08228874394E11</v>
      </c>
      <c r="B3442" s="5" t="s">
        <v>3235</v>
      </c>
      <c r="C3442" s="5">
        <v>51980568012</v>
      </c>
      <c r="D3442" s="5" t="s">
        <v>13</v>
      </c>
      <c r="E3442" s="5">
        <v>8.7547393E7</v>
      </c>
      <c r="F3442" s="5" t="s">
        <v>28</v>
      </c>
      <c r="G3442" s="5" t="s">
        <v>15</v>
      </c>
      <c r="H3442" s="5" t="s">
        <v>51</v>
      </c>
      <c r="I3442" s="6" t="s">
        <v>17</v>
      </c>
      <c r="J3442" s="7" t="s">
        <v>18</v>
      </c>
      <c r="K3442" s="7" t="s">
        <v>19</v>
      </c>
      <c r="L3442" s="8">
        <v>1.773119459779E12</v>
      </c>
      <c r="M3442" s="9"/>
      <c r="N3442" s="10"/>
      <c r="O3442" s="10"/>
      <c r="P3442" s="10"/>
      <c r="Q3442" s="10"/>
      <c r="R3442" s="10"/>
      <c r="S3442" s="10"/>
      <c r="T3442" s="10"/>
      <c r="U3442" s="10"/>
      <c r="V3442" s="10"/>
    </row>
    <row r="3443" ht="22.5" customHeight="1">
      <c r="A3443" s="5">
        <v>2.08219094403E11</v>
      </c>
      <c r="B3443" s="5" t="s">
        <v>3236</v>
      </c>
      <c r="C3443" s="5">
        <v>51906277307</v>
      </c>
      <c r="D3443" s="5" t="s">
        <v>13</v>
      </c>
      <c r="E3443" s="5">
        <v>8.0566583E7</v>
      </c>
      <c r="F3443" s="5" t="s">
        <v>82</v>
      </c>
      <c r="G3443" s="5" t="s">
        <v>15</v>
      </c>
      <c r="H3443" s="5" t="s">
        <v>16</v>
      </c>
      <c r="I3443" s="6" t="s">
        <v>17</v>
      </c>
      <c r="J3443" s="7" t="s">
        <v>25</v>
      </c>
      <c r="K3443" s="7"/>
      <c r="L3443" s="8">
        <v>1.773121840838E12</v>
      </c>
      <c r="M3443" s="9"/>
      <c r="N3443" s="10"/>
      <c r="O3443" s="10"/>
      <c r="P3443" s="10"/>
      <c r="Q3443" s="10"/>
      <c r="R3443" s="10"/>
      <c r="S3443" s="10"/>
      <c r="T3443" s="10"/>
      <c r="U3443" s="10"/>
      <c r="V3443" s="10"/>
    </row>
    <row r="3444" ht="22.5" customHeight="1">
      <c r="A3444" s="5">
        <v>2.08218856045E11</v>
      </c>
      <c r="B3444" s="5" t="s">
        <v>3237</v>
      </c>
      <c r="C3444" s="5">
        <v>51902658494</v>
      </c>
      <c r="D3444" s="5" t="s">
        <v>13</v>
      </c>
      <c r="E3444" s="5">
        <v>8.7547393E7</v>
      </c>
      <c r="F3444" s="5" t="s">
        <v>39</v>
      </c>
      <c r="G3444" s="5" t="s">
        <v>15</v>
      </c>
      <c r="H3444" s="5" t="s">
        <v>86</v>
      </c>
      <c r="I3444" s="6" t="s">
        <v>17</v>
      </c>
      <c r="J3444" s="7" t="s">
        <v>18</v>
      </c>
      <c r="K3444" s="7" t="s">
        <v>19</v>
      </c>
      <c r="L3444" s="8">
        <v>1.773122090318E12</v>
      </c>
      <c r="M3444" s="9"/>
      <c r="N3444" s="10"/>
      <c r="O3444" s="10"/>
      <c r="P3444" s="10"/>
      <c r="Q3444" s="10"/>
      <c r="R3444" s="10"/>
      <c r="S3444" s="10"/>
      <c r="T3444" s="10"/>
      <c r="U3444" s="10"/>
      <c r="V3444" s="10"/>
    </row>
    <row r="3445" ht="22.5" customHeight="1">
      <c r="A3445" s="5">
        <v>2.08220240554E11</v>
      </c>
      <c r="B3445" s="5" t="s">
        <v>3238</v>
      </c>
      <c r="C3445" s="5">
        <v>51930987952</v>
      </c>
      <c r="D3445" s="5" t="s">
        <v>13</v>
      </c>
      <c r="E3445" s="5">
        <v>8.0566583E7</v>
      </c>
      <c r="F3445" s="5" t="s">
        <v>28</v>
      </c>
      <c r="G3445" s="5" t="s">
        <v>15</v>
      </c>
      <c r="H3445" s="5" t="s">
        <v>24</v>
      </c>
      <c r="I3445" s="6" t="s">
        <v>36</v>
      </c>
      <c r="J3445" s="7" t="s">
        <v>18</v>
      </c>
      <c r="K3445" s="7" t="s">
        <v>19</v>
      </c>
      <c r="L3445" s="8">
        <v>1.773123825318E12</v>
      </c>
      <c r="M3445" s="9"/>
      <c r="N3445" s="10"/>
      <c r="O3445" s="10"/>
      <c r="P3445" s="10"/>
      <c r="Q3445" s="10"/>
      <c r="R3445" s="10"/>
      <c r="S3445" s="10"/>
      <c r="T3445" s="10"/>
      <c r="U3445" s="10"/>
      <c r="V3445" s="10"/>
    </row>
    <row r="3446" ht="22.5" customHeight="1">
      <c r="A3446" s="5">
        <v>1.44004667533E11</v>
      </c>
      <c r="B3446" s="5" t="s">
        <v>3239</v>
      </c>
      <c r="C3446" s="5">
        <v>51947532123</v>
      </c>
      <c r="D3446" s="5" t="s">
        <v>13</v>
      </c>
      <c r="E3446" s="5">
        <v>8.0566583E7</v>
      </c>
      <c r="F3446" s="5" t="s">
        <v>28</v>
      </c>
      <c r="G3446" s="5" t="s">
        <v>15</v>
      </c>
      <c r="H3446" s="5" t="s">
        <v>51</v>
      </c>
      <c r="I3446" s="6"/>
      <c r="J3446" s="7" t="s">
        <v>34</v>
      </c>
      <c r="K3446" s="7"/>
      <c r="L3446" s="8">
        <v>1.773125769803E12</v>
      </c>
      <c r="M3446" s="9"/>
      <c r="N3446" s="10"/>
      <c r="O3446" s="10"/>
      <c r="P3446" s="10"/>
      <c r="Q3446" s="10"/>
      <c r="R3446" s="10"/>
      <c r="S3446" s="10"/>
      <c r="T3446" s="10"/>
      <c r="U3446" s="10"/>
      <c r="V3446" s="10"/>
    </row>
    <row r="3447" ht="22.5" customHeight="1">
      <c r="A3447" s="5">
        <v>2.08238018663E11</v>
      </c>
      <c r="B3447" s="5" t="s">
        <v>3240</v>
      </c>
      <c r="C3447" s="5">
        <v>51935340294</v>
      </c>
      <c r="D3447" s="5" t="s">
        <v>38</v>
      </c>
      <c r="E3447" s="5">
        <v>8.0566583E7</v>
      </c>
      <c r="F3447" s="5"/>
      <c r="G3447" s="5"/>
      <c r="H3447" s="5"/>
      <c r="I3447" s="6"/>
      <c r="J3447" s="7" t="s">
        <v>18</v>
      </c>
      <c r="K3447" s="7" t="s">
        <v>2930</v>
      </c>
      <c r="L3447" s="8">
        <v>1.773130723896E12</v>
      </c>
      <c r="M3447" s="9"/>
      <c r="N3447" s="10"/>
      <c r="O3447" s="10"/>
      <c r="P3447" s="10"/>
      <c r="Q3447" s="10"/>
      <c r="R3447" s="10"/>
      <c r="S3447" s="10"/>
      <c r="T3447" s="10"/>
      <c r="U3447" s="10"/>
      <c r="V3447" s="10"/>
    </row>
    <row r="3448" ht="22.5" customHeight="1">
      <c r="A3448" s="5">
        <v>2.08274510991E11</v>
      </c>
      <c r="B3448" s="5" t="s">
        <v>3241</v>
      </c>
      <c r="C3448" s="5">
        <v>51937527838</v>
      </c>
      <c r="D3448" s="5" t="s">
        <v>13</v>
      </c>
      <c r="E3448" s="5">
        <v>8.7547393E7</v>
      </c>
      <c r="F3448" s="5" t="s">
        <v>259</v>
      </c>
      <c r="G3448" s="5" t="s">
        <v>15</v>
      </c>
      <c r="H3448" s="5" t="s">
        <v>51</v>
      </c>
      <c r="I3448" s="6" t="s">
        <v>17</v>
      </c>
      <c r="J3448" s="7" t="s">
        <v>18</v>
      </c>
      <c r="K3448" s="7" t="s">
        <v>19</v>
      </c>
      <c r="L3448" s="8">
        <v>1.773140420007E12</v>
      </c>
      <c r="M3448" s="9"/>
      <c r="N3448" s="10"/>
      <c r="O3448" s="10"/>
      <c r="P3448" s="10"/>
      <c r="Q3448" s="10"/>
      <c r="R3448" s="10"/>
      <c r="S3448" s="10"/>
      <c r="T3448" s="10"/>
      <c r="U3448" s="10"/>
      <c r="V3448" s="10"/>
    </row>
    <row r="3449" ht="22.5" customHeight="1">
      <c r="A3449" s="5">
        <v>2.08273955687E11</v>
      </c>
      <c r="B3449" s="5" t="s">
        <v>3242</v>
      </c>
      <c r="C3449" s="5">
        <v>51954303001</v>
      </c>
      <c r="D3449" s="5" t="s">
        <v>22</v>
      </c>
      <c r="E3449" s="5">
        <v>8.0566583E7</v>
      </c>
      <c r="F3449" s="5" t="s">
        <v>82</v>
      </c>
      <c r="G3449" s="5" t="s">
        <v>44</v>
      </c>
      <c r="H3449" s="5" t="s">
        <v>114</v>
      </c>
      <c r="I3449" s="6" t="s">
        <v>17</v>
      </c>
      <c r="J3449" s="7" t="s">
        <v>34</v>
      </c>
      <c r="K3449" s="7"/>
      <c r="L3449" s="8">
        <v>1.773142111426E12</v>
      </c>
      <c r="M3449" s="9"/>
      <c r="N3449" s="10"/>
      <c r="O3449" s="10"/>
      <c r="P3449" s="10"/>
      <c r="Q3449" s="10"/>
      <c r="R3449" s="10"/>
      <c r="S3449" s="10"/>
      <c r="T3449" s="10"/>
      <c r="U3449" s="10"/>
      <c r="V3449" s="10"/>
    </row>
    <row r="3450" ht="22.5" customHeight="1">
      <c r="A3450" s="5">
        <v>2.05989217177E11</v>
      </c>
      <c r="B3450" s="5" t="s">
        <v>3243</v>
      </c>
      <c r="C3450" s="5">
        <v>51902228462</v>
      </c>
      <c r="D3450" s="5" t="s">
        <v>13</v>
      </c>
      <c r="E3450" s="5">
        <v>8.0566583E7</v>
      </c>
      <c r="F3450" s="5" t="s">
        <v>714</v>
      </c>
      <c r="G3450" s="5" t="s">
        <v>15</v>
      </c>
      <c r="H3450" s="5" t="s">
        <v>16</v>
      </c>
      <c r="I3450" s="6" t="s">
        <v>17</v>
      </c>
      <c r="J3450" s="7" t="s">
        <v>18</v>
      </c>
      <c r="K3450" s="7" t="s">
        <v>19</v>
      </c>
      <c r="L3450" s="8">
        <v>1.773144164365E12</v>
      </c>
      <c r="M3450" s="9"/>
      <c r="N3450" s="10"/>
      <c r="O3450" s="10"/>
      <c r="P3450" s="10"/>
      <c r="Q3450" s="10"/>
      <c r="R3450" s="10"/>
      <c r="S3450" s="10"/>
      <c r="T3450" s="10"/>
      <c r="U3450" s="10"/>
      <c r="V3450" s="10"/>
    </row>
    <row r="3451" ht="22.5" customHeight="1">
      <c r="A3451" s="5">
        <v>2.08281122306E11</v>
      </c>
      <c r="B3451" s="5" t="s">
        <v>3244</v>
      </c>
      <c r="C3451" s="5">
        <v>51917344915</v>
      </c>
      <c r="D3451" s="5" t="s">
        <v>13</v>
      </c>
      <c r="E3451" s="5">
        <v>8.7547393E7</v>
      </c>
      <c r="F3451" s="5" t="s">
        <v>14</v>
      </c>
      <c r="G3451" s="5" t="s">
        <v>15</v>
      </c>
      <c r="H3451" s="5" t="s">
        <v>24</v>
      </c>
      <c r="I3451" s="6" t="s">
        <v>36</v>
      </c>
      <c r="J3451" s="7" t="s">
        <v>18</v>
      </c>
      <c r="K3451" s="7" t="s">
        <v>19</v>
      </c>
      <c r="L3451" s="8">
        <v>1.773144660394E12</v>
      </c>
      <c r="M3451" s="9"/>
      <c r="N3451" s="10"/>
      <c r="O3451" s="10"/>
      <c r="P3451" s="10"/>
      <c r="Q3451" s="10"/>
      <c r="R3451" s="10"/>
      <c r="S3451" s="10"/>
      <c r="T3451" s="10"/>
      <c r="U3451" s="10"/>
      <c r="V3451" s="10"/>
    </row>
    <row r="3452" ht="22.5" customHeight="1">
      <c r="A3452" s="5">
        <v>2.08289045892E11</v>
      </c>
      <c r="B3452" s="5" t="s">
        <v>3245</v>
      </c>
      <c r="C3452" s="5">
        <v>51993029221</v>
      </c>
      <c r="D3452" s="5" t="s">
        <v>13</v>
      </c>
      <c r="E3452" s="5">
        <v>8.7547393E7</v>
      </c>
      <c r="F3452" s="5" t="s">
        <v>14</v>
      </c>
      <c r="G3452" s="5" t="s">
        <v>32</v>
      </c>
      <c r="H3452" s="5" t="s">
        <v>16</v>
      </c>
      <c r="I3452" s="6" t="s">
        <v>63</v>
      </c>
      <c r="J3452" s="7" t="s">
        <v>124</v>
      </c>
      <c r="K3452" s="7" t="s">
        <v>2058</v>
      </c>
      <c r="L3452" s="8">
        <v>1.773144883226E12</v>
      </c>
      <c r="M3452" s="9"/>
      <c r="N3452" s="10"/>
      <c r="O3452" s="10"/>
      <c r="P3452" s="10"/>
      <c r="Q3452" s="10"/>
      <c r="R3452" s="10"/>
      <c r="S3452" s="10"/>
      <c r="T3452" s="10"/>
      <c r="U3452" s="10"/>
      <c r="V3452" s="10"/>
    </row>
    <row r="3453" ht="22.5" customHeight="1">
      <c r="A3453" s="5">
        <v>2.08280127109E11</v>
      </c>
      <c r="B3453" s="5" t="s">
        <v>3246</v>
      </c>
      <c r="C3453" s="5">
        <v>51993668269</v>
      </c>
      <c r="D3453" s="5" t="s">
        <v>13</v>
      </c>
      <c r="E3453" s="5">
        <v>8.7547393E7</v>
      </c>
      <c r="F3453" s="5" t="s">
        <v>28</v>
      </c>
      <c r="G3453" s="5" t="s">
        <v>15</v>
      </c>
      <c r="H3453" s="5" t="s">
        <v>51</v>
      </c>
      <c r="I3453" s="6" t="s">
        <v>63</v>
      </c>
      <c r="J3453" s="7" t="s">
        <v>18</v>
      </c>
      <c r="K3453" s="7" t="s">
        <v>19</v>
      </c>
      <c r="L3453" s="8">
        <v>1.773144957585E12</v>
      </c>
      <c r="M3453" s="9"/>
      <c r="N3453" s="10"/>
      <c r="O3453" s="10"/>
      <c r="P3453" s="10"/>
      <c r="Q3453" s="10"/>
      <c r="R3453" s="10"/>
      <c r="S3453" s="10"/>
      <c r="T3453" s="10"/>
      <c r="U3453" s="10"/>
      <c r="V3453" s="10"/>
    </row>
    <row r="3454" ht="22.5" customHeight="1">
      <c r="A3454" s="5">
        <v>1.74515896732E11</v>
      </c>
      <c r="B3454" s="5" t="s">
        <v>3247</v>
      </c>
      <c r="C3454" s="5">
        <v>51993641395</v>
      </c>
      <c r="D3454" s="5" t="s">
        <v>38</v>
      </c>
      <c r="E3454" s="5"/>
      <c r="F3454" s="5"/>
      <c r="G3454" s="5"/>
      <c r="H3454" s="5"/>
      <c r="I3454" s="6"/>
      <c r="J3454" s="7" t="s">
        <v>25</v>
      </c>
      <c r="K3454" s="7"/>
      <c r="L3454" s="8">
        <v>1.773145388435E12</v>
      </c>
      <c r="M3454" s="9"/>
      <c r="N3454" s="10"/>
      <c r="O3454" s="10"/>
      <c r="P3454" s="10"/>
      <c r="Q3454" s="10"/>
      <c r="R3454" s="10"/>
      <c r="S3454" s="10"/>
      <c r="T3454" s="10"/>
      <c r="U3454" s="10"/>
      <c r="V3454" s="10"/>
    </row>
    <row r="3455" ht="22.5" customHeight="1">
      <c r="A3455" s="5">
        <v>2.08282359559E11</v>
      </c>
      <c r="B3455" s="5" t="s">
        <v>3248</v>
      </c>
      <c r="C3455" s="5">
        <v>51906952608</v>
      </c>
      <c r="D3455" s="5" t="s">
        <v>13</v>
      </c>
      <c r="E3455" s="5">
        <v>8.7547393E7</v>
      </c>
      <c r="F3455" s="5" t="s">
        <v>259</v>
      </c>
      <c r="G3455" s="5" t="s">
        <v>15</v>
      </c>
      <c r="H3455" s="5" t="s">
        <v>16</v>
      </c>
      <c r="I3455" s="6" t="s">
        <v>17</v>
      </c>
      <c r="J3455" s="7" t="s">
        <v>18</v>
      </c>
      <c r="K3455" s="7" t="s">
        <v>19</v>
      </c>
      <c r="L3455" s="8">
        <v>1.773145747597E12</v>
      </c>
      <c r="M3455" s="9"/>
      <c r="N3455" s="10"/>
      <c r="O3455" s="10"/>
      <c r="P3455" s="10"/>
      <c r="Q3455" s="10"/>
      <c r="R3455" s="10"/>
      <c r="S3455" s="10"/>
      <c r="T3455" s="10"/>
      <c r="U3455" s="10"/>
      <c r="V3455" s="10"/>
    </row>
    <row r="3456" ht="22.5" customHeight="1">
      <c r="A3456" s="5">
        <v>2.08281786235E11</v>
      </c>
      <c r="B3456" s="5" t="s">
        <v>3249</v>
      </c>
      <c r="C3456" s="5">
        <v>51986854750</v>
      </c>
      <c r="D3456" s="5" t="s">
        <v>103</v>
      </c>
      <c r="E3456" s="5">
        <v>8.0566583E7</v>
      </c>
      <c r="F3456" s="5" t="s">
        <v>39</v>
      </c>
      <c r="G3456" s="5" t="s">
        <v>79</v>
      </c>
      <c r="H3456" s="5" t="s">
        <v>24</v>
      </c>
      <c r="I3456" s="6"/>
      <c r="J3456" s="7" t="s">
        <v>18</v>
      </c>
      <c r="K3456" s="7" t="s">
        <v>19</v>
      </c>
      <c r="L3456" s="8">
        <v>1.773146146876E12</v>
      </c>
      <c r="M3456" s="9"/>
      <c r="N3456" s="10"/>
      <c r="O3456" s="10"/>
      <c r="P3456" s="10"/>
      <c r="Q3456" s="10"/>
      <c r="R3456" s="10"/>
      <c r="S3456" s="10"/>
      <c r="T3456" s="10"/>
      <c r="U3456" s="10"/>
      <c r="V3456" s="10"/>
    </row>
    <row r="3457" ht="22.5" customHeight="1">
      <c r="A3457" s="5">
        <v>2.08282467152E11</v>
      </c>
      <c r="B3457" s="5" t="s">
        <v>3250</v>
      </c>
      <c r="C3457" s="5">
        <v>5574988028596</v>
      </c>
      <c r="D3457" s="5" t="s">
        <v>13</v>
      </c>
      <c r="E3457" s="5">
        <v>7.9360573E7</v>
      </c>
      <c r="F3457" s="5" t="s">
        <v>510</v>
      </c>
      <c r="G3457" s="5" t="s">
        <v>44</v>
      </c>
      <c r="H3457" s="5" t="s">
        <v>16</v>
      </c>
      <c r="I3457" s="6" t="s">
        <v>17</v>
      </c>
      <c r="J3457" s="7" t="s">
        <v>34</v>
      </c>
      <c r="K3457" s="7"/>
      <c r="L3457" s="8">
        <v>1.77314641503E12</v>
      </c>
      <c r="M3457" s="9"/>
      <c r="N3457" s="10"/>
      <c r="O3457" s="10"/>
      <c r="P3457" s="10"/>
      <c r="Q3457" s="10"/>
      <c r="R3457" s="10"/>
      <c r="S3457" s="10"/>
      <c r="T3457" s="10"/>
      <c r="U3457" s="10"/>
      <c r="V3457" s="10"/>
    </row>
    <row r="3458" ht="22.5" customHeight="1">
      <c r="A3458" s="5">
        <v>9.0043900188E10</v>
      </c>
      <c r="B3458" s="5" t="s">
        <v>3251</v>
      </c>
      <c r="C3458" s="5">
        <v>51982244579</v>
      </c>
      <c r="D3458" s="5" t="s">
        <v>13</v>
      </c>
      <c r="E3458" s="5">
        <v>8.0566583E7</v>
      </c>
      <c r="F3458" s="5" t="s">
        <v>259</v>
      </c>
      <c r="G3458" s="5" t="s">
        <v>15</v>
      </c>
      <c r="H3458" s="5" t="s">
        <v>51</v>
      </c>
      <c r="I3458" s="6" t="s">
        <v>17</v>
      </c>
      <c r="J3458" s="7" t="s">
        <v>34</v>
      </c>
      <c r="K3458" s="7"/>
      <c r="L3458" s="8">
        <v>1.773146599281E12</v>
      </c>
      <c r="M3458" s="9"/>
      <c r="N3458" s="10"/>
      <c r="O3458" s="10"/>
      <c r="P3458" s="10"/>
      <c r="Q3458" s="10"/>
      <c r="R3458" s="10"/>
      <c r="S3458" s="10"/>
      <c r="T3458" s="10"/>
      <c r="U3458" s="10"/>
      <c r="V3458" s="10"/>
    </row>
    <row r="3459" ht="22.5" customHeight="1">
      <c r="A3459" s="5">
        <v>2.08288333163E11</v>
      </c>
      <c r="B3459" s="5" t="s">
        <v>3252</v>
      </c>
      <c r="C3459" s="5">
        <v>5511980652806</v>
      </c>
      <c r="D3459" s="5" t="s">
        <v>38</v>
      </c>
      <c r="E3459" s="5">
        <v>7.9360573E7</v>
      </c>
      <c r="F3459" s="5"/>
      <c r="G3459" s="5"/>
      <c r="H3459" s="5"/>
      <c r="I3459" s="6"/>
      <c r="J3459" s="7" t="s">
        <v>124</v>
      </c>
      <c r="K3459" s="7" t="s">
        <v>1256</v>
      </c>
      <c r="L3459" s="8">
        <v>1.773146725174E12</v>
      </c>
      <c r="M3459" s="9"/>
      <c r="N3459" s="10"/>
      <c r="O3459" s="10"/>
      <c r="P3459" s="10"/>
      <c r="Q3459" s="10"/>
      <c r="R3459" s="10"/>
      <c r="S3459" s="10"/>
      <c r="T3459" s="10"/>
      <c r="U3459" s="10"/>
      <c r="V3459" s="10"/>
    </row>
    <row r="3460" ht="22.5" customHeight="1">
      <c r="A3460" s="5">
        <v>2.082920142E11</v>
      </c>
      <c r="B3460" s="5" t="s">
        <v>3253</v>
      </c>
      <c r="C3460" s="5">
        <v>19173314685</v>
      </c>
      <c r="D3460" s="5" t="s">
        <v>22</v>
      </c>
      <c r="E3460" s="5">
        <v>8.7547393E7</v>
      </c>
      <c r="F3460" s="5" t="s">
        <v>28</v>
      </c>
      <c r="G3460" s="5" t="s">
        <v>44</v>
      </c>
      <c r="H3460" s="5" t="s">
        <v>16</v>
      </c>
      <c r="I3460" s="6" t="s">
        <v>148</v>
      </c>
      <c r="J3460" s="7" t="s">
        <v>34</v>
      </c>
      <c r="K3460" s="7"/>
      <c r="L3460" s="8">
        <v>1.773146848405E12</v>
      </c>
      <c r="M3460" s="9"/>
      <c r="N3460" s="10"/>
      <c r="O3460" s="10"/>
      <c r="P3460" s="10"/>
      <c r="Q3460" s="10"/>
      <c r="R3460" s="10"/>
      <c r="S3460" s="10"/>
      <c r="T3460" s="10"/>
      <c r="U3460" s="10"/>
      <c r="V3460" s="10"/>
    </row>
    <row r="3461" ht="22.5" customHeight="1">
      <c r="A3461" s="5">
        <v>2.08284494942E11</v>
      </c>
      <c r="B3461" s="5" t="s">
        <v>3254</v>
      </c>
      <c r="C3461" s="5">
        <v>51923703862</v>
      </c>
      <c r="D3461" s="5" t="s">
        <v>103</v>
      </c>
      <c r="E3461" s="5">
        <v>8.0566583E7</v>
      </c>
      <c r="F3461" s="5" t="s">
        <v>39</v>
      </c>
      <c r="G3461" s="5" t="s">
        <v>79</v>
      </c>
      <c r="H3461" s="5" t="s">
        <v>16</v>
      </c>
      <c r="I3461" s="6" t="s">
        <v>17</v>
      </c>
      <c r="J3461" s="7" t="s">
        <v>34</v>
      </c>
      <c r="K3461" s="7"/>
      <c r="L3461" s="8">
        <v>1.773146927106E12</v>
      </c>
      <c r="M3461" s="9"/>
      <c r="N3461" s="10"/>
      <c r="O3461" s="10"/>
      <c r="P3461" s="10"/>
      <c r="Q3461" s="10"/>
      <c r="R3461" s="10"/>
      <c r="S3461" s="10"/>
      <c r="T3461" s="10"/>
      <c r="U3461" s="10"/>
      <c r="V3461" s="10"/>
    </row>
    <row r="3462" ht="22.5" customHeight="1">
      <c r="A3462" s="5">
        <v>2.08283369642E11</v>
      </c>
      <c r="B3462" s="5" t="s">
        <v>3255</v>
      </c>
      <c r="C3462" s="5">
        <v>51978017759</v>
      </c>
      <c r="D3462" s="5" t="s">
        <v>13</v>
      </c>
      <c r="E3462" s="5">
        <v>8.7547393E7</v>
      </c>
      <c r="F3462" s="5" t="s">
        <v>28</v>
      </c>
      <c r="G3462" s="5" t="s">
        <v>15</v>
      </c>
      <c r="H3462" s="5" t="s">
        <v>1005</v>
      </c>
      <c r="I3462" s="6" t="s">
        <v>17</v>
      </c>
      <c r="J3462" s="7" t="s">
        <v>18</v>
      </c>
      <c r="K3462" s="7" t="s">
        <v>19</v>
      </c>
      <c r="L3462" s="8">
        <v>1.773147715593E12</v>
      </c>
      <c r="M3462" s="9"/>
      <c r="N3462" s="10"/>
      <c r="O3462" s="10"/>
      <c r="P3462" s="10"/>
      <c r="Q3462" s="10"/>
      <c r="R3462" s="10"/>
      <c r="S3462" s="10"/>
      <c r="T3462" s="10"/>
      <c r="U3462" s="10"/>
      <c r="V3462" s="10"/>
    </row>
    <row r="3463" ht="22.5" customHeight="1">
      <c r="A3463" s="5">
        <v>2.0829159656E11</v>
      </c>
      <c r="B3463" s="5" t="s">
        <v>3256</v>
      </c>
      <c r="C3463" s="5">
        <v>56966248128</v>
      </c>
      <c r="D3463" s="5" t="s">
        <v>13</v>
      </c>
      <c r="E3463" s="5">
        <v>8.0566583E7</v>
      </c>
      <c r="F3463" s="5" t="s">
        <v>39</v>
      </c>
      <c r="G3463" s="5" t="s">
        <v>15</v>
      </c>
      <c r="H3463" s="5" t="s">
        <v>51</v>
      </c>
      <c r="I3463" s="6" t="s">
        <v>49</v>
      </c>
      <c r="J3463" s="7" t="s">
        <v>177</v>
      </c>
      <c r="K3463" s="7" t="s">
        <v>36</v>
      </c>
      <c r="L3463" s="8">
        <v>1.773148954001E12</v>
      </c>
      <c r="M3463" s="9"/>
      <c r="N3463" s="10"/>
      <c r="O3463" s="10"/>
      <c r="P3463" s="10"/>
      <c r="Q3463" s="10"/>
      <c r="R3463" s="10"/>
      <c r="S3463" s="10"/>
      <c r="T3463" s="10"/>
      <c r="U3463" s="10"/>
      <c r="V3463" s="10"/>
    </row>
    <row r="3464" ht="22.5" customHeight="1">
      <c r="A3464" s="5">
        <v>2.0829446235E11</v>
      </c>
      <c r="B3464" s="5" t="s">
        <v>3257</v>
      </c>
      <c r="C3464" s="5">
        <v>51912562000</v>
      </c>
      <c r="D3464" s="5" t="s">
        <v>13</v>
      </c>
      <c r="E3464" s="5">
        <v>8.0566583E7</v>
      </c>
      <c r="F3464" s="5" t="s">
        <v>28</v>
      </c>
      <c r="G3464" s="5" t="s">
        <v>15</v>
      </c>
      <c r="H3464" s="5" t="s">
        <v>51</v>
      </c>
      <c r="I3464" s="6" t="s">
        <v>17</v>
      </c>
      <c r="J3464" s="7" t="s">
        <v>18</v>
      </c>
      <c r="K3464" s="7" t="s">
        <v>19</v>
      </c>
      <c r="L3464" s="8">
        <v>1.773149755678E12</v>
      </c>
      <c r="M3464" s="9"/>
      <c r="N3464" s="10"/>
      <c r="O3464" s="10"/>
      <c r="P3464" s="10"/>
      <c r="Q3464" s="10"/>
      <c r="R3464" s="10"/>
      <c r="S3464" s="10"/>
      <c r="T3464" s="10"/>
      <c r="U3464" s="10"/>
      <c r="V3464" s="10"/>
    </row>
    <row r="3465" ht="22.5" customHeight="1">
      <c r="A3465" s="5">
        <v>2.08295099734E11</v>
      </c>
      <c r="B3465" s="5" t="s">
        <v>3258</v>
      </c>
      <c r="C3465" s="5">
        <v>5586994394447</v>
      </c>
      <c r="D3465" s="5" t="s">
        <v>13</v>
      </c>
      <c r="E3465" s="5">
        <v>7.9360573E7</v>
      </c>
      <c r="F3465" s="5" t="s">
        <v>259</v>
      </c>
      <c r="G3465" s="5" t="s">
        <v>32</v>
      </c>
      <c r="H3465" s="5" t="s">
        <v>66</v>
      </c>
      <c r="I3465" s="6" t="s">
        <v>17</v>
      </c>
      <c r="J3465" s="7" t="s">
        <v>34</v>
      </c>
      <c r="K3465" s="7"/>
      <c r="L3465" s="8">
        <v>1.773150071763E12</v>
      </c>
      <c r="M3465" s="9"/>
      <c r="N3465" s="10"/>
      <c r="O3465" s="10"/>
      <c r="P3465" s="10"/>
      <c r="Q3465" s="10"/>
      <c r="R3465" s="10"/>
      <c r="S3465" s="10"/>
      <c r="T3465" s="10"/>
      <c r="U3465" s="10"/>
      <c r="V3465" s="10"/>
    </row>
    <row r="3466" ht="22.5" customHeight="1">
      <c r="A3466" s="5">
        <v>2.08299579676E11</v>
      </c>
      <c r="B3466" s="5" t="s">
        <v>3259</v>
      </c>
      <c r="C3466" s="5">
        <v>5518996347203</v>
      </c>
      <c r="D3466" s="5" t="s">
        <v>13</v>
      </c>
      <c r="E3466" s="5">
        <v>7.9360573E7</v>
      </c>
      <c r="F3466" s="5" t="s">
        <v>714</v>
      </c>
      <c r="G3466" s="5" t="s">
        <v>32</v>
      </c>
      <c r="H3466" s="5" t="s">
        <v>16</v>
      </c>
      <c r="I3466" s="6" t="s">
        <v>148</v>
      </c>
      <c r="J3466" s="7" t="s">
        <v>34</v>
      </c>
      <c r="K3466" s="7"/>
      <c r="L3466" s="8">
        <v>1.773150755359E12</v>
      </c>
      <c r="M3466" s="9"/>
      <c r="N3466" s="10"/>
      <c r="O3466" s="10"/>
      <c r="P3466" s="10"/>
      <c r="Q3466" s="10"/>
      <c r="R3466" s="10"/>
      <c r="S3466" s="10"/>
      <c r="T3466" s="10"/>
      <c r="U3466" s="10"/>
      <c r="V3466" s="10"/>
    </row>
    <row r="3467" ht="22.5" customHeight="1">
      <c r="A3467" s="5">
        <v>2.08308074808E11</v>
      </c>
      <c r="B3467" s="5" t="s">
        <v>3260</v>
      </c>
      <c r="C3467" s="5">
        <v>51950621102</v>
      </c>
      <c r="D3467" s="5" t="s">
        <v>13</v>
      </c>
      <c r="E3467" s="5">
        <v>8.7547393E7</v>
      </c>
      <c r="F3467" s="5" t="s">
        <v>28</v>
      </c>
      <c r="G3467" s="5" t="s">
        <v>15</v>
      </c>
      <c r="H3467" s="5" t="s">
        <v>16</v>
      </c>
      <c r="I3467" s="6" t="s">
        <v>17</v>
      </c>
      <c r="J3467" s="7" t="s">
        <v>18</v>
      </c>
      <c r="K3467" s="7" t="s">
        <v>19</v>
      </c>
      <c r="L3467" s="8">
        <v>1.77315075253E12</v>
      </c>
      <c r="M3467" s="9"/>
      <c r="N3467" s="10"/>
      <c r="O3467" s="10"/>
      <c r="P3467" s="10"/>
      <c r="Q3467" s="10"/>
      <c r="R3467" s="10"/>
      <c r="S3467" s="10"/>
      <c r="T3467" s="10"/>
      <c r="U3467" s="10"/>
      <c r="V3467" s="10"/>
    </row>
    <row r="3468" ht="22.5" customHeight="1">
      <c r="A3468" s="5">
        <v>1.88034555546E11</v>
      </c>
      <c r="B3468" s="5" t="s">
        <v>3261</v>
      </c>
      <c r="C3468" s="5">
        <v>51937398827</v>
      </c>
      <c r="D3468" s="5" t="s">
        <v>13</v>
      </c>
      <c r="E3468" s="5">
        <v>8.0566583E7</v>
      </c>
      <c r="F3468" s="5" t="s">
        <v>259</v>
      </c>
      <c r="G3468" s="5" t="s">
        <v>15</v>
      </c>
      <c r="H3468" s="5" t="s">
        <v>16</v>
      </c>
      <c r="I3468" s="6" t="s">
        <v>17</v>
      </c>
      <c r="J3468" s="7" t="s">
        <v>25</v>
      </c>
      <c r="K3468" s="7"/>
      <c r="L3468" s="8">
        <v>1.773151305214E12</v>
      </c>
      <c r="M3468" s="9"/>
      <c r="N3468" s="10"/>
      <c r="O3468" s="10"/>
      <c r="P3468" s="10"/>
      <c r="Q3468" s="10"/>
      <c r="R3468" s="10"/>
      <c r="S3468" s="10"/>
      <c r="T3468" s="10"/>
      <c r="U3468" s="10"/>
      <c r="V3468" s="10"/>
    </row>
    <row r="3469" ht="22.5" customHeight="1">
      <c r="A3469" s="5">
        <v>2.08301866038E11</v>
      </c>
      <c r="B3469" s="5" t="s">
        <v>3262</v>
      </c>
      <c r="C3469" s="5">
        <v>51917406409</v>
      </c>
      <c r="D3469" s="5" t="s">
        <v>38</v>
      </c>
      <c r="E3469" s="5">
        <v>8.7547393E7</v>
      </c>
      <c r="F3469" s="5"/>
      <c r="G3469" s="5"/>
      <c r="H3469" s="5"/>
      <c r="I3469" s="6"/>
      <c r="J3469" s="7" t="s">
        <v>34</v>
      </c>
      <c r="K3469" s="7"/>
      <c r="L3469" s="8">
        <v>1.773151996427E12</v>
      </c>
      <c r="M3469" s="9"/>
      <c r="N3469" s="10"/>
      <c r="O3469" s="10"/>
      <c r="P3469" s="10"/>
      <c r="Q3469" s="10"/>
      <c r="R3469" s="10"/>
      <c r="S3469" s="10"/>
      <c r="T3469" s="10"/>
      <c r="U3469" s="10"/>
      <c r="V3469" s="10"/>
    </row>
    <row r="3470" ht="22.5" customHeight="1">
      <c r="A3470" s="5">
        <v>2.08307085057E11</v>
      </c>
      <c r="B3470" s="5" t="s">
        <v>3263</v>
      </c>
      <c r="C3470" s="5">
        <v>51979816202</v>
      </c>
      <c r="D3470" s="5" t="s">
        <v>13</v>
      </c>
      <c r="E3470" s="5">
        <v>8.0566583E7</v>
      </c>
      <c r="F3470" s="5" t="s">
        <v>28</v>
      </c>
      <c r="G3470" s="5" t="s">
        <v>15</v>
      </c>
      <c r="H3470" s="5" t="s">
        <v>24</v>
      </c>
      <c r="I3470" s="6" t="s">
        <v>17</v>
      </c>
      <c r="J3470" s="7" t="s">
        <v>18</v>
      </c>
      <c r="K3470" s="7" t="s">
        <v>19</v>
      </c>
      <c r="L3470" s="8">
        <v>1.773153206406E12</v>
      </c>
      <c r="M3470" s="9"/>
      <c r="N3470" s="10"/>
      <c r="O3470" s="10"/>
      <c r="P3470" s="10"/>
      <c r="Q3470" s="10"/>
      <c r="R3470" s="10"/>
      <c r="S3470" s="10"/>
      <c r="T3470" s="10"/>
      <c r="U3470" s="10"/>
      <c r="V3470" s="10"/>
    </row>
    <row r="3471" ht="22.5" customHeight="1">
      <c r="A3471" s="5">
        <v>2.08318370898E11</v>
      </c>
      <c r="B3471" s="5" t="s">
        <v>3264</v>
      </c>
      <c r="C3471" s="5">
        <v>51978369890</v>
      </c>
      <c r="D3471" s="5" t="s">
        <v>13</v>
      </c>
      <c r="E3471" s="5">
        <v>8.0566583E7</v>
      </c>
      <c r="F3471" s="5" t="s">
        <v>259</v>
      </c>
      <c r="G3471" s="5" t="s">
        <v>15</v>
      </c>
      <c r="H3471" s="5" t="s">
        <v>51</v>
      </c>
      <c r="I3471" s="6" t="s">
        <v>17</v>
      </c>
      <c r="J3471" s="7" t="s">
        <v>18</v>
      </c>
      <c r="K3471" s="7" t="s">
        <v>116</v>
      </c>
      <c r="L3471" s="8">
        <v>1.773153408115E12</v>
      </c>
      <c r="M3471" s="9"/>
      <c r="N3471" s="10"/>
      <c r="O3471" s="10"/>
      <c r="P3471" s="10"/>
      <c r="Q3471" s="10"/>
      <c r="R3471" s="10"/>
      <c r="S3471" s="10"/>
      <c r="T3471" s="10"/>
      <c r="U3471" s="10"/>
      <c r="V3471" s="10"/>
    </row>
    <row r="3472" ht="22.5" customHeight="1">
      <c r="A3472" s="5">
        <v>2.08323000578E11</v>
      </c>
      <c r="B3472" s="5" t="s">
        <v>3265</v>
      </c>
      <c r="C3472" s="5">
        <v>51966802012</v>
      </c>
      <c r="D3472" s="5" t="s">
        <v>22</v>
      </c>
      <c r="E3472" s="5">
        <v>8.7547393E7</v>
      </c>
      <c r="F3472" s="5" t="s">
        <v>39</v>
      </c>
      <c r="G3472" s="5" t="s">
        <v>44</v>
      </c>
      <c r="H3472" s="5" t="s">
        <v>16</v>
      </c>
      <c r="I3472" s="6" t="s">
        <v>36</v>
      </c>
      <c r="J3472" s="7" t="s">
        <v>34</v>
      </c>
      <c r="K3472" s="7"/>
      <c r="L3472" s="8">
        <v>1.773154417075E12</v>
      </c>
      <c r="M3472" s="9"/>
      <c r="N3472" s="10"/>
      <c r="O3472" s="10"/>
      <c r="P3472" s="10"/>
      <c r="Q3472" s="10"/>
      <c r="R3472" s="10"/>
      <c r="S3472" s="10"/>
      <c r="T3472" s="10"/>
      <c r="U3472" s="10"/>
      <c r="V3472" s="10"/>
    </row>
    <row r="3473" ht="22.5" customHeight="1">
      <c r="A3473" s="5">
        <v>2.08345271688E11</v>
      </c>
      <c r="B3473" s="5" t="s">
        <v>3266</v>
      </c>
      <c r="C3473" s="5">
        <v>51991740216</v>
      </c>
      <c r="D3473" s="5" t="s">
        <v>13</v>
      </c>
      <c r="E3473" s="5">
        <v>8.7547393E7</v>
      </c>
      <c r="F3473" s="5"/>
      <c r="G3473" s="5" t="s">
        <v>15</v>
      </c>
      <c r="H3473" s="5" t="s">
        <v>51</v>
      </c>
      <c r="I3473" s="6" t="s">
        <v>17</v>
      </c>
      <c r="J3473" s="7" t="s">
        <v>18</v>
      </c>
      <c r="K3473" s="7" t="s">
        <v>19</v>
      </c>
      <c r="L3473" s="8">
        <v>1.773156196148E12</v>
      </c>
      <c r="M3473" s="9"/>
      <c r="N3473" s="10"/>
      <c r="O3473" s="10"/>
      <c r="P3473" s="10"/>
      <c r="Q3473" s="10"/>
      <c r="R3473" s="10"/>
      <c r="S3473" s="10"/>
      <c r="T3473" s="10"/>
      <c r="U3473" s="10"/>
      <c r="V3473" s="10"/>
    </row>
    <row r="3474" ht="22.5" customHeight="1">
      <c r="A3474" s="5">
        <v>2.08358063245E11</v>
      </c>
      <c r="B3474" s="5" t="s">
        <v>3267</v>
      </c>
      <c r="C3474" s="5">
        <v>5574999360535</v>
      </c>
      <c r="D3474" s="5" t="s">
        <v>38</v>
      </c>
      <c r="E3474" s="5">
        <v>7.9360573E7</v>
      </c>
      <c r="F3474" s="5"/>
      <c r="G3474" s="5"/>
      <c r="H3474" s="5"/>
      <c r="I3474" s="6"/>
      <c r="J3474" s="7" t="s">
        <v>34</v>
      </c>
      <c r="K3474" s="7"/>
      <c r="L3474" s="8">
        <v>1.773156272639E12</v>
      </c>
      <c r="M3474" s="9"/>
      <c r="N3474" s="10"/>
      <c r="O3474" s="10"/>
      <c r="P3474" s="10"/>
      <c r="Q3474" s="10"/>
      <c r="R3474" s="10"/>
      <c r="S3474" s="10"/>
      <c r="T3474" s="10"/>
      <c r="U3474" s="10"/>
      <c r="V3474" s="10"/>
    </row>
    <row r="3475" ht="22.5" customHeight="1">
      <c r="A3475" s="5">
        <v>2.08358134152E11</v>
      </c>
      <c r="B3475" s="5" t="s">
        <v>3268</v>
      </c>
      <c r="C3475" s="5">
        <v>51994027212</v>
      </c>
      <c r="D3475" s="5" t="s">
        <v>13</v>
      </c>
      <c r="E3475" s="5">
        <v>8.0566583E7</v>
      </c>
      <c r="F3475" s="5" t="s">
        <v>510</v>
      </c>
      <c r="G3475" s="5" t="s">
        <v>44</v>
      </c>
      <c r="H3475" s="5" t="s">
        <v>29</v>
      </c>
      <c r="I3475" s="6" t="s">
        <v>17</v>
      </c>
      <c r="J3475" s="7" t="s">
        <v>18</v>
      </c>
      <c r="K3475" s="7" t="s">
        <v>19</v>
      </c>
      <c r="L3475" s="8">
        <v>1.773157261642E12</v>
      </c>
      <c r="M3475" s="9"/>
      <c r="N3475" s="10"/>
      <c r="O3475" s="10"/>
      <c r="P3475" s="10"/>
      <c r="Q3475" s="10"/>
      <c r="R3475" s="10"/>
      <c r="S3475" s="10"/>
      <c r="T3475" s="10"/>
      <c r="U3475" s="10"/>
      <c r="V3475" s="10"/>
    </row>
    <row r="3476" ht="22.5" customHeight="1">
      <c r="A3476" s="5">
        <v>2.08347162743E11</v>
      </c>
      <c r="B3476" s="5" t="s">
        <v>3269</v>
      </c>
      <c r="C3476" s="5">
        <v>59164304416</v>
      </c>
      <c r="D3476" s="5" t="s">
        <v>13</v>
      </c>
      <c r="E3476" s="5">
        <v>8.7547393E7</v>
      </c>
      <c r="F3476" s="5" t="s">
        <v>28</v>
      </c>
      <c r="G3476" s="5" t="s">
        <v>15</v>
      </c>
      <c r="H3476" s="5" t="s">
        <v>29</v>
      </c>
      <c r="I3476" s="6" t="s">
        <v>17</v>
      </c>
      <c r="J3476" s="7" t="s">
        <v>124</v>
      </c>
      <c r="K3476" s="7" t="s">
        <v>3270</v>
      </c>
      <c r="L3476" s="8">
        <v>1.773157811899E12</v>
      </c>
      <c r="M3476" s="9"/>
      <c r="N3476" s="10"/>
      <c r="O3476" s="10"/>
      <c r="P3476" s="10"/>
      <c r="Q3476" s="10"/>
      <c r="R3476" s="10"/>
      <c r="S3476" s="10"/>
      <c r="T3476" s="10"/>
      <c r="U3476" s="10"/>
      <c r="V3476" s="10"/>
    </row>
    <row r="3477" ht="22.5" customHeight="1">
      <c r="A3477" s="5">
        <v>1.41298524509E11</v>
      </c>
      <c r="B3477" s="5" t="s">
        <v>3271</v>
      </c>
      <c r="C3477" s="5">
        <v>51961885306</v>
      </c>
      <c r="D3477" s="5" t="s">
        <v>38</v>
      </c>
      <c r="E3477" s="5"/>
      <c r="F3477" s="5"/>
      <c r="G3477" s="5"/>
      <c r="H3477" s="5"/>
      <c r="I3477" s="6"/>
      <c r="J3477" s="7" t="s">
        <v>18</v>
      </c>
      <c r="K3477" s="7" t="s">
        <v>116</v>
      </c>
      <c r="L3477" s="8">
        <v>1.773157940609E12</v>
      </c>
      <c r="M3477" s="9"/>
      <c r="N3477" s="10"/>
      <c r="O3477" s="10"/>
      <c r="P3477" s="10"/>
      <c r="Q3477" s="10"/>
      <c r="R3477" s="10"/>
      <c r="S3477" s="10"/>
      <c r="T3477" s="10"/>
      <c r="U3477" s="10"/>
      <c r="V3477" s="10"/>
    </row>
    <row r="3478" ht="22.5" customHeight="1">
      <c r="A3478" s="5">
        <v>2.08349172233E11</v>
      </c>
      <c r="B3478" s="5" t="s">
        <v>3272</v>
      </c>
      <c r="C3478" s="5">
        <v>5563992493358</v>
      </c>
      <c r="D3478" s="5" t="s">
        <v>13</v>
      </c>
      <c r="E3478" s="5">
        <v>7.9360573E7</v>
      </c>
      <c r="F3478" s="5" t="s">
        <v>39</v>
      </c>
      <c r="G3478" s="5" t="s">
        <v>15</v>
      </c>
      <c r="H3478" s="5" t="s">
        <v>51</v>
      </c>
      <c r="I3478" s="6" t="s">
        <v>17</v>
      </c>
      <c r="J3478" s="7" t="s">
        <v>58</v>
      </c>
      <c r="K3478" s="11" t="s">
        <v>59</v>
      </c>
      <c r="L3478" s="8">
        <v>1.773159592047E12</v>
      </c>
      <c r="M3478" s="9"/>
      <c r="N3478" s="10"/>
      <c r="O3478" s="10"/>
      <c r="P3478" s="10"/>
      <c r="Q3478" s="10"/>
      <c r="R3478" s="10"/>
      <c r="S3478" s="10"/>
      <c r="T3478" s="10"/>
      <c r="U3478" s="10"/>
      <c r="V3478" s="10"/>
    </row>
    <row r="3479" ht="22.5" customHeight="1">
      <c r="A3479" s="5">
        <v>2.08350194538E11</v>
      </c>
      <c r="B3479" s="5" t="s">
        <v>3273</v>
      </c>
      <c r="C3479" s="5">
        <v>51902733604</v>
      </c>
      <c r="D3479" s="5" t="s">
        <v>13</v>
      </c>
      <c r="E3479" s="5">
        <v>8.7547393E7</v>
      </c>
      <c r="F3479" s="5" t="s">
        <v>259</v>
      </c>
      <c r="G3479" s="5" t="s">
        <v>15</v>
      </c>
      <c r="H3479" s="5" t="s">
        <v>51</v>
      </c>
      <c r="I3479" s="6" t="s">
        <v>17</v>
      </c>
      <c r="J3479" s="7" t="s">
        <v>18</v>
      </c>
      <c r="K3479" s="7" t="s">
        <v>19</v>
      </c>
      <c r="L3479" s="8">
        <v>1.773159931851E12</v>
      </c>
      <c r="M3479" s="9"/>
      <c r="N3479" s="10"/>
      <c r="O3479" s="10"/>
      <c r="P3479" s="10"/>
      <c r="Q3479" s="10"/>
      <c r="R3479" s="10"/>
      <c r="S3479" s="10"/>
      <c r="T3479" s="10"/>
      <c r="U3479" s="10"/>
      <c r="V3479" s="10"/>
    </row>
    <row r="3480" ht="22.5" customHeight="1">
      <c r="A3480" s="5">
        <v>1.45190143053E11</v>
      </c>
      <c r="B3480" s="5" t="s">
        <v>473</v>
      </c>
      <c r="C3480" s="5">
        <v>51996482065</v>
      </c>
      <c r="D3480" s="5" t="s">
        <v>38</v>
      </c>
      <c r="E3480" s="5"/>
      <c r="F3480" s="5"/>
      <c r="G3480" s="5"/>
      <c r="H3480" s="5"/>
      <c r="I3480" s="6"/>
      <c r="J3480" s="7" t="s">
        <v>34</v>
      </c>
      <c r="K3480" s="7"/>
      <c r="L3480" s="8">
        <v>1.773160445695E12</v>
      </c>
      <c r="M3480" s="9"/>
      <c r="N3480" s="10"/>
      <c r="O3480" s="10"/>
      <c r="P3480" s="10"/>
      <c r="Q3480" s="10"/>
      <c r="R3480" s="10"/>
      <c r="S3480" s="10"/>
      <c r="T3480" s="10"/>
      <c r="U3480" s="10"/>
      <c r="V3480" s="10"/>
    </row>
    <row r="3481" ht="22.5" customHeight="1">
      <c r="A3481" s="5">
        <v>2.08362164073E11</v>
      </c>
      <c r="B3481" s="5" t="s">
        <v>3274</v>
      </c>
      <c r="C3481" s="5">
        <v>51923800502</v>
      </c>
      <c r="D3481" s="5" t="s">
        <v>13</v>
      </c>
      <c r="E3481" s="5">
        <v>8.0566583E7</v>
      </c>
      <c r="F3481" s="5" t="s">
        <v>714</v>
      </c>
      <c r="G3481" s="5" t="s">
        <v>32</v>
      </c>
      <c r="H3481" s="5" t="s">
        <v>16</v>
      </c>
      <c r="I3481" s="6" t="s">
        <v>49</v>
      </c>
      <c r="J3481" s="7" t="s">
        <v>25</v>
      </c>
      <c r="K3481" s="7" t="s">
        <v>26</v>
      </c>
      <c r="L3481" s="8">
        <v>1.773160710402E12</v>
      </c>
      <c r="M3481" s="9"/>
      <c r="N3481" s="10"/>
      <c r="O3481" s="10"/>
      <c r="P3481" s="10"/>
      <c r="Q3481" s="10"/>
      <c r="R3481" s="10"/>
      <c r="S3481" s="10"/>
      <c r="T3481" s="10"/>
      <c r="U3481" s="10"/>
      <c r="V3481" s="10"/>
    </row>
    <row r="3482" ht="22.5" customHeight="1">
      <c r="A3482" s="5">
        <v>2.08352567357E11</v>
      </c>
      <c r="B3482" s="5" t="s">
        <v>3275</v>
      </c>
      <c r="C3482" s="5">
        <v>51980497050</v>
      </c>
      <c r="D3482" s="5" t="s">
        <v>22</v>
      </c>
      <c r="E3482" s="5">
        <v>8.7547393E7</v>
      </c>
      <c r="F3482" s="5" t="s">
        <v>39</v>
      </c>
      <c r="G3482" s="5">
        <v>50</v>
      </c>
      <c r="H3482" s="5" t="s">
        <v>24</v>
      </c>
      <c r="I3482" s="6" t="s">
        <v>49</v>
      </c>
      <c r="J3482" s="7" t="s">
        <v>18</v>
      </c>
      <c r="K3482" s="7" t="s">
        <v>19</v>
      </c>
      <c r="L3482" s="8">
        <v>1.773161251395E12</v>
      </c>
      <c r="M3482" s="9"/>
      <c r="N3482" s="10"/>
      <c r="O3482" s="10"/>
      <c r="P3482" s="10"/>
      <c r="Q3482" s="10"/>
      <c r="R3482" s="10"/>
      <c r="S3482" s="10"/>
      <c r="T3482" s="10"/>
      <c r="U3482" s="10"/>
      <c r="V3482" s="10"/>
    </row>
    <row r="3483" ht="22.5" customHeight="1">
      <c r="A3483" s="5">
        <v>2.08369337989E11</v>
      </c>
      <c r="B3483" s="5" t="s">
        <v>3276</v>
      </c>
      <c r="C3483" s="5">
        <v>51919528811</v>
      </c>
      <c r="D3483" s="5" t="s">
        <v>22</v>
      </c>
      <c r="E3483" s="5">
        <v>8.7547393E7</v>
      </c>
      <c r="F3483" s="5" t="s">
        <v>39</v>
      </c>
      <c r="G3483" s="5" t="s">
        <v>104</v>
      </c>
      <c r="H3483" s="5" t="s">
        <v>55</v>
      </c>
      <c r="I3483" s="6" t="s">
        <v>17</v>
      </c>
      <c r="J3483" s="7" t="s">
        <v>124</v>
      </c>
      <c r="K3483" s="7" t="s">
        <v>2058</v>
      </c>
      <c r="L3483" s="8">
        <v>1.773161908663E12</v>
      </c>
      <c r="M3483" s="9"/>
      <c r="N3483" s="10"/>
      <c r="O3483" s="10"/>
      <c r="P3483" s="10"/>
      <c r="Q3483" s="10"/>
      <c r="R3483" s="10"/>
      <c r="S3483" s="10"/>
      <c r="T3483" s="10"/>
      <c r="U3483" s="10"/>
      <c r="V3483" s="10"/>
    </row>
    <row r="3484" ht="22.5" customHeight="1">
      <c r="A3484" s="5">
        <v>2.08354123825E11</v>
      </c>
      <c r="B3484" s="5" t="s">
        <v>3277</v>
      </c>
      <c r="C3484" s="5">
        <v>5513996051032</v>
      </c>
      <c r="D3484" s="5" t="s">
        <v>13</v>
      </c>
      <c r="E3484" s="5">
        <v>7.9360573E7</v>
      </c>
      <c r="F3484" s="5" t="s">
        <v>39</v>
      </c>
      <c r="G3484" s="5" t="s">
        <v>15</v>
      </c>
      <c r="H3484" s="5" t="s">
        <v>66</v>
      </c>
      <c r="I3484" s="6" t="s">
        <v>17</v>
      </c>
      <c r="J3484" s="7" t="s">
        <v>124</v>
      </c>
      <c r="K3484" s="7" t="s">
        <v>1256</v>
      </c>
      <c r="L3484" s="8">
        <v>1.773162078023E12</v>
      </c>
      <c r="M3484" s="9"/>
      <c r="N3484" s="10"/>
      <c r="O3484" s="10"/>
      <c r="P3484" s="10"/>
      <c r="Q3484" s="10"/>
      <c r="R3484" s="10"/>
      <c r="S3484" s="10"/>
      <c r="T3484" s="10"/>
      <c r="U3484" s="10"/>
      <c r="V3484" s="10"/>
    </row>
    <row r="3485" ht="22.5" customHeight="1">
      <c r="A3485" s="5">
        <v>2.08352896413E11</v>
      </c>
      <c r="B3485" s="5" t="s">
        <v>3278</v>
      </c>
      <c r="C3485" s="5">
        <v>51941081694</v>
      </c>
      <c r="D3485" s="5" t="s">
        <v>13</v>
      </c>
      <c r="E3485" s="5">
        <v>8.7547393E7</v>
      </c>
      <c r="F3485" s="5" t="s">
        <v>259</v>
      </c>
      <c r="G3485" s="5" t="s">
        <v>15</v>
      </c>
      <c r="H3485" s="5" t="s">
        <v>29</v>
      </c>
      <c r="I3485" s="6" t="s">
        <v>17</v>
      </c>
      <c r="J3485" s="7" t="s">
        <v>34</v>
      </c>
      <c r="K3485" s="7"/>
      <c r="L3485" s="8">
        <v>1.773162545206E12</v>
      </c>
      <c r="M3485" s="9"/>
      <c r="N3485" s="10"/>
      <c r="O3485" s="10"/>
      <c r="P3485" s="10"/>
      <c r="Q3485" s="10"/>
      <c r="R3485" s="10"/>
      <c r="S3485" s="10"/>
      <c r="T3485" s="10"/>
      <c r="U3485" s="10"/>
      <c r="V3485" s="10"/>
    </row>
    <row r="3486" ht="22.5" customHeight="1">
      <c r="A3486" s="5">
        <v>2.08369992774E11</v>
      </c>
      <c r="B3486" s="5" t="s">
        <v>3279</v>
      </c>
      <c r="C3486" s="5">
        <v>543886148045</v>
      </c>
      <c r="D3486" s="5" t="s">
        <v>13</v>
      </c>
      <c r="E3486" s="5">
        <v>8.0566583E7</v>
      </c>
      <c r="F3486" s="5" t="s">
        <v>39</v>
      </c>
      <c r="G3486" s="5" t="s">
        <v>15</v>
      </c>
      <c r="H3486" s="5" t="s">
        <v>51</v>
      </c>
      <c r="I3486" s="6" t="s">
        <v>17</v>
      </c>
      <c r="J3486" s="7" t="s">
        <v>18</v>
      </c>
      <c r="K3486" s="7" t="s">
        <v>19</v>
      </c>
      <c r="L3486" s="8">
        <v>1.773162613507E12</v>
      </c>
      <c r="M3486" s="9"/>
      <c r="N3486" s="10"/>
      <c r="O3486" s="10"/>
      <c r="P3486" s="10"/>
      <c r="Q3486" s="10"/>
      <c r="R3486" s="10"/>
      <c r="S3486" s="10"/>
      <c r="T3486" s="10"/>
      <c r="U3486" s="10"/>
      <c r="V3486" s="10"/>
    </row>
    <row r="3487" ht="22.5" customHeight="1">
      <c r="A3487" s="5">
        <v>2.08374826625E11</v>
      </c>
      <c r="B3487" s="5" t="s">
        <v>3280</v>
      </c>
      <c r="C3487" s="5">
        <v>51956048765</v>
      </c>
      <c r="D3487" s="5" t="s">
        <v>13</v>
      </c>
      <c r="E3487" s="5">
        <v>8.7547393E7</v>
      </c>
      <c r="F3487" s="5" t="s">
        <v>39</v>
      </c>
      <c r="G3487" s="5" t="s">
        <v>15</v>
      </c>
      <c r="H3487" s="5" t="s">
        <v>24</v>
      </c>
      <c r="I3487" s="6" t="s">
        <v>63</v>
      </c>
      <c r="J3487" s="7" t="s">
        <v>18</v>
      </c>
      <c r="K3487" s="7" t="s">
        <v>19</v>
      </c>
      <c r="L3487" s="8">
        <v>1.773164593411E12</v>
      </c>
      <c r="M3487" s="9"/>
      <c r="N3487" s="10"/>
      <c r="O3487" s="10"/>
      <c r="P3487" s="10"/>
      <c r="Q3487" s="10"/>
      <c r="R3487" s="10"/>
      <c r="S3487" s="10"/>
      <c r="T3487" s="10"/>
      <c r="U3487" s="10"/>
      <c r="V3487" s="10"/>
    </row>
    <row r="3488" ht="22.5" customHeight="1">
      <c r="A3488" s="5">
        <v>2.08371319089E11</v>
      </c>
      <c r="B3488" s="5" t="s">
        <v>3281</v>
      </c>
      <c r="C3488" s="5">
        <v>573204249503</v>
      </c>
      <c r="D3488" s="5" t="s">
        <v>13</v>
      </c>
      <c r="E3488" s="5">
        <v>8.0566583E7</v>
      </c>
      <c r="F3488" s="5" t="s">
        <v>14</v>
      </c>
      <c r="G3488" s="5" t="s">
        <v>32</v>
      </c>
      <c r="H3488" s="5" t="s">
        <v>114</v>
      </c>
      <c r="I3488" s="6" t="s">
        <v>89</v>
      </c>
      <c r="J3488" s="7" t="s">
        <v>34</v>
      </c>
      <c r="K3488" s="7"/>
      <c r="L3488" s="8">
        <v>1.773164664251E12</v>
      </c>
      <c r="M3488" s="9"/>
      <c r="N3488" s="10"/>
      <c r="O3488" s="10"/>
      <c r="P3488" s="10"/>
      <c r="Q3488" s="10"/>
      <c r="R3488" s="10"/>
      <c r="S3488" s="10"/>
      <c r="T3488" s="10"/>
      <c r="U3488" s="10"/>
      <c r="V3488" s="10"/>
    </row>
    <row r="3489" ht="22.5" customHeight="1">
      <c r="A3489" s="5">
        <v>2.08405548444E11</v>
      </c>
      <c r="B3489" s="5" t="s">
        <v>3282</v>
      </c>
      <c r="C3489" s="5">
        <v>51998168536</v>
      </c>
      <c r="D3489" s="5" t="s">
        <v>13</v>
      </c>
      <c r="E3489" s="5">
        <v>8.0566583E7</v>
      </c>
      <c r="F3489" s="5" t="s">
        <v>714</v>
      </c>
      <c r="G3489" s="5" t="s">
        <v>32</v>
      </c>
      <c r="H3489" s="5" t="s">
        <v>16</v>
      </c>
      <c r="I3489" s="6" t="s">
        <v>17</v>
      </c>
      <c r="J3489" s="7" t="s">
        <v>18</v>
      </c>
      <c r="K3489" s="7" t="s">
        <v>19</v>
      </c>
      <c r="L3489" s="8">
        <v>1.77316646462E12</v>
      </c>
      <c r="M3489" s="9"/>
      <c r="N3489" s="10"/>
      <c r="O3489" s="10"/>
      <c r="P3489" s="10"/>
      <c r="Q3489" s="10"/>
      <c r="R3489" s="10"/>
      <c r="S3489" s="10"/>
      <c r="T3489" s="10"/>
      <c r="U3489" s="10"/>
      <c r="V3489" s="10"/>
    </row>
    <row r="3490" ht="22.5" customHeight="1">
      <c r="A3490" s="5">
        <v>2.08387609189E11</v>
      </c>
      <c r="B3490" s="5" t="s">
        <v>3283</v>
      </c>
      <c r="C3490" s="5">
        <v>5533998259936</v>
      </c>
      <c r="D3490" s="5" t="s">
        <v>13</v>
      </c>
      <c r="E3490" s="5">
        <v>7.9360573E7</v>
      </c>
      <c r="F3490" s="5" t="s">
        <v>65</v>
      </c>
      <c r="G3490" s="5" t="s">
        <v>15</v>
      </c>
      <c r="H3490" s="5" t="s">
        <v>24</v>
      </c>
      <c r="I3490" s="6" t="s">
        <v>17</v>
      </c>
      <c r="J3490" s="7" t="s">
        <v>34</v>
      </c>
      <c r="K3490" s="7"/>
      <c r="L3490" s="8">
        <v>1.773166577657E12</v>
      </c>
      <c r="M3490" s="9"/>
      <c r="N3490" s="10"/>
      <c r="O3490" s="10"/>
      <c r="P3490" s="10"/>
      <c r="Q3490" s="10"/>
      <c r="R3490" s="10"/>
      <c r="S3490" s="10"/>
      <c r="T3490" s="10"/>
      <c r="U3490" s="10"/>
      <c r="V3490" s="10"/>
    </row>
    <row r="3491" ht="22.5" customHeight="1">
      <c r="A3491" s="5">
        <v>2.08406755182E11</v>
      </c>
      <c r="B3491" s="5" t="s">
        <v>3284</v>
      </c>
      <c r="C3491" s="5">
        <v>51933153733</v>
      </c>
      <c r="D3491" s="5" t="s">
        <v>22</v>
      </c>
      <c r="E3491" s="5">
        <v>8.7547393E7</v>
      </c>
      <c r="F3491" s="5" t="s">
        <v>28</v>
      </c>
      <c r="G3491" s="5" t="s">
        <v>44</v>
      </c>
      <c r="H3491" s="5" t="s">
        <v>16</v>
      </c>
      <c r="I3491" s="6" t="s">
        <v>17</v>
      </c>
      <c r="J3491" s="7" t="s">
        <v>18</v>
      </c>
      <c r="K3491" s="7" t="s">
        <v>19</v>
      </c>
      <c r="L3491" s="8">
        <v>1.773166742901E12</v>
      </c>
      <c r="M3491" s="9"/>
      <c r="N3491" s="10"/>
      <c r="O3491" s="10"/>
      <c r="P3491" s="10"/>
      <c r="Q3491" s="10"/>
      <c r="R3491" s="10"/>
      <c r="S3491" s="10"/>
      <c r="T3491" s="10"/>
      <c r="U3491" s="10"/>
      <c r="V3491" s="10"/>
    </row>
    <row r="3492" ht="22.5" customHeight="1">
      <c r="A3492" s="5">
        <v>2.08407294263E11</v>
      </c>
      <c r="B3492" s="5" t="s">
        <v>3285</v>
      </c>
      <c r="C3492" s="5">
        <v>51913408351</v>
      </c>
      <c r="D3492" s="5" t="s">
        <v>13</v>
      </c>
      <c r="E3492" s="5">
        <v>8.0566583E7</v>
      </c>
      <c r="F3492" s="5" t="s">
        <v>28</v>
      </c>
      <c r="G3492" s="5" t="s">
        <v>15</v>
      </c>
      <c r="H3492" s="5" t="s">
        <v>55</v>
      </c>
      <c r="I3492" s="6" t="s">
        <v>17</v>
      </c>
      <c r="J3492" s="7" t="s">
        <v>34</v>
      </c>
      <c r="K3492" s="7"/>
      <c r="L3492" s="8">
        <v>1.773167330703E12</v>
      </c>
      <c r="M3492" s="9"/>
      <c r="N3492" s="10"/>
      <c r="O3492" s="10"/>
      <c r="P3492" s="10"/>
      <c r="Q3492" s="10"/>
      <c r="R3492" s="10"/>
      <c r="S3492" s="10"/>
      <c r="T3492" s="10"/>
      <c r="U3492" s="10"/>
      <c r="V3492" s="10"/>
    </row>
    <row r="3493" ht="22.5" customHeight="1">
      <c r="A3493" s="5">
        <v>1.56189466706E11</v>
      </c>
      <c r="B3493" s="5" t="s">
        <v>3067</v>
      </c>
      <c r="C3493" s="5">
        <v>51968391004</v>
      </c>
      <c r="D3493" s="5" t="s">
        <v>13</v>
      </c>
      <c r="E3493" s="5">
        <v>8.0566583E7</v>
      </c>
      <c r="F3493" s="5" t="s">
        <v>259</v>
      </c>
      <c r="G3493" s="5" t="s">
        <v>15</v>
      </c>
      <c r="H3493" s="5" t="s">
        <v>66</v>
      </c>
      <c r="I3493" s="6" t="s">
        <v>17</v>
      </c>
      <c r="J3493" s="7" t="s">
        <v>34</v>
      </c>
      <c r="K3493" s="7"/>
      <c r="L3493" s="8">
        <v>1.773167485356E12</v>
      </c>
      <c r="M3493" s="9"/>
      <c r="N3493" s="10"/>
      <c r="O3493" s="10"/>
      <c r="P3493" s="10"/>
      <c r="Q3493" s="10"/>
      <c r="R3493" s="10"/>
      <c r="S3493" s="10"/>
      <c r="T3493" s="10"/>
      <c r="U3493" s="10"/>
      <c r="V3493" s="10"/>
    </row>
    <row r="3494" ht="22.5" customHeight="1">
      <c r="A3494" s="5">
        <v>2.08389521335E11</v>
      </c>
      <c r="B3494" s="5" t="s">
        <v>3286</v>
      </c>
      <c r="C3494" s="5">
        <v>5511994653173</v>
      </c>
      <c r="D3494" s="5" t="s">
        <v>13</v>
      </c>
      <c r="E3494" s="5">
        <v>7.9360573E7</v>
      </c>
      <c r="F3494" s="5" t="s">
        <v>28</v>
      </c>
      <c r="G3494" s="5" t="s">
        <v>32</v>
      </c>
      <c r="H3494" s="5" t="s">
        <v>16</v>
      </c>
      <c r="I3494" s="6" t="s">
        <v>17</v>
      </c>
      <c r="J3494" s="7" t="s">
        <v>34</v>
      </c>
      <c r="K3494" s="7"/>
      <c r="L3494" s="8">
        <v>1.773168431882E12</v>
      </c>
      <c r="M3494" s="9"/>
      <c r="N3494" s="10"/>
      <c r="O3494" s="10"/>
      <c r="P3494" s="10"/>
      <c r="Q3494" s="10"/>
      <c r="R3494" s="10"/>
      <c r="S3494" s="10"/>
      <c r="T3494" s="10"/>
      <c r="U3494" s="10"/>
      <c r="V3494" s="10"/>
    </row>
    <row r="3495" ht="22.5" customHeight="1">
      <c r="A3495" s="5">
        <v>2.0839133958E11</v>
      </c>
      <c r="B3495" s="5" t="s">
        <v>3287</v>
      </c>
      <c r="C3495" s="5">
        <v>51948156157</v>
      </c>
      <c r="D3495" s="5" t="s">
        <v>13</v>
      </c>
      <c r="E3495" s="5">
        <v>8.7547393E7</v>
      </c>
      <c r="F3495" s="5" t="s">
        <v>42</v>
      </c>
      <c r="G3495" s="5" t="s">
        <v>15</v>
      </c>
      <c r="H3495" s="5" t="s">
        <v>51</v>
      </c>
      <c r="I3495" s="6" t="s">
        <v>17</v>
      </c>
      <c r="J3495" s="7" t="s">
        <v>58</v>
      </c>
      <c r="K3495" s="11" t="s">
        <v>59</v>
      </c>
      <c r="L3495" s="8">
        <v>1.773169441516E12</v>
      </c>
      <c r="M3495" s="9"/>
      <c r="N3495" s="10"/>
      <c r="O3495" s="10"/>
      <c r="P3495" s="10"/>
      <c r="Q3495" s="10"/>
      <c r="R3495" s="10"/>
      <c r="S3495" s="10"/>
      <c r="T3495" s="10"/>
      <c r="U3495" s="10"/>
      <c r="V3495" s="10"/>
    </row>
    <row r="3496" ht="22.5" customHeight="1">
      <c r="A3496" s="5">
        <v>2.07972369957E11</v>
      </c>
      <c r="B3496" s="5" t="s">
        <v>3288</v>
      </c>
      <c r="C3496" s="5">
        <v>51922523320</v>
      </c>
      <c r="D3496" s="5" t="s">
        <v>13</v>
      </c>
      <c r="E3496" s="5">
        <v>8.0566583E7</v>
      </c>
      <c r="F3496" s="5" t="s">
        <v>28</v>
      </c>
      <c r="G3496" s="5" t="s">
        <v>32</v>
      </c>
      <c r="H3496" s="5" t="s">
        <v>114</v>
      </c>
      <c r="I3496" s="6" t="s">
        <v>49</v>
      </c>
      <c r="J3496" s="7" t="s">
        <v>18</v>
      </c>
      <c r="K3496" s="7" t="s">
        <v>19</v>
      </c>
      <c r="L3496" s="8">
        <v>1.773170198579E12</v>
      </c>
      <c r="M3496" s="9"/>
      <c r="N3496" s="10"/>
      <c r="O3496" s="10"/>
      <c r="P3496" s="10"/>
      <c r="Q3496" s="10"/>
      <c r="R3496" s="10"/>
      <c r="S3496" s="10"/>
      <c r="T3496" s="10"/>
      <c r="U3496" s="10"/>
      <c r="V3496" s="10"/>
    </row>
    <row r="3497" ht="22.5" customHeight="1">
      <c r="A3497" s="5">
        <v>2.08389873585E11</v>
      </c>
      <c r="B3497" s="5" t="s">
        <v>3289</v>
      </c>
      <c r="C3497" s="5">
        <v>5531985843460</v>
      </c>
      <c r="D3497" s="5" t="s">
        <v>13</v>
      </c>
      <c r="E3497" s="5">
        <v>7.9360573E7</v>
      </c>
      <c r="F3497" s="5" t="s">
        <v>259</v>
      </c>
      <c r="G3497" s="5" t="s">
        <v>15</v>
      </c>
      <c r="H3497" s="5" t="s">
        <v>72</v>
      </c>
      <c r="I3497" s="6" t="s">
        <v>17</v>
      </c>
      <c r="J3497" s="7" t="s">
        <v>34</v>
      </c>
      <c r="K3497" s="7"/>
      <c r="L3497" s="8">
        <v>1.773170319062E12</v>
      </c>
      <c r="M3497" s="9"/>
      <c r="N3497" s="10"/>
      <c r="O3497" s="10"/>
      <c r="P3497" s="10"/>
      <c r="Q3497" s="10"/>
      <c r="R3497" s="10"/>
      <c r="S3497" s="10"/>
      <c r="T3497" s="10"/>
      <c r="U3497" s="10"/>
      <c r="V3497" s="10"/>
    </row>
    <row r="3498" ht="22.5" customHeight="1">
      <c r="A3498" s="5">
        <v>2.07636103502E11</v>
      </c>
      <c r="B3498" s="5" t="s">
        <v>3290</v>
      </c>
      <c r="C3498" s="5">
        <v>527831112168</v>
      </c>
      <c r="D3498" s="5" t="s">
        <v>13</v>
      </c>
      <c r="E3498" s="5">
        <v>8.0566583E7</v>
      </c>
      <c r="F3498" s="5" t="s">
        <v>14</v>
      </c>
      <c r="G3498" s="5" t="s">
        <v>32</v>
      </c>
      <c r="H3498" s="5" t="s">
        <v>100</v>
      </c>
      <c r="I3498" s="6" t="s">
        <v>17</v>
      </c>
      <c r="J3498" s="7" t="s">
        <v>34</v>
      </c>
      <c r="K3498" s="7"/>
      <c r="L3498" s="8">
        <v>1.773172101261E12</v>
      </c>
      <c r="M3498" s="9"/>
      <c r="N3498" s="10"/>
      <c r="O3498" s="10"/>
      <c r="P3498" s="10"/>
      <c r="Q3498" s="10"/>
      <c r="R3498" s="10"/>
      <c r="S3498" s="10"/>
      <c r="T3498" s="10"/>
      <c r="U3498" s="10"/>
      <c r="V3498" s="10"/>
    </row>
    <row r="3499" ht="22.5" customHeight="1">
      <c r="A3499" s="5">
        <v>2.08412756404E11</v>
      </c>
      <c r="B3499" s="5" t="s">
        <v>3291</v>
      </c>
      <c r="C3499" s="5">
        <v>51941006792</v>
      </c>
      <c r="D3499" s="5" t="s">
        <v>13</v>
      </c>
      <c r="E3499" s="5">
        <v>8.7547393E7</v>
      </c>
      <c r="F3499" s="5" t="s">
        <v>259</v>
      </c>
      <c r="G3499" s="5" t="s">
        <v>15</v>
      </c>
      <c r="H3499" s="5" t="s">
        <v>66</v>
      </c>
      <c r="I3499" s="6" t="s">
        <v>17</v>
      </c>
      <c r="J3499" s="7" t="s">
        <v>18</v>
      </c>
      <c r="K3499" s="7" t="s">
        <v>19</v>
      </c>
      <c r="L3499" s="8">
        <v>1.773172140876E12</v>
      </c>
      <c r="M3499" s="9"/>
      <c r="N3499" s="10"/>
      <c r="O3499" s="10"/>
      <c r="P3499" s="10"/>
      <c r="Q3499" s="10"/>
      <c r="R3499" s="10"/>
      <c r="S3499" s="10"/>
      <c r="T3499" s="10"/>
      <c r="U3499" s="10"/>
      <c r="V3499" s="10"/>
    </row>
    <row r="3500" ht="22.5" customHeight="1">
      <c r="A3500" s="5">
        <v>1.87434519042E11</v>
      </c>
      <c r="B3500" s="5" t="s">
        <v>3292</v>
      </c>
      <c r="C3500" s="5">
        <v>5519999271469</v>
      </c>
      <c r="D3500" s="5" t="s">
        <v>13</v>
      </c>
      <c r="E3500" s="5">
        <v>7.9360573E7</v>
      </c>
      <c r="F3500" s="5" t="s">
        <v>28</v>
      </c>
      <c r="G3500" s="5" t="s">
        <v>32</v>
      </c>
      <c r="H3500" s="5" t="s">
        <v>16</v>
      </c>
      <c r="I3500" s="6" t="s">
        <v>49</v>
      </c>
      <c r="J3500" s="7" t="s">
        <v>34</v>
      </c>
      <c r="K3500" s="7"/>
      <c r="L3500" s="8">
        <v>1.773172541613E12</v>
      </c>
      <c r="M3500" s="9"/>
      <c r="N3500" s="10"/>
      <c r="O3500" s="10"/>
      <c r="P3500" s="10"/>
      <c r="Q3500" s="10"/>
      <c r="R3500" s="10"/>
      <c r="S3500" s="10"/>
      <c r="T3500" s="10"/>
      <c r="U3500" s="10"/>
      <c r="V3500" s="10"/>
    </row>
    <row r="3501" ht="22.5" customHeight="1">
      <c r="A3501" s="5">
        <v>2.08414731831E11</v>
      </c>
      <c r="B3501" s="5" t="s">
        <v>3293</v>
      </c>
      <c r="C3501" s="5">
        <v>51904639560</v>
      </c>
      <c r="D3501" s="5" t="s">
        <v>38</v>
      </c>
      <c r="E3501" s="5"/>
      <c r="F3501" s="5" t="s">
        <v>39</v>
      </c>
      <c r="G3501" s="5" t="s">
        <v>15</v>
      </c>
      <c r="H3501" s="5" t="s">
        <v>16</v>
      </c>
      <c r="I3501" s="6" t="s">
        <v>17</v>
      </c>
      <c r="J3501" s="7" t="s">
        <v>18</v>
      </c>
      <c r="K3501" s="7" t="s">
        <v>19</v>
      </c>
      <c r="L3501" s="8">
        <v>1.77317378829E12</v>
      </c>
      <c r="M3501" s="9"/>
      <c r="N3501" s="10"/>
      <c r="O3501" s="10"/>
      <c r="P3501" s="10"/>
      <c r="Q3501" s="10"/>
      <c r="R3501" s="10"/>
      <c r="S3501" s="10"/>
      <c r="T3501" s="10"/>
      <c r="U3501" s="10"/>
      <c r="V3501" s="10"/>
    </row>
    <row r="3502" ht="22.5" customHeight="1">
      <c r="A3502" s="5">
        <v>2.08414003035E11</v>
      </c>
      <c r="B3502" s="5" t="s">
        <v>3294</v>
      </c>
      <c r="C3502" s="5">
        <v>51992076733</v>
      </c>
      <c r="D3502" s="5" t="s">
        <v>22</v>
      </c>
      <c r="E3502" s="5">
        <v>8.0566583E7</v>
      </c>
      <c r="F3502" s="5" t="s">
        <v>28</v>
      </c>
      <c r="G3502" s="5" t="s">
        <v>44</v>
      </c>
      <c r="H3502" s="5" t="s">
        <v>51</v>
      </c>
      <c r="I3502" s="6" t="s">
        <v>89</v>
      </c>
      <c r="J3502" s="7" t="s">
        <v>18</v>
      </c>
      <c r="K3502" s="7" t="s">
        <v>19</v>
      </c>
      <c r="L3502" s="8">
        <v>1.773174061346E12</v>
      </c>
      <c r="M3502" s="9"/>
      <c r="N3502" s="10"/>
      <c r="O3502" s="10"/>
      <c r="P3502" s="10"/>
      <c r="Q3502" s="10"/>
      <c r="R3502" s="10"/>
      <c r="S3502" s="10"/>
      <c r="T3502" s="10"/>
      <c r="U3502" s="10"/>
      <c r="V3502" s="10"/>
    </row>
    <row r="3503" ht="22.5" customHeight="1">
      <c r="A3503" s="5">
        <v>2.0841638131E11</v>
      </c>
      <c r="B3503" s="5" t="s">
        <v>3295</v>
      </c>
      <c r="C3503" s="5">
        <v>51998330328</v>
      </c>
      <c r="D3503" s="5" t="s">
        <v>13</v>
      </c>
      <c r="E3503" s="5">
        <v>8.0566583E7</v>
      </c>
      <c r="F3503" s="5" t="s">
        <v>28</v>
      </c>
      <c r="G3503" s="5" t="s">
        <v>32</v>
      </c>
      <c r="H3503" s="5" t="s">
        <v>33</v>
      </c>
      <c r="I3503" s="6" t="s">
        <v>49</v>
      </c>
      <c r="J3503" s="7" t="s">
        <v>34</v>
      </c>
      <c r="K3503" s="7"/>
      <c r="L3503" s="8">
        <v>1.773174398608E12</v>
      </c>
      <c r="M3503" s="9"/>
      <c r="N3503" s="10"/>
      <c r="O3503" s="10"/>
      <c r="P3503" s="10"/>
      <c r="Q3503" s="10"/>
      <c r="R3503" s="10"/>
      <c r="S3503" s="10"/>
      <c r="T3503" s="10"/>
      <c r="U3503" s="10"/>
      <c r="V3503" s="10"/>
    </row>
    <row r="3504" ht="22.5" customHeight="1">
      <c r="A3504" s="5">
        <v>2.08414695179E11</v>
      </c>
      <c r="B3504" s="5" t="s">
        <v>3296</v>
      </c>
      <c r="C3504" s="5">
        <v>51970914442</v>
      </c>
      <c r="D3504" s="5" t="s">
        <v>22</v>
      </c>
      <c r="E3504" s="5">
        <v>8.0566583E7</v>
      </c>
      <c r="F3504" s="5" t="s">
        <v>28</v>
      </c>
      <c r="G3504" s="5" t="s">
        <v>44</v>
      </c>
      <c r="H3504" s="5" t="s">
        <v>66</v>
      </c>
      <c r="I3504" s="6" t="s">
        <v>17</v>
      </c>
      <c r="J3504" s="7" t="s">
        <v>18</v>
      </c>
      <c r="K3504" s="7" t="s">
        <v>116</v>
      </c>
      <c r="L3504" s="8">
        <v>1.773175784285E12</v>
      </c>
      <c r="M3504" s="9"/>
      <c r="N3504" s="10"/>
      <c r="O3504" s="10"/>
      <c r="P3504" s="10"/>
      <c r="Q3504" s="10"/>
      <c r="R3504" s="10"/>
      <c r="S3504" s="10"/>
      <c r="T3504" s="10"/>
      <c r="U3504" s="10"/>
      <c r="V3504" s="10"/>
    </row>
    <row r="3505" ht="22.5" customHeight="1">
      <c r="A3505" s="5">
        <v>2.08439896148E11</v>
      </c>
      <c r="B3505" s="5" t="s">
        <v>3297</v>
      </c>
      <c r="C3505" s="5">
        <v>51996420033</v>
      </c>
      <c r="D3505" s="5" t="s">
        <v>13</v>
      </c>
      <c r="E3505" s="5">
        <v>8.0566583E7</v>
      </c>
      <c r="F3505" s="5" t="s">
        <v>65</v>
      </c>
      <c r="G3505" s="5" t="s">
        <v>32</v>
      </c>
      <c r="H3505" s="5" t="s">
        <v>24</v>
      </c>
      <c r="I3505" s="6" t="s">
        <v>17</v>
      </c>
      <c r="J3505" s="7" t="s">
        <v>18</v>
      </c>
      <c r="K3505" s="7" t="s">
        <v>19</v>
      </c>
      <c r="L3505" s="8">
        <v>1.773178380494E12</v>
      </c>
      <c r="M3505" s="9"/>
      <c r="N3505" s="10"/>
      <c r="O3505" s="10"/>
      <c r="P3505" s="10"/>
      <c r="Q3505" s="10"/>
      <c r="R3505" s="10"/>
      <c r="S3505" s="10"/>
      <c r="T3505" s="10"/>
      <c r="U3505" s="10"/>
      <c r="V3505" s="10"/>
    </row>
    <row r="3506" ht="22.5" customHeight="1">
      <c r="A3506" s="5">
        <v>2.08422200863E11</v>
      </c>
      <c r="B3506" s="5" t="s">
        <v>3298</v>
      </c>
      <c r="C3506" s="5">
        <v>51955058219</v>
      </c>
      <c r="D3506" s="5" t="s">
        <v>13</v>
      </c>
      <c r="E3506" s="5">
        <v>8.0566583E7</v>
      </c>
      <c r="F3506" s="5" t="s">
        <v>14</v>
      </c>
      <c r="G3506" s="5" t="s">
        <v>15</v>
      </c>
      <c r="H3506" s="5" t="s">
        <v>16</v>
      </c>
      <c r="I3506" s="6" t="s">
        <v>17</v>
      </c>
      <c r="J3506" s="7" t="s">
        <v>58</v>
      </c>
      <c r="K3506" s="11" t="s">
        <v>59</v>
      </c>
      <c r="L3506" s="8">
        <v>1.773178432216E12</v>
      </c>
      <c r="M3506" s="9"/>
      <c r="N3506" s="10"/>
      <c r="O3506" s="10"/>
      <c r="P3506" s="10"/>
      <c r="Q3506" s="10"/>
      <c r="R3506" s="10"/>
      <c r="S3506" s="10"/>
      <c r="T3506" s="10"/>
      <c r="U3506" s="10"/>
      <c r="V3506" s="10"/>
    </row>
    <row r="3507" ht="22.5" customHeight="1">
      <c r="A3507" s="5">
        <v>2.08422149388E11</v>
      </c>
      <c r="B3507" s="5" t="s">
        <v>3299</v>
      </c>
      <c r="C3507" s="5">
        <v>5544998052469</v>
      </c>
      <c r="D3507" s="5" t="s">
        <v>13</v>
      </c>
      <c r="E3507" s="5">
        <v>7.9360573E7</v>
      </c>
      <c r="F3507" s="5" t="s">
        <v>14</v>
      </c>
      <c r="G3507" s="5" t="s">
        <v>15</v>
      </c>
      <c r="H3507" s="5" t="s">
        <v>16</v>
      </c>
      <c r="I3507" s="6" t="s">
        <v>17</v>
      </c>
      <c r="J3507" s="7" t="s">
        <v>34</v>
      </c>
      <c r="K3507" s="7"/>
      <c r="L3507" s="8">
        <v>1.773180114132E12</v>
      </c>
      <c r="M3507" s="9"/>
      <c r="N3507" s="10"/>
      <c r="O3507" s="10"/>
      <c r="P3507" s="10"/>
      <c r="Q3507" s="10"/>
      <c r="R3507" s="10"/>
      <c r="S3507" s="10"/>
      <c r="T3507" s="10"/>
      <c r="U3507" s="10"/>
      <c r="V3507" s="10"/>
    </row>
    <row r="3508" ht="22.5" customHeight="1">
      <c r="A3508" s="5">
        <v>2.08424293675E11</v>
      </c>
      <c r="B3508" s="5" t="s">
        <v>3300</v>
      </c>
      <c r="C3508" s="5">
        <v>51952774844</v>
      </c>
      <c r="D3508" s="5" t="s">
        <v>13</v>
      </c>
      <c r="E3508" s="5">
        <v>8.7547393E7</v>
      </c>
      <c r="F3508" s="5" t="s">
        <v>39</v>
      </c>
      <c r="G3508" s="5" t="s">
        <v>15</v>
      </c>
      <c r="H3508" s="5" t="s">
        <v>66</v>
      </c>
      <c r="I3508" s="6"/>
      <c r="J3508" s="7" t="s">
        <v>34</v>
      </c>
      <c r="K3508" s="7"/>
      <c r="L3508" s="8">
        <v>1.773181031256E12</v>
      </c>
      <c r="M3508" s="9"/>
      <c r="N3508" s="10"/>
      <c r="O3508" s="10"/>
      <c r="P3508" s="10"/>
      <c r="Q3508" s="10"/>
      <c r="R3508" s="10"/>
      <c r="S3508" s="10"/>
      <c r="T3508" s="10"/>
      <c r="U3508" s="10"/>
      <c r="V3508" s="10"/>
    </row>
    <row r="3509" ht="22.5" customHeight="1">
      <c r="A3509" s="5">
        <v>2.08442705554E11</v>
      </c>
      <c r="B3509" s="5" t="s">
        <v>3301</v>
      </c>
      <c r="C3509" s="5">
        <v>51944002402</v>
      </c>
      <c r="D3509" s="5" t="s">
        <v>13</v>
      </c>
      <c r="E3509" s="5">
        <v>8.7547393E7</v>
      </c>
      <c r="F3509" s="5" t="s">
        <v>259</v>
      </c>
      <c r="G3509" s="5"/>
      <c r="H3509" s="5"/>
      <c r="I3509" s="6" t="s">
        <v>17</v>
      </c>
      <c r="J3509" s="7" t="s">
        <v>18</v>
      </c>
      <c r="K3509" s="7" t="s">
        <v>19</v>
      </c>
      <c r="L3509" s="8">
        <v>1.773182331497E12</v>
      </c>
      <c r="M3509" s="9"/>
      <c r="N3509" s="10"/>
      <c r="O3509" s="10"/>
      <c r="P3509" s="10"/>
      <c r="Q3509" s="10"/>
      <c r="R3509" s="10"/>
      <c r="S3509" s="10"/>
      <c r="T3509" s="10"/>
      <c r="U3509" s="10"/>
      <c r="V3509" s="10"/>
    </row>
    <row r="3510" ht="22.5" customHeight="1">
      <c r="A3510" s="5">
        <v>2.08354751085E11</v>
      </c>
      <c r="B3510" s="5" t="s">
        <v>3302</v>
      </c>
      <c r="C3510" s="5">
        <v>51978731060</v>
      </c>
      <c r="D3510" s="5" t="s">
        <v>13</v>
      </c>
      <c r="E3510" s="5">
        <v>8.7547393E7</v>
      </c>
      <c r="F3510" s="5" t="s">
        <v>14</v>
      </c>
      <c r="G3510" s="5" t="s">
        <v>15</v>
      </c>
      <c r="H3510" s="5" t="s">
        <v>497</v>
      </c>
      <c r="I3510" s="6" t="s">
        <v>17</v>
      </c>
      <c r="J3510" s="7" t="s">
        <v>25</v>
      </c>
      <c r="K3510" s="7" t="s">
        <v>501</v>
      </c>
      <c r="L3510" s="8">
        <v>1.773183581496E12</v>
      </c>
      <c r="M3510" s="9"/>
      <c r="N3510" s="10"/>
      <c r="O3510" s="10"/>
      <c r="P3510" s="10"/>
      <c r="Q3510" s="10"/>
      <c r="R3510" s="10"/>
      <c r="S3510" s="10"/>
      <c r="T3510" s="10"/>
      <c r="U3510" s="10"/>
      <c r="V3510" s="10"/>
    </row>
    <row r="3511" ht="22.5" customHeight="1">
      <c r="A3511" s="5">
        <v>2.08426995868E11</v>
      </c>
      <c r="B3511" s="5" t="s">
        <v>3303</v>
      </c>
      <c r="C3511" s="5">
        <v>51936605882</v>
      </c>
      <c r="D3511" s="5" t="s">
        <v>13</v>
      </c>
      <c r="E3511" s="5">
        <v>8.7547393E7</v>
      </c>
      <c r="F3511" s="5" t="s">
        <v>39</v>
      </c>
      <c r="G3511" s="5" t="s">
        <v>15</v>
      </c>
      <c r="H3511" s="5" t="s">
        <v>24</v>
      </c>
      <c r="I3511" s="6" t="s">
        <v>17</v>
      </c>
      <c r="J3511" s="7" t="s">
        <v>18</v>
      </c>
      <c r="K3511" s="7" t="s">
        <v>19</v>
      </c>
      <c r="L3511" s="8">
        <v>1.773183859981E12</v>
      </c>
      <c r="M3511" s="9"/>
      <c r="N3511" s="10"/>
      <c r="O3511" s="10"/>
      <c r="P3511" s="10"/>
      <c r="Q3511" s="10"/>
      <c r="R3511" s="10"/>
      <c r="S3511" s="10"/>
      <c r="T3511" s="10"/>
      <c r="U3511" s="10"/>
      <c r="V3511" s="10"/>
    </row>
    <row r="3512" ht="22.5" customHeight="1">
      <c r="A3512" s="5">
        <v>2.08428888649E11</v>
      </c>
      <c r="B3512" s="5" t="s">
        <v>3304</v>
      </c>
      <c r="C3512" s="5">
        <v>51943087918</v>
      </c>
      <c r="D3512" s="5" t="s">
        <v>13</v>
      </c>
      <c r="E3512" s="5">
        <v>8.0566583E7</v>
      </c>
      <c r="F3512" s="5"/>
      <c r="G3512" s="5" t="s">
        <v>15</v>
      </c>
      <c r="H3512" s="5" t="s">
        <v>24</v>
      </c>
      <c r="I3512" s="6" t="s">
        <v>49</v>
      </c>
      <c r="J3512" s="7" t="s">
        <v>18</v>
      </c>
      <c r="K3512" s="7" t="s">
        <v>19</v>
      </c>
      <c r="L3512" s="8">
        <v>1.773187348975E12</v>
      </c>
      <c r="M3512" s="9"/>
      <c r="N3512" s="10"/>
      <c r="O3512" s="10"/>
      <c r="P3512" s="10"/>
      <c r="Q3512" s="10"/>
      <c r="R3512" s="10"/>
      <c r="S3512" s="10"/>
      <c r="T3512" s="10"/>
      <c r="U3512" s="10"/>
      <c r="V3512" s="10"/>
    </row>
    <row r="3513" ht="22.5" customHeight="1">
      <c r="A3513" s="5">
        <v>2.07860455597E11</v>
      </c>
      <c r="B3513" s="5" t="s">
        <v>3305</v>
      </c>
      <c r="C3513" s="5">
        <v>51900606698</v>
      </c>
      <c r="D3513" s="5" t="s">
        <v>13</v>
      </c>
      <c r="E3513" s="5">
        <v>8.7547393E7</v>
      </c>
      <c r="F3513" s="5" t="s">
        <v>510</v>
      </c>
      <c r="G3513" s="5" t="s">
        <v>15</v>
      </c>
      <c r="H3513" s="5" t="s">
        <v>29</v>
      </c>
      <c r="I3513" s="6" t="s">
        <v>17</v>
      </c>
      <c r="J3513" s="7" t="s">
        <v>18</v>
      </c>
      <c r="K3513" s="7" t="s">
        <v>2930</v>
      </c>
      <c r="L3513" s="8">
        <v>1.773187625742E12</v>
      </c>
      <c r="M3513" s="9"/>
      <c r="N3513" s="10"/>
      <c r="O3513" s="10"/>
      <c r="P3513" s="10"/>
      <c r="Q3513" s="10"/>
      <c r="R3513" s="10"/>
      <c r="S3513" s="10"/>
      <c r="T3513" s="10"/>
      <c r="U3513" s="10"/>
      <c r="V3513" s="10"/>
    </row>
    <row r="3514" ht="22.5" customHeight="1">
      <c r="A3514" s="5">
        <v>2.08447902604E11</v>
      </c>
      <c r="B3514" s="5" t="s">
        <v>3306</v>
      </c>
      <c r="C3514" s="5">
        <v>5521981325330</v>
      </c>
      <c r="D3514" s="5" t="s">
        <v>13</v>
      </c>
      <c r="E3514" s="5">
        <v>7.9360573E7</v>
      </c>
      <c r="F3514" s="5" t="s">
        <v>259</v>
      </c>
      <c r="G3514" s="5" t="s">
        <v>15</v>
      </c>
      <c r="H3514" s="5" t="s">
        <v>29</v>
      </c>
      <c r="I3514" s="6" t="s">
        <v>17</v>
      </c>
      <c r="J3514" s="7" t="s">
        <v>34</v>
      </c>
      <c r="K3514" s="7"/>
      <c r="L3514" s="8">
        <v>1.773188508141E12</v>
      </c>
      <c r="M3514" s="9"/>
      <c r="N3514" s="10"/>
      <c r="O3514" s="10"/>
      <c r="P3514" s="10"/>
      <c r="Q3514" s="10"/>
      <c r="R3514" s="10"/>
      <c r="S3514" s="10"/>
      <c r="T3514" s="10"/>
      <c r="U3514" s="10"/>
      <c r="V3514" s="10"/>
    </row>
    <row r="3515" ht="22.5" customHeight="1">
      <c r="A3515" s="5">
        <v>2.08452627204E11</v>
      </c>
      <c r="B3515" s="5" t="s">
        <v>3307</v>
      </c>
      <c r="C3515" s="5">
        <v>51929711540</v>
      </c>
      <c r="D3515" s="5" t="s">
        <v>13</v>
      </c>
      <c r="E3515" s="5">
        <v>8.0566583E7</v>
      </c>
      <c r="F3515" s="5" t="s">
        <v>39</v>
      </c>
      <c r="G3515" s="5" t="s">
        <v>15</v>
      </c>
      <c r="H3515" s="5" t="s">
        <v>24</v>
      </c>
      <c r="I3515" s="6" t="s">
        <v>63</v>
      </c>
      <c r="J3515" s="7" t="s">
        <v>18</v>
      </c>
      <c r="K3515" s="7" t="s">
        <v>19</v>
      </c>
      <c r="L3515" s="8">
        <v>1.773188670161E12</v>
      </c>
      <c r="M3515" s="9"/>
      <c r="N3515" s="10"/>
      <c r="O3515" s="10"/>
      <c r="P3515" s="10"/>
      <c r="Q3515" s="10"/>
      <c r="R3515" s="10"/>
      <c r="S3515" s="10"/>
      <c r="T3515" s="10"/>
      <c r="U3515" s="10"/>
      <c r="V3515" s="10"/>
    </row>
    <row r="3516" ht="22.5" customHeight="1">
      <c r="A3516" s="5">
        <v>2.08453120401E11</v>
      </c>
      <c r="B3516" s="5" t="s">
        <v>3308</v>
      </c>
      <c r="C3516" s="5">
        <v>5531973287558</v>
      </c>
      <c r="D3516" s="5" t="s">
        <v>13</v>
      </c>
      <c r="E3516" s="5">
        <v>7.9360573E7</v>
      </c>
      <c r="F3516" s="5"/>
      <c r="G3516" s="5" t="s">
        <v>15</v>
      </c>
      <c r="H3516" s="5" t="s">
        <v>128</v>
      </c>
      <c r="I3516" s="6" t="s">
        <v>17</v>
      </c>
      <c r="J3516" s="7" t="s">
        <v>34</v>
      </c>
      <c r="K3516" s="7"/>
      <c r="L3516" s="8">
        <v>1.773189262812E12</v>
      </c>
      <c r="M3516" s="9"/>
      <c r="N3516" s="10"/>
      <c r="O3516" s="10"/>
      <c r="P3516" s="10"/>
      <c r="Q3516" s="10"/>
      <c r="R3516" s="10"/>
      <c r="S3516" s="10"/>
      <c r="T3516" s="10"/>
      <c r="U3516" s="10"/>
      <c r="V3516" s="10"/>
    </row>
    <row r="3517" ht="22.5" customHeight="1">
      <c r="A3517" s="5">
        <v>1.35009800059E11</v>
      </c>
      <c r="B3517" s="5" t="s">
        <v>3099</v>
      </c>
      <c r="C3517" s="5">
        <v>51906285888</v>
      </c>
      <c r="D3517" s="5" t="s">
        <v>38</v>
      </c>
      <c r="E3517" s="5"/>
      <c r="F3517" s="5"/>
      <c r="G3517" s="5"/>
      <c r="H3517" s="5"/>
      <c r="I3517" s="6"/>
      <c r="J3517" s="7" t="s">
        <v>34</v>
      </c>
      <c r="K3517" s="7"/>
      <c r="L3517" s="8">
        <v>1.773190207111E12</v>
      </c>
      <c r="M3517" s="9"/>
      <c r="N3517" s="10"/>
      <c r="O3517" s="10"/>
      <c r="P3517" s="10"/>
      <c r="Q3517" s="10"/>
      <c r="R3517" s="10"/>
      <c r="S3517" s="10"/>
      <c r="T3517" s="10"/>
      <c r="U3517" s="10"/>
      <c r="V3517" s="10"/>
    </row>
    <row r="3518" ht="22.5" customHeight="1">
      <c r="A3518" s="5">
        <v>2.08453515956E11</v>
      </c>
      <c r="B3518" s="5" t="s">
        <v>3309</v>
      </c>
      <c r="C3518" s="5">
        <v>51997229400</v>
      </c>
      <c r="D3518" s="5" t="s">
        <v>13</v>
      </c>
      <c r="E3518" s="5">
        <v>8.0566583E7</v>
      </c>
      <c r="F3518" s="5" t="s">
        <v>714</v>
      </c>
      <c r="G3518" s="5" t="s">
        <v>15</v>
      </c>
      <c r="H3518" s="5" t="s">
        <v>24</v>
      </c>
      <c r="I3518" s="6" t="s">
        <v>17</v>
      </c>
      <c r="J3518" s="7" t="s">
        <v>18</v>
      </c>
      <c r="K3518" s="7" t="s">
        <v>19</v>
      </c>
      <c r="L3518" s="8">
        <v>1.77319062438E12</v>
      </c>
      <c r="M3518" s="9"/>
      <c r="N3518" s="10"/>
      <c r="O3518" s="10"/>
      <c r="P3518" s="10"/>
      <c r="Q3518" s="10"/>
      <c r="R3518" s="10"/>
      <c r="S3518" s="10"/>
      <c r="T3518" s="10"/>
      <c r="U3518" s="10"/>
      <c r="V3518" s="10"/>
    </row>
    <row r="3519" ht="22.5" customHeight="1">
      <c r="A3519" s="5">
        <v>1.84722026352E11</v>
      </c>
      <c r="B3519" s="5" t="s">
        <v>3310</v>
      </c>
      <c r="C3519" s="5">
        <v>51912426863</v>
      </c>
      <c r="D3519" s="5" t="s">
        <v>13</v>
      </c>
      <c r="E3519" s="5">
        <v>8.0566583E7</v>
      </c>
      <c r="F3519" s="5" t="s">
        <v>65</v>
      </c>
      <c r="G3519" s="5" t="s">
        <v>32</v>
      </c>
      <c r="H3519" s="5" t="s">
        <v>80</v>
      </c>
      <c r="I3519" s="6" t="s">
        <v>17</v>
      </c>
      <c r="J3519" s="7" t="s">
        <v>34</v>
      </c>
      <c r="K3519" s="7"/>
      <c r="L3519" s="8">
        <v>1.773192828842E12</v>
      </c>
      <c r="M3519" s="9"/>
      <c r="N3519" s="10"/>
      <c r="O3519" s="10"/>
      <c r="P3519" s="10"/>
      <c r="Q3519" s="10"/>
      <c r="R3519" s="10"/>
      <c r="S3519" s="10"/>
      <c r="T3519" s="10"/>
      <c r="U3519" s="10"/>
      <c r="V3519" s="10"/>
    </row>
    <row r="3520" ht="22.5" customHeight="1">
      <c r="A3520" s="5">
        <v>2.08434999214E11</v>
      </c>
      <c r="B3520" s="5" t="s">
        <v>3311</v>
      </c>
      <c r="C3520" s="5">
        <v>51996807495</v>
      </c>
      <c r="D3520" s="5" t="s">
        <v>13</v>
      </c>
      <c r="E3520" s="5">
        <v>8.0566583E7</v>
      </c>
      <c r="F3520" s="5" t="s">
        <v>39</v>
      </c>
      <c r="G3520" s="5" t="s">
        <v>15</v>
      </c>
      <c r="H3520" s="5" t="s">
        <v>24</v>
      </c>
      <c r="I3520" s="6" t="s">
        <v>17</v>
      </c>
      <c r="J3520" s="7" t="s">
        <v>18</v>
      </c>
      <c r="K3520" s="7" t="s">
        <v>19</v>
      </c>
      <c r="L3520" s="8">
        <v>1.773193284706E12</v>
      </c>
      <c r="M3520" s="9"/>
      <c r="N3520" s="10"/>
      <c r="O3520" s="10"/>
      <c r="P3520" s="10"/>
      <c r="Q3520" s="10"/>
      <c r="R3520" s="10"/>
      <c r="S3520" s="10"/>
      <c r="T3520" s="10"/>
      <c r="U3520" s="10"/>
      <c r="V3520" s="10"/>
    </row>
    <row r="3521" ht="22.5" customHeight="1">
      <c r="A3521" s="5">
        <v>2.08436576786E11</v>
      </c>
      <c r="B3521" s="5" t="s">
        <v>3312</v>
      </c>
      <c r="C3521" s="5">
        <v>5511942443608</v>
      </c>
      <c r="D3521" s="5" t="s">
        <v>103</v>
      </c>
      <c r="E3521" s="5">
        <v>7.9360573E7</v>
      </c>
      <c r="F3521" s="5" t="s">
        <v>28</v>
      </c>
      <c r="G3521" s="5" t="s">
        <v>79</v>
      </c>
      <c r="H3521" s="5" t="s">
        <v>24</v>
      </c>
      <c r="I3521" s="6" t="s">
        <v>36</v>
      </c>
      <c r="J3521" s="7" t="s">
        <v>18</v>
      </c>
      <c r="K3521" s="7" t="s">
        <v>45</v>
      </c>
      <c r="L3521" s="8">
        <v>1.773194808972E12</v>
      </c>
      <c r="M3521" s="9"/>
      <c r="N3521" s="10"/>
      <c r="O3521" s="10"/>
      <c r="P3521" s="10"/>
      <c r="Q3521" s="10"/>
      <c r="R3521" s="10"/>
      <c r="S3521" s="10"/>
      <c r="T3521" s="10"/>
      <c r="U3521" s="10"/>
      <c r="V3521" s="10"/>
    </row>
    <row r="3522" ht="22.5" customHeight="1">
      <c r="A3522" s="5">
        <v>2.08434889255E11</v>
      </c>
      <c r="B3522" s="5" t="s">
        <v>3313</v>
      </c>
      <c r="C3522" s="5">
        <v>573023500627</v>
      </c>
      <c r="D3522" s="5" t="s">
        <v>13</v>
      </c>
      <c r="E3522" s="5">
        <v>8.0566583E7</v>
      </c>
      <c r="F3522" s="5" t="s">
        <v>93</v>
      </c>
      <c r="G3522" s="5" t="s">
        <v>15</v>
      </c>
      <c r="H3522" s="5" t="s">
        <v>33</v>
      </c>
      <c r="I3522" s="6" t="s">
        <v>49</v>
      </c>
      <c r="J3522" s="7" t="s">
        <v>34</v>
      </c>
      <c r="K3522" s="7"/>
      <c r="L3522" s="8">
        <v>1.773195494805E12</v>
      </c>
      <c r="M3522" s="9"/>
      <c r="N3522" s="10"/>
      <c r="O3522" s="10"/>
      <c r="P3522" s="10"/>
      <c r="Q3522" s="10"/>
      <c r="R3522" s="10"/>
      <c r="S3522" s="10"/>
      <c r="T3522" s="10"/>
      <c r="U3522" s="10"/>
      <c r="V3522" s="10"/>
    </row>
    <row r="3523" ht="22.5" customHeight="1">
      <c r="A3523" s="5">
        <v>2.08454059646E11</v>
      </c>
      <c r="B3523" s="5" t="s">
        <v>3314</v>
      </c>
      <c r="C3523" s="5">
        <v>5519992955822</v>
      </c>
      <c r="D3523" s="5" t="s">
        <v>13</v>
      </c>
      <c r="E3523" s="5">
        <v>7.9360573E7</v>
      </c>
      <c r="F3523" s="5" t="s">
        <v>510</v>
      </c>
      <c r="G3523" s="5" t="s">
        <v>15</v>
      </c>
      <c r="H3523" s="5" t="s">
        <v>66</v>
      </c>
      <c r="I3523" s="6" t="s">
        <v>17</v>
      </c>
      <c r="J3523" s="7" t="s">
        <v>124</v>
      </c>
      <c r="K3523" s="7" t="s">
        <v>1256</v>
      </c>
      <c r="L3523" s="8">
        <v>1.773196222589E12</v>
      </c>
      <c r="M3523" s="9"/>
      <c r="N3523" s="10"/>
      <c r="O3523" s="10"/>
      <c r="P3523" s="10"/>
      <c r="Q3523" s="10"/>
      <c r="R3523" s="10"/>
      <c r="S3523" s="10"/>
      <c r="T3523" s="10"/>
      <c r="U3523" s="10"/>
      <c r="V3523" s="10"/>
    </row>
    <row r="3524" ht="22.5" customHeight="1">
      <c r="A3524" s="5">
        <v>2.08457991501E11</v>
      </c>
      <c r="B3524" s="5" t="s">
        <v>3315</v>
      </c>
      <c r="C3524" s="5">
        <v>51903474301</v>
      </c>
      <c r="D3524" s="5" t="s">
        <v>38</v>
      </c>
      <c r="E3524" s="5">
        <v>8.7547393E7</v>
      </c>
      <c r="F3524" s="5"/>
      <c r="G3524" s="5"/>
      <c r="H3524" s="5"/>
      <c r="I3524" s="6"/>
      <c r="J3524" s="7" t="s">
        <v>18</v>
      </c>
      <c r="K3524" s="7" t="s">
        <v>19</v>
      </c>
      <c r="L3524" s="8">
        <v>1.773196330966E12</v>
      </c>
      <c r="M3524" s="9"/>
      <c r="N3524" s="10"/>
      <c r="O3524" s="10"/>
      <c r="P3524" s="10"/>
      <c r="Q3524" s="10"/>
      <c r="R3524" s="10"/>
      <c r="S3524" s="10"/>
      <c r="T3524" s="10"/>
      <c r="U3524" s="10"/>
      <c r="V3524" s="10"/>
    </row>
    <row r="3525" ht="22.5" customHeight="1">
      <c r="A3525" s="5">
        <v>2.08457820582E11</v>
      </c>
      <c r="B3525" s="5" t="s">
        <v>3316</v>
      </c>
      <c r="C3525" s="5">
        <v>51974238644</v>
      </c>
      <c r="D3525" s="5" t="s">
        <v>13</v>
      </c>
      <c r="E3525" s="5">
        <v>8.7547393E7</v>
      </c>
      <c r="F3525" s="5" t="s">
        <v>93</v>
      </c>
      <c r="G3525" s="5"/>
      <c r="H3525" s="5"/>
      <c r="I3525" s="6"/>
      <c r="J3525" s="7" t="s">
        <v>18</v>
      </c>
      <c r="K3525" s="7" t="s">
        <v>19</v>
      </c>
      <c r="L3525" s="8">
        <v>1.773196881504E12</v>
      </c>
      <c r="M3525" s="9"/>
      <c r="N3525" s="10"/>
      <c r="O3525" s="10"/>
      <c r="P3525" s="10"/>
      <c r="Q3525" s="10"/>
      <c r="R3525" s="10"/>
      <c r="S3525" s="10"/>
      <c r="T3525" s="10"/>
      <c r="U3525" s="10"/>
      <c r="V3525" s="10"/>
    </row>
    <row r="3526" ht="22.5" customHeight="1">
      <c r="A3526" s="5">
        <v>2.08452197667E11</v>
      </c>
      <c r="B3526" s="5" t="s">
        <v>3317</v>
      </c>
      <c r="C3526" s="5">
        <v>51925704922</v>
      </c>
      <c r="D3526" s="5" t="s">
        <v>13</v>
      </c>
      <c r="E3526" s="5">
        <v>8.0566583E7</v>
      </c>
      <c r="F3526" s="5" t="s">
        <v>14</v>
      </c>
      <c r="G3526" s="5" t="s">
        <v>32</v>
      </c>
      <c r="H3526" s="5" t="s">
        <v>16</v>
      </c>
      <c r="I3526" s="6" t="s">
        <v>63</v>
      </c>
      <c r="J3526" s="7" t="s">
        <v>18</v>
      </c>
      <c r="K3526" s="7" t="s">
        <v>19</v>
      </c>
      <c r="L3526" s="8">
        <v>1.77319698696E12</v>
      </c>
      <c r="M3526" s="9"/>
      <c r="N3526" s="10"/>
      <c r="O3526" s="10"/>
      <c r="P3526" s="10"/>
      <c r="Q3526" s="10"/>
      <c r="R3526" s="10"/>
      <c r="S3526" s="10"/>
      <c r="T3526" s="10"/>
      <c r="U3526" s="10"/>
      <c r="V3526" s="10"/>
    </row>
    <row r="3527" ht="22.5" customHeight="1">
      <c r="A3527" s="5">
        <v>2.08459282337E11</v>
      </c>
      <c r="B3527" s="5" t="s">
        <v>3318</v>
      </c>
      <c r="C3527" s="5">
        <v>5518991934279</v>
      </c>
      <c r="D3527" s="5" t="s">
        <v>13</v>
      </c>
      <c r="E3527" s="5">
        <v>7.9360573E7</v>
      </c>
      <c r="F3527" s="5" t="s">
        <v>28</v>
      </c>
      <c r="G3527" s="5" t="s">
        <v>32</v>
      </c>
      <c r="H3527" s="5" t="s">
        <v>16</v>
      </c>
      <c r="I3527" s="6" t="s">
        <v>17</v>
      </c>
      <c r="J3527" s="7" t="s">
        <v>34</v>
      </c>
      <c r="K3527" s="7"/>
      <c r="L3527" s="8">
        <v>1.773197108878E12</v>
      </c>
      <c r="M3527" s="9"/>
      <c r="N3527" s="10"/>
      <c r="O3527" s="10"/>
      <c r="P3527" s="10"/>
      <c r="Q3527" s="10"/>
      <c r="R3527" s="10"/>
      <c r="S3527" s="10"/>
      <c r="T3527" s="10"/>
      <c r="U3527" s="10"/>
      <c r="V3527" s="10"/>
    </row>
    <row r="3528" ht="22.5" customHeight="1">
      <c r="A3528" s="5">
        <v>2.0845993223E11</v>
      </c>
      <c r="B3528" s="5" t="s">
        <v>3319</v>
      </c>
      <c r="C3528" s="5">
        <v>51946266543</v>
      </c>
      <c r="D3528" s="5" t="s">
        <v>13</v>
      </c>
      <c r="E3528" s="5">
        <v>8.7547393E7</v>
      </c>
      <c r="F3528" s="5" t="s">
        <v>39</v>
      </c>
      <c r="G3528" s="5" t="s">
        <v>15</v>
      </c>
      <c r="H3528" s="5" t="s">
        <v>51</v>
      </c>
      <c r="I3528" s="6" t="s">
        <v>36</v>
      </c>
      <c r="J3528" s="7" t="s">
        <v>18</v>
      </c>
      <c r="K3528" s="7" t="s">
        <v>19</v>
      </c>
      <c r="L3528" s="8">
        <v>1.77319810631E12</v>
      </c>
      <c r="M3528" s="9"/>
      <c r="N3528" s="10"/>
      <c r="O3528" s="10"/>
      <c r="P3528" s="10"/>
      <c r="Q3528" s="10"/>
      <c r="R3528" s="10"/>
      <c r="S3528" s="10"/>
      <c r="T3528" s="10"/>
      <c r="U3528" s="10"/>
      <c r="V3528" s="10"/>
    </row>
    <row r="3529" ht="22.5" customHeight="1">
      <c r="A3529" s="5">
        <v>2.08460356132E11</v>
      </c>
      <c r="B3529" s="5" t="s">
        <v>3320</v>
      </c>
      <c r="C3529" s="5">
        <v>5511950709398</v>
      </c>
      <c r="D3529" s="5" t="s">
        <v>13</v>
      </c>
      <c r="E3529" s="5">
        <v>7.9360573E7</v>
      </c>
      <c r="F3529" s="5" t="s">
        <v>65</v>
      </c>
      <c r="G3529" s="5" t="s">
        <v>15</v>
      </c>
      <c r="H3529" s="5"/>
      <c r="I3529" s="6" t="s">
        <v>17</v>
      </c>
      <c r="J3529" s="7" t="s">
        <v>34</v>
      </c>
      <c r="K3529" s="7"/>
      <c r="L3529" s="8">
        <v>1.773201037692E12</v>
      </c>
      <c r="M3529" s="9"/>
      <c r="N3529" s="10"/>
      <c r="O3529" s="10"/>
      <c r="P3529" s="10"/>
      <c r="Q3529" s="10"/>
      <c r="R3529" s="10"/>
      <c r="S3529" s="10"/>
      <c r="T3529" s="10"/>
      <c r="U3529" s="10"/>
      <c r="V3529" s="10"/>
    </row>
    <row r="3530" ht="22.5" customHeight="1">
      <c r="A3530" s="5">
        <v>2.08462108929E11</v>
      </c>
      <c r="B3530" s="5" t="s">
        <v>3321</v>
      </c>
      <c r="C3530" s="5">
        <v>51970507846</v>
      </c>
      <c r="D3530" s="5" t="s">
        <v>13</v>
      </c>
      <c r="E3530" s="5">
        <v>8.0566583E7</v>
      </c>
      <c r="F3530" s="5" t="s">
        <v>259</v>
      </c>
      <c r="G3530" s="5" t="s">
        <v>15</v>
      </c>
      <c r="H3530" s="5" t="s">
        <v>51</v>
      </c>
      <c r="I3530" s="6" t="s">
        <v>17</v>
      </c>
      <c r="J3530" s="7" t="s">
        <v>34</v>
      </c>
      <c r="K3530" s="7"/>
      <c r="L3530" s="8">
        <v>1.77320130143E12</v>
      </c>
      <c r="M3530" s="9"/>
      <c r="N3530" s="10"/>
      <c r="O3530" s="10"/>
      <c r="P3530" s="10"/>
      <c r="Q3530" s="10"/>
      <c r="R3530" s="10"/>
      <c r="S3530" s="10"/>
      <c r="T3530" s="10"/>
      <c r="U3530" s="10"/>
      <c r="V3530" s="10"/>
    </row>
    <row r="3531" ht="22.5" customHeight="1">
      <c r="A3531" s="5">
        <v>2.08461731647E11</v>
      </c>
      <c r="B3531" s="5" t="s">
        <v>3322</v>
      </c>
      <c r="C3531" s="5">
        <v>51981876080</v>
      </c>
      <c r="D3531" s="5" t="s">
        <v>13</v>
      </c>
      <c r="E3531" s="5">
        <v>8.7547393E7</v>
      </c>
      <c r="F3531" s="5" t="s">
        <v>39</v>
      </c>
      <c r="G3531" s="5" t="s">
        <v>15</v>
      </c>
      <c r="H3531" s="5" t="s">
        <v>24</v>
      </c>
      <c r="I3531" s="6" t="s">
        <v>17</v>
      </c>
      <c r="J3531" s="7" t="s">
        <v>18</v>
      </c>
      <c r="K3531" s="7" t="s">
        <v>19</v>
      </c>
      <c r="L3531" s="8">
        <v>1.773201703851E12</v>
      </c>
      <c r="M3531" s="9"/>
      <c r="N3531" s="10"/>
      <c r="O3531" s="10"/>
      <c r="P3531" s="10"/>
      <c r="Q3531" s="10"/>
      <c r="R3531" s="10"/>
      <c r="S3531" s="10"/>
      <c r="T3531" s="10"/>
      <c r="U3531" s="10"/>
      <c r="V3531" s="10"/>
    </row>
    <row r="3532" ht="22.5" customHeight="1">
      <c r="A3532" s="5">
        <v>2.08462123396E11</v>
      </c>
      <c r="B3532" s="5" t="s">
        <v>3323</v>
      </c>
      <c r="C3532" s="5">
        <v>5524988319080</v>
      </c>
      <c r="D3532" s="5" t="s">
        <v>13</v>
      </c>
      <c r="E3532" s="5">
        <v>7.9360573E7</v>
      </c>
      <c r="F3532" s="5" t="s">
        <v>259</v>
      </c>
      <c r="G3532" s="5" t="s">
        <v>32</v>
      </c>
      <c r="H3532" s="5" t="s">
        <v>16</v>
      </c>
      <c r="I3532" s="6" t="s">
        <v>17</v>
      </c>
      <c r="J3532" s="7" t="s">
        <v>34</v>
      </c>
      <c r="K3532" s="7"/>
      <c r="L3532" s="8">
        <v>1.773201745327E12</v>
      </c>
      <c r="M3532" s="9"/>
      <c r="N3532" s="10"/>
      <c r="O3532" s="10"/>
      <c r="P3532" s="10"/>
      <c r="Q3532" s="10"/>
      <c r="R3532" s="10"/>
      <c r="S3532" s="10"/>
      <c r="T3532" s="10"/>
      <c r="U3532" s="10"/>
      <c r="V3532" s="10"/>
    </row>
    <row r="3533" ht="22.5" customHeight="1">
      <c r="A3533" s="5">
        <v>2.08460373123E11</v>
      </c>
      <c r="B3533" s="5" t="s">
        <v>3324</v>
      </c>
      <c r="C3533" s="5">
        <v>51997604028</v>
      </c>
      <c r="D3533" s="5" t="s">
        <v>13</v>
      </c>
      <c r="E3533" s="5">
        <v>8.7547393E7</v>
      </c>
      <c r="F3533" s="5" t="s">
        <v>28</v>
      </c>
      <c r="G3533" s="5" t="s">
        <v>15</v>
      </c>
      <c r="H3533" s="5" t="s">
        <v>66</v>
      </c>
      <c r="I3533" s="6" t="s">
        <v>17</v>
      </c>
      <c r="J3533" s="7" t="s">
        <v>18</v>
      </c>
      <c r="K3533" s="7" t="s">
        <v>19</v>
      </c>
      <c r="L3533" s="8">
        <v>1.773202296655E12</v>
      </c>
      <c r="M3533" s="9"/>
      <c r="N3533" s="10"/>
      <c r="O3533" s="10"/>
      <c r="P3533" s="10"/>
      <c r="Q3533" s="10"/>
      <c r="R3533" s="10"/>
      <c r="S3533" s="10"/>
      <c r="T3533" s="10"/>
      <c r="U3533" s="10"/>
      <c r="V3533" s="10"/>
    </row>
    <row r="3534" ht="22.5" customHeight="1">
      <c r="A3534" s="5">
        <v>2.08457257267E11</v>
      </c>
      <c r="B3534" s="5" t="s">
        <v>3325</v>
      </c>
      <c r="C3534" s="5">
        <v>51929200888</v>
      </c>
      <c r="D3534" s="5" t="s">
        <v>22</v>
      </c>
      <c r="E3534" s="5">
        <v>8.7547393E7</v>
      </c>
      <c r="F3534" s="5" t="s">
        <v>28</v>
      </c>
      <c r="G3534" s="5" t="s">
        <v>44</v>
      </c>
      <c r="H3534" s="5" t="s">
        <v>114</v>
      </c>
      <c r="I3534" s="6" t="s">
        <v>17</v>
      </c>
      <c r="J3534" s="7" t="s">
        <v>18</v>
      </c>
      <c r="K3534" s="7" t="s">
        <v>19</v>
      </c>
      <c r="L3534" s="8">
        <v>1.773202690616E12</v>
      </c>
      <c r="M3534" s="9"/>
      <c r="N3534" s="10"/>
      <c r="O3534" s="10"/>
      <c r="P3534" s="10"/>
      <c r="Q3534" s="10"/>
      <c r="R3534" s="10"/>
      <c r="S3534" s="10"/>
      <c r="T3534" s="10"/>
      <c r="U3534" s="10"/>
      <c r="V3534" s="10"/>
    </row>
    <row r="3535" ht="22.5" customHeight="1">
      <c r="A3535" s="5">
        <v>2.08466004255E11</v>
      </c>
      <c r="B3535" s="5" t="s">
        <v>3326</v>
      </c>
      <c r="C3535" s="5">
        <v>51914329431</v>
      </c>
      <c r="D3535" s="5" t="s">
        <v>38</v>
      </c>
      <c r="E3535" s="5">
        <v>8.7547393E7</v>
      </c>
      <c r="F3535" s="5"/>
      <c r="G3535" s="5" t="s">
        <v>15</v>
      </c>
      <c r="H3535" s="5" t="s">
        <v>66</v>
      </c>
      <c r="I3535" s="6" t="s">
        <v>17</v>
      </c>
      <c r="J3535" s="7" t="s">
        <v>124</v>
      </c>
      <c r="K3535" s="7" t="s">
        <v>2058</v>
      </c>
      <c r="L3535" s="8">
        <v>1.77320491956E12</v>
      </c>
      <c r="M3535" s="9"/>
      <c r="N3535" s="10"/>
      <c r="O3535" s="10"/>
      <c r="P3535" s="10"/>
      <c r="Q3535" s="10"/>
      <c r="R3535" s="10"/>
      <c r="S3535" s="10"/>
      <c r="T3535" s="10"/>
      <c r="U3535" s="10"/>
      <c r="V3535" s="10"/>
    </row>
    <row r="3536" ht="22.5" customHeight="1">
      <c r="A3536" s="5">
        <v>2.08483907766E11</v>
      </c>
      <c r="B3536" s="5" t="s">
        <v>3327</v>
      </c>
      <c r="C3536" s="5">
        <v>51935270683</v>
      </c>
      <c r="D3536" s="5" t="s">
        <v>13</v>
      </c>
      <c r="E3536" s="5">
        <v>8.0566583E7</v>
      </c>
      <c r="F3536" s="5" t="s">
        <v>259</v>
      </c>
      <c r="G3536" s="5" t="s">
        <v>15</v>
      </c>
      <c r="H3536" s="5" t="s">
        <v>51</v>
      </c>
      <c r="I3536" s="6" t="s">
        <v>17</v>
      </c>
      <c r="J3536" s="7" t="s">
        <v>18</v>
      </c>
      <c r="K3536" s="7" t="s">
        <v>19</v>
      </c>
      <c r="L3536" s="8">
        <v>1.77320518135E12</v>
      </c>
      <c r="M3536" s="9"/>
      <c r="N3536" s="10"/>
      <c r="O3536" s="10"/>
      <c r="P3536" s="10"/>
      <c r="Q3536" s="10"/>
      <c r="R3536" s="10"/>
      <c r="S3536" s="10"/>
      <c r="T3536" s="10"/>
      <c r="U3536" s="10"/>
      <c r="V3536" s="10"/>
    </row>
    <row r="3537" ht="22.5" customHeight="1">
      <c r="A3537" s="5">
        <v>1.85653458309E11</v>
      </c>
      <c r="B3537" s="5" t="s">
        <v>3328</v>
      </c>
      <c r="C3537" s="5">
        <v>51976201507</v>
      </c>
      <c r="D3537" s="5" t="s">
        <v>13</v>
      </c>
      <c r="E3537" s="5">
        <v>8.7547393E7</v>
      </c>
      <c r="F3537" s="5" t="s">
        <v>39</v>
      </c>
      <c r="G3537" s="5" t="s">
        <v>15</v>
      </c>
      <c r="H3537" s="5" t="s">
        <v>497</v>
      </c>
      <c r="I3537" s="6" t="s">
        <v>17</v>
      </c>
      <c r="J3537" s="7" t="s">
        <v>18</v>
      </c>
      <c r="K3537" s="7" t="s">
        <v>19</v>
      </c>
      <c r="L3537" s="8">
        <v>1.773205026643E12</v>
      </c>
      <c r="M3537" s="9"/>
      <c r="N3537" s="10"/>
      <c r="O3537" s="10"/>
      <c r="P3537" s="10"/>
      <c r="Q3537" s="10"/>
      <c r="R3537" s="10"/>
      <c r="S3537" s="10"/>
      <c r="T3537" s="10"/>
      <c r="U3537" s="10"/>
      <c r="V3537" s="10"/>
    </row>
    <row r="3538" ht="22.5" customHeight="1">
      <c r="A3538" s="5">
        <v>2.08465820586E11</v>
      </c>
      <c r="B3538" s="5" t="s">
        <v>3329</v>
      </c>
      <c r="C3538" s="5">
        <v>51934883499</v>
      </c>
      <c r="D3538" s="5" t="s">
        <v>13</v>
      </c>
      <c r="E3538" s="5">
        <v>8.7547393E7</v>
      </c>
      <c r="F3538" s="5" t="s">
        <v>39</v>
      </c>
      <c r="G3538" s="5" t="s">
        <v>15</v>
      </c>
      <c r="H3538" s="5" t="s">
        <v>51</v>
      </c>
      <c r="I3538" s="6" t="s">
        <v>17</v>
      </c>
      <c r="J3538" s="7" t="s">
        <v>18</v>
      </c>
      <c r="K3538" s="7" t="s">
        <v>19</v>
      </c>
      <c r="L3538" s="8">
        <v>1.773206181859E12</v>
      </c>
      <c r="M3538" s="9"/>
      <c r="N3538" s="10"/>
      <c r="O3538" s="10"/>
      <c r="P3538" s="10"/>
      <c r="Q3538" s="10"/>
      <c r="R3538" s="10"/>
      <c r="S3538" s="10"/>
      <c r="T3538" s="10"/>
      <c r="U3538" s="10"/>
      <c r="V3538" s="10"/>
    </row>
    <row r="3539" ht="22.5" customHeight="1">
      <c r="A3539" s="5">
        <v>2.08486158103E11</v>
      </c>
      <c r="B3539" s="5" t="s">
        <v>3330</v>
      </c>
      <c r="C3539" s="5">
        <v>51940645672</v>
      </c>
      <c r="D3539" s="5" t="s">
        <v>38</v>
      </c>
      <c r="E3539" s="5">
        <v>8.0566583E7</v>
      </c>
      <c r="F3539" s="5"/>
      <c r="G3539" s="5"/>
      <c r="H3539" s="5"/>
      <c r="I3539" s="6"/>
      <c r="J3539" s="7" t="s">
        <v>18</v>
      </c>
      <c r="K3539" s="7" t="s">
        <v>19</v>
      </c>
      <c r="L3539" s="8">
        <v>1.773209030776E12</v>
      </c>
      <c r="M3539" s="9"/>
      <c r="N3539" s="10"/>
      <c r="O3539" s="10"/>
      <c r="P3539" s="10"/>
      <c r="Q3539" s="10"/>
      <c r="R3539" s="10"/>
      <c r="S3539" s="10"/>
      <c r="T3539" s="10"/>
      <c r="U3539" s="10"/>
      <c r="V3539" s="10"/>
    </row>
    <row r="3540" ht="22.5" customHeight="1">
      <c r="A3540" s="5">
        <v>2.08469552262E11</v>
      </c>
      <c r="B3540" s="5" t="s">
        <v>3331</v>
      </c>
      <c r="C3540" s="5">
        <v>51935625670</v>
      </c>
      <c r="D3540" s="5" t="s">
        <v>38</v>
      </c>
      <c r="E3540" s="5">
        <v>8.0566583E7</v>
      </c>
      <c r="F3540" s="5"/>
      <c r="G3540" s="5"/>
      <c r="H3540" s="5"/>
      <c r="I3540" s="6"/>
      <c r="J3540" s="7" t="s">
        <v>18</v>
      </c>
      <c r="K3540" s="7" t="s">
        <v>2930</v>
      </c>
      <c r="L3540" s="8">
        <v>1.773209214537E12</v>
      </c>
      <c r="M3540" s="9"/>
      <c r="N3540" s="10"/>
      <c r="O3540" s="10"/>
      <c r="P3540" s="10"/>
      <c r="Q3540" s="10"/>
      <c r="R3540" s="10"/>
      <c r="S3540" s="10"/>
      <c r="T3540" s="10"/>
      <c r="U3540" s="10"/>
      <c r="V3540" s="10"/>
    </row>
    <row r="3541" ht="22.5" customHeight="1">
      <c r="A3541" s="5">
        <v>2.08483130123E11</v>
      </c>
      <c r="B3541" s="5" t="s">
        <v>3332</v>
      </c>
      <c r="C3541" s="5">
        <v>51901124505</v>
      </c>
      <c r="D3541" s="5" t="s">
        <v>13</v>
      </c>
      <c r="E3541" s="5">
        <v>8.0566583E7</v>
      </c>
      <c r="F3541" s="5" t="s">
        <v>28</v>
      </c>
      <c r="G3541" s="5" t="s">
        <v>15</v>
      </c>
      <c r="H3541" s="5" t="s">
        <v>51</v>
      </c>
      <c r="I3541" s="6" t="s">
        <v>17</v>
      </c>
      <c r="J3541" s="7" t="s">
        <v>18</v>
      </c>
      <c r="K3541" s="7" t="s">
        <v>19</v>
      </c>
      <c r="L3541" s="8">
        <v>1.773209959512E12</v>
      </c>
      <c r="M3541" s="9"/>
      <c r="N3541" s="10"/>
      <c r="O3541" s="10"/>
      <c r="P3541" s="10"/>
      <c r="Q3541" s="10"/>
      <c r="R3541" s="10"/>
      <c r="S3541" s="10"/>
      <c r="T3541" s="10"/>
      <c r="U3541" s="10"/>
      <c r="V3541" s="10"/>
    </row>
    <row r="3542" ht="22.5" customHeight="1">
      <c r="A3542" s="5">
        <v>2.08468645665E11</v>
      </c>
      <c r="B3542" s="5" t="s">
        <v>3333</v>
      </c>
      <c r="C3542" s="5">
        <v>51961759404</v>
      </c>
      <c r="D3542" s="5" t="s">
        <v>13</v>
      </c>
      <c r="E3542" s="5">
        <v>8.0566583E7</v>
      </c>
      <c r="F3542" s="5" t="s">
        <v>93</v>
      </c>
      <c r="G3542" s="5" t="s">
        <v>15</v>
      </c>
      <c r="H3542" s="5" t="s">
        <v>66</v>
      </c>
      <c r="I3542" s="6" t="s">
        <v>17</v>
      </c>
      <c r="J3542" s="7" t="s">
        <v>18</v>
      </c>
      <c r="K3542" s="7" t="s">
        <v>19</v>
      </c>
      <c r="L3542" s="8">
        <v>1.773210648837E12</v>
      </c>
      <c r="M3542" s="9"/>
      <c r="N3542" s="10"/>
      <c r="O3542" s="10"/>
      <c r="P3542" s="10"/>
      <c r="Q3542" s="10"/>
      <c r="R3542" s="10"/>
      <c r="S3542" s="10"/>
      <c r="T3542" s="10"/>
      <c r="U3542" s="10"/>
      <c r="V3542" s="10"/>
    </row>
    <row r="3543" ht="22.5" customHeight="1">
      <c r="A3543" s="5">
        <v>2.08472548506E11</v>
      </c>
      <c r="B3543" s="5" t="s">
        <v>3334</v>
      </c>
      <c r="C3543" s="5">
        <v>51928583132</v>
      </c>
      <c r="D3543" s="5" t="s">
        <v>13</v>
      </c>
      <c r="E3543" s="5">
        <v>8.7547393E7</v>
      </c>
      <c r="F3543" s="5" t="s">
        <v>14</v>
      </c>
      <c r="G3543" s="5" t="s">
        <v>15</v>
      </c>
      <c r="H3543" s="5" t="s">
        <v>51</v>
      </c>
      <c r="I3543" s="6" t="s">
        <v>17</v>
      </c>
      <c r="J3543" s="7" t="s">
        <v>18</v>
      </c>
      <c r="K3543" s="7" t="s">
        <v>19</v>
      </c>
      <c r="L3543" s="8">
        <v>1.773212631298E12</v>
      </c>
      <c r="M3543" s="9"/>
      <c r="N3543" s="10"/>
      <c r="O3543" s="10"/>
      <c r="P3543" s="10"/>
      <c r="Q3543" s="10"/>
      <c r="R3543" s="10"/>
      <c r="S3543" s="10"/>
      <c r="T3543" s="10"/>
      <c r="U3543" s="10"/>
      <c r="V3543" s="10"/>
    </row>
    <row r="3544" ht="22.5" customHeight="1">
      <c r="A3544" s="5">
        <v>2.08490127476E11</v>
      </c>
      <c r="B3544" s="5" t="s">
        <v>3335</v>
      </c>
      <c r="C3544" s="5">
        <v>51916522754</v>
      </c>
      <c r="D3544" s="5" t="s">
        <v>13</v>
      </c>
      <c r="E3544" s="5">
        <v>8.0566583E7</v>
      </c>
      <c r="F3544" s="5" t="s">
        <v>39</v>
      </c>
      <c r="G3544" s="5" t="s">
        <v>15</v>
      </c>
      <c r="H3544" s="5" t="s">
        <v>51</v>
      </c>
      <c r="I3544" s="6" t="s">
        <v>17</v>
      </c>
      <c r="J3544" s="7" t="s">
        <v>18</v>
      </c>
      <c r="K3544" s="7" t="s">
        <v>19</v>
      </c>
      <c r="L3544" s="8">
        <v>1.773216279866E12</v>
      </c>
      <c r="M3544" s="9"/>
      <c r="N3544" s="10"/>
      <c r="O3544" s="10"/>
      <c r="P3544" s="10"/>
      <c r="Q3544" s="10"/>
      <c r="R3544" s="10"/>
      <c r="S3544" s="10"/>
      <c r="T3544" s="10"/>
      <c r="U3544" s="10"/>
      <c r="V3544" s="10"/>
    </row>
    <row r="3545" ht="22.5" customHeight="1">
      <c r="A3545" s="5">
        <v>2.08474356557E11</v>
      </c>
      <c r="B3545" s="5" t="s">
        <v>3336</v>
      </c>
      <c r="C3545" s="5">
        <v>51970439812</v>
      </c>
      <c r="D3545" s="5" t="s">
        <v>13</v>
      </c>
      <c r="E3545" s="5">
        <v>8.0566583E7</v>
      </c>
      <c r="F3545" s="5" t="s">
        <v>39</v>
      </c>
      <c r="G3545" s="5" t="s">
        <v>15</v>
      </c>
      <c r="H3545" s="5" t="s">
        <v>51</v>
      </c>
      <c r="I3545" s="6" t="s">
        <v>17</v>
      </c>
      <c r="J3545" s="7" t="s">
        <v>18</v>
      </c>
      <c r="K3545" s="7" t="s">
        <v>19</v>
      </c>
      <c r="L3545" s="8">
        <v>1.773217434885E12</v>
      </c>
      <c r="M3545" s="9"/>
      <c r="N3545" s="10"/>
      <c r="O3545" s="10"/>
      <c r="P3545" s="10"/>
      <c r="Q3545" s="10"/>
      <c r="R3545" s="10"/>
      <c r="S3545" s="10"/>
      <c r="T3545" s="10"/>
      <c r="U3545" s="10"/>
      <c r="V3545" s="10"/>
    </row>
    <row r="3546" ht="22.5" customHeight="1">
      <c r="A3546" s="5">
        <v>2.08495671374E11</v>
      </c>
      <c r="B3546" s="5" t="s">
        <v>3337</v>
      </c>
      <c r="C3546" s="5">
        <v>51994416143</v>
      </c>
      <c r="D3546" s="5" t="s">
        <v>13</v>
      </c>
      <c r="E3546" s="5">
        <v>8.7547393E7</v>
      </c>
      <c r="F3546" s="5" t="s">
        <v>39</v>
      </c>
      <c r="G3546" s="5" t="s">
        <v>15</v>
      </c>
      <c r="H3546" s="5" t="s">
        <v>51</v>
      </c>
      <c r="I3546" s="6" t="s">
        <v>148</v>
      </c>
      <c r="J3546" s="7" t="s">
        <v>403</v>
      </c>
      <c r="K3546" s="7" t="s">
        <v>3338</v>
      </c>
      <c r="L3546" s="8">
        <v>1.773222558342E12</v>
      </c>
      <c r="M3546" s="9"/>
      <c r="N3546" s="10"/>
      <c r="O3546" s="10"/>
      <c r="P3546" s="10"/>
      <c r="Q3546" s="10"/>
      <c r="R3546" s="10"/>
      <c r="S3546" s="10"/>
      <c r="T3546" s="10"/>
      <c r="U3546" s="10"/>
      <c r="V3546" s="10"/>
    </row>
    <row r="3547" ht="22.5" customHeight="1">
      <c r="A3547" s="5">
        <v>2.0851447503E11</v>
      </c>
      <c r="B3547" s="5" t="s">
        <v>3339</v>
      </c>
      <c r="C3547" s="5">
        <v>51949191490</v>
      </c>
      <c r="D3547" s="5" t="s">
        <v>103</v>
      </c>
      <c r="E3547" s="5">
        <v>8.0566583E7</v>
      </c>
      <c r="F3547" s="5" t="s">
        <v>93</v>
      </c>
      <c r="G3547" s="5" t="s">
        <v>44</v>
      </c>
      <c r="H3547" s="5" t="s">
        <v>16</v>
      </c>
      <c r="I3547" s="6" t="s">
        <v>17</v>
      </c>
      <c r="J3547" s="7" t="s">
        <v>18</v>
      </c>
      <c r="K3547" s="7" t="s">
        <v>19</v>
      </c>
      <c r="L3547" s="8">
        <v>1.7732259746E12</v>
      </c>
      <c r="M3547" s="9"/>
      <c r="N3547" s="10"/>
      <c r="O3547" s="10"/>
      <c r="P3547" s="10"/>
      <c r="Q3547" s="10"/>
      <c r="R3547" s="10"/>
      <c r="S3547" s="10"/>
      <c r="T3547" s="10"/>
      <c r="U3547" s="10"/>
      <c r="V3547" s="10"/>
    </row>
    <row r="3548" ht="22.5" customHeight="1">
      <c r="A3548" s="5">
        <v>2.08515434059E11</v>
      </c>
      <c r="B3548" s="5" t="s">
        <v>3340</v>
      </c>
      <c r="C3548" s="5">
        <v>51991981112</v>
      </c>
      <c r="D3548" s="5" t="s">
        <v>13</v>
      </c>
      <c r="E3548" s="5">
        <v>8.0566583E7</v>
      </c>
      <c r="F3548" s="5" t="s">
        <v>28</v>
      </c>
      <c r="G3548" s="5" t="s">
        <v>15</v>
      </c>
      <c r="H3548" s="5" t="s">
        <v>69</v>
      </c>
      <c r="I3548" s="6" t="s">
        <v>17</v>
      </c>
      <c r="J3548" s="7" t="s">
        <v>18</v>
      </c>
      <c r="K3548" s="7" t="s">
        <v>19</v>
      </c>
      <c r="L3548" s="8">
        <v>1.773226412784E12</v>
      </c>
      <c r="M3548" s="9"/>
      <c r="N3548" s="10"/>
      <c r="O3548" s="10"/>
      <c r="P3548" s="10"/>
      <c r="Q3548" s="10"/>
      <c r="R3548" s="10"/>
      <c r="S3548" s="10"/>
      <c r="T3548" s="10"/>
      <c r="U3548" s="10"/>
      <c r="V3548" s="10"/>
    </row>
    <row r="3549" ht="22.5" customHeight="1">
      <c r="A3549" s="5">
        <v>2.08515713834E11</v>
      </c>
      <c r="B3549" s="5" t="s">
        <v>3341</v>
      </c>
      <c r="C3549" s="5">
        <v>5551992515231</v>
      </c>
      <c r="D3549" s="5" t="s">
        <v>13</v>
      </c>
      <c r="E3549" s="5">
        <v>7.9360573E7</v>
      </c>
      <c r="F3549" s="5" t="s">
        <v>714</v>
      </c>
      <c r="G3549" s="5" t="s">
        <v>15</v>
      </c>
      <c r="H3549" s="5" t="s">
        <v>66</v>
      </c>
      <c r="I3549" s="6" t="s">
        <v>17</v>
      </c>
      <c r="J3549" s="7" t="s">
        <v>34</v>
      </c>
      <c r="K3549" s="7"/>
      <c r="L3549" s="8">
        <v>1.773226425296E12</v>
      </c>
      <c r="M3549" s="9"/>
      <c r="N3549" s="10"/>
      <c r="O3549" s="10"/>
      <c r="P3549" s="10"/>
      <c r="Q3549" s="10"/>
      <c r="R3549" s="10"/>
      <c r="S3549" s="10"/>
      <c r="T3549" s="10"/>
      <c r="U3549" s="10"/>
      <c r="V3549" s="10"/>
    </row>
    <row r="3550" ht="22.5" customHeight="1">
      <c r="A3550" s="5">
        <v>2.08536065092E11</v>
      </c>
      <c r="B3550" s="5" t="s">
        <v>3342</v>
      </c>
      <c r="C3550" s="5">
        <v>51902169239</v>
      </c>
      <c r="D3550" s="5" t="s">
        <v>13</v>
      </c>
      <c r="E3550" s="5">
        <v>8.7547393E7</v>
      </c>
      <c r="F3550" s="5" t="s">
        <v>259</v>
      </c>
      <c r="G3550" s="5" t="s">
        <v>32</v>
      </c>
      <c r="H3550" s="5" t="s">
        <v>16</v>
      </c>
      <c r="I3550" s="6" t="s">
        <v>17</v>
      </c>
      <c r="J3550" s="7" t="s">
        <v>18</v>
      </c>
      <c r="K3550" s="7" t="s">
        <v>19</v>
      </c>
      <c r="L3550" s="8">
        <v>1.773228138206E12</v>
      </c>
      <c r="M3550" s="9"/>
      <c r="N3550" s="10"/>
      <c r="O3550" s="10"/>
      <c r="P3550" s="10"/>
      <c r="Q3550" s="10"/>
      <c r="R3550" s="10"/>
      <c r="S3550" s="10"/>
      <c r="T3550" s="10"/>
      <c r="U3550" s="10"/>
      <c r="V3550" s="10"/>
    </row>
    <row r="3551" ht="22.5" customHeight="1">
      <c r="A3551" s="5">
        <v>2.08530062256E11</v>
      </c>
      <c r="B3551" s="5" t="s">
        <v>3343</v>
      </c>
      <c r="C3551" s="5">
        <v>51947822825</v>
      </c>
      <c r="D3551" s="5" t="s">
        <v>13</v>
      </c>
      <c r="E3551" s="5">
        <v>8.0566583E7</v>
      </c>
      <c r="F3551" s="5" t="s">
        <v>42</v>
      </c>
      <c r="G3551" s="5" t="s">
        <v>32</v>
      </c>
      <c r="H3551" s="5" t="s">
        <v>69</v>
      </c>
      <c r="I3551" s="6" t="s">
        <v>17</v>
      </c>
      <c r="J3551" s="7" t="s">
        <v>18</v>
      </c>
      <c r="K3551" s="7" t="s">
        <v>19</v>
      </c>
      <c r="L3551" s="8">
        <v>1.773228592033E12</v>
      </c>
      <c r="M3551" s="9"/>
      <c r="N3551" s="10"/>
      <c r="O3551" s="10"/>
      <c r="P3551" s="10"/>
      <c r="Q3551" s="10"/>
      <c r="R3551" s="10"/>
      <c r="S3551" s="10"/>
      <c r="T3551" s="10"/>
      <c r="U3551" s="10"/>
      <c r="V3551" s="10"/>
    </row>
    <row r="3552" ht="22.5" customHeight="1">
      <c r="A3552" s="5">
        <v>2.08452197667E11</v>
      </c>
      <c r="B3552" s="5" t="s">
        <v>3317</v>
      </c>
      <c r="C3552" s="5">
        <v>51925704922</v>
      </c>
      <c r="D3552" s="5" t="s">
        <v>13</v>
      </c>
      <c r="E3552" s="5">
        <v>8.0566583E7</v>
      </c>
      <c r="F3552" s="5" t="s">
        <v>14</v>
      </c>
      <c r="G3552" s="5" t="s">
        <v>32</v>
      </c>
      <c r="H3552" s="5" t="s">
        <v>16</v>
      </c>
      <c r="I3552" s="6" t="s">
        <v>63</v>
      </c>
      <c r="J3552" s="7" t="s">
        <v>18</v>
      </c>
      <c r="K3552" s="7" t="s">
        <v>19</v>
      </c>
      <c r="L3552" s="8">
        <v>1.773229239121E12</v>
      </c>
      <c r="M3552" s="9"/>
      <c r="N3552" s="10"/>
      <c r="O3552" s="10"/>
      <c r="P3552" s="10"/>
      <c r="Q3552" s="10"/>
      <c r="R3552" s="10"/>
      <c r="S3552" s="10"/>
      <c r="T3552" s="10"/>
      <c r="U3552" s="10"/>
      <c r="V3552" s="10"/>
    </row>
    <row r="3553" ht="22.5" customHeight="1">
      <c r="A3553" s="5">
        <v>2.08534460711E11</v>
      </c>
      <c r="B3553" s="5" t="s">
        <v>3344</v>
      </c>
      <c r="C3553" s="5">
        <v>51926460297</v>
      </c>
      <c r="D3553" s="5" t="s">
        <v>38</v>
      </c>
      <c r="E3553" s="5"/>
      <c r="F3553" s="5" t="s">
        <v>714</v>
      </c>
      <c r="G3553" s="5" t="s">
        <v>15</v>
      </c>
      <c r="H3553" s="5" t="s">
        <v>331</v>
      </c>
      <c r="I3553" s="6" t="s">
        <v>17</v>
      </c>
      <c r="J3553" s="7" t="s">
        <v>18</v>
      </c>
      <c r="K3553" s="7" t="s">
        <v>19</v>
      </c>
      <c r="L3553" s="8">
        <v>1.773230431117E12</v>
      </c>
      <c r="M3553" s="9"/>
      <c r="N3553" s="10"/>
      <c r="O3553" s="10"/>
      <c r="P3553" s="10"/>
      <c r="Q3553" s="10"/>
      <c r="R3553" s="10"/>
      <c r="S3553" s="10"/>
      <c r="T3553" s="10"/>
      <c r="U3553" s="10"/>
      <c r="V3553" s="10"/>
    </row>
    <row r="3554" ht="22.5" customHeight="1">
      <c r="A3554" s="5">
        <v>2.08535627878E11</v>
      </c>
      <c r="B3554" s="5" t="s">
        <v>3345</v>
      </c>
      <c r="C3554" s="5">
        <v>51967794692</v>
      </c>
      <c r="D3554" s="5" t="s">
        <v>13</v>
      </c>
      <c r="E3554" s="5">
        <v>8.0566583E7</v>
      </c>
      <c r="F3554" s="5" t="s">
        <v>259</v>
      </c>
      <c r="G3554" s="5" t="s">
        <v>15</v>
      </c>
      <c r="H3554" s="5" t="s">
        <v>24</v>
      </c>
      <c r="I3554" s="6" t="s">
        <v>17</v>
      </c>
      <c r="J3554" s="7" t="s">
        <v>18</v>
      </c>
      <c r="K3554" s="7" t="s">
        <v>19</v>
      </c>
      <c r="L3554" s="8">
        <v>1.773231518083E12</v>
      </c>
      <c r="M3554" s="9"/>
      <c r="N3554" s="10"/>
      <c r="O3554" s="10"/>
      <c r="P3554" s="10"/>
      <c r="Q3554" s="10"/>
      <c r="R3554" s="10"/>
      <c r="S3554" s="10"/>
      <c r="T3554" s="10"/>
      <c r="U3554" s="10"/>
      <c r="V3554" s="10"/>
    </row>
    <row r="3555" ht="22.5" customHeight="1">
      <c r="A3555" s="5">
        <v>2.08536325391E11</v>
      </c>
      <c r="B3555" s="5" t="s">
        <v>3346</v>
      </c>
      <c r="C3555" s="5">
        <v>5512988071781</v>
      </c>
      <c r="D3555" s="5" t="s">
        <v>13</v>
      </c>
      <c r="E3555" s="5">
        <v>7.9360573E7</v>
      </c>
      <c r="F3555" s="5" t="s">
        <v>39</v>
      </c>
      <c r="G3555" s="5" t="s">
        <v>15</v>
      </c>
      <c r="H3555" s="5" t="s">
        <v>51</v>
      </c>
      <c r="I3555" s="6" t="s">
        <v>17</v>
      </c>
      <c r="J3555" s="7" t="s">
        <v>34</v>
      </c>
      <c r="K3555" s="7"/>
      <c r="L3555" s="8">
        <v>1.773231664715E12</v>
      </c>
      <c r="M3555" s="9"/>
      <c r="N3555" s="10"/>
      <c r="O3555" s="10"/>
      <c r="P3555" s="10"/>
      <c r="Q3555" s="10"/>
      <c r="R3555" s="10"/>
      <c r="S3555" s="10"/>
      <c r="T3555" s="10"/>
      <c r="U3555" s="10"/>
      <c r="V3555" s="10"/>
    </row>
    <row r="3556" ht="22.5" customHeight="1">
      <c r="A3556" s="5">
        <v>2.08539066512E11</v>
      </c>
      <c r="B3556" s="5" t="s">
        <v>3347</v>
      </c>
      <c r="C3556" s="5">
        <v>51931431817</v>
      </c>
      <c r="D3556" s="5" t="s">
        <v>38</v>
      </c>
      <c r="E3556" s="5">
        <v>8.7547393E7</v>
      </c>
      <c r="F3556" s="5"/>
      <c r="G3556" s="5"/>
      <c r="H3556" s="5"/>
      <c r="I3556" s="6"/>
      <c r="J3556" s="7" t="s">
        <v>18</v>
      </c>
      <c r="K3556" s="7" t="s">
        <v>19</v>
      </c>
      <c r="L3556" s="8">
        <v>1.773232492178E12</v>
      </c>
      <c r="M3556" s="9"/>
      <c r="N3556" s="10"/>
      <c r="O3556" s="10"/>
      <c r="P3556" s="10"/>
      <c r="Q3556" s="10"/>
      <c r="R3556" s="10"/>
      <c r="S3556" s="10"/>
      <c r="T3556" s="10"/>
      <c r="U3556" s="10"/>
      <c r="V3556" s="10"/>
    </row>
    <row r="3557" ht="22.5" customHeight="1">
      <c r="A3557" s="5">
        <v>2.08545930409E11</v>
      </c>
      <c r="B3557" s="5" t="s">
        <v>3348</v>
      </c>
      <c r="C3557" s="5">
        <v>51967552663</v>
      </c>
      <c r="D3557" s="5" t="s">
        <v>13</v>
      </c>
      <c r="E3557" s="5">
        <v>8.7547393E7</v>
      </c>
      <c r="F3557" s="5" t="s">
        <v>28</v>
      </c>
      <c r="G3557" s="5" t="s">
        <v>32</v>
      </c>
      <c r="H3557" s="5" t="s">
        <v>24</v>
      </c>
      <c r="I3557" s="6" t="s">
        <v>17</v>
      </c>
      <c r="J3557" s="7" t="s">
        <v>18</v>
      </c>
      <c r="K3557" s="7" t="s">
        <v>19</v>
      </c>
      <c r="L3557" s="8">
        <v>1.773233158958E12</v>
      </c>
      <c r="M3557" s="9"/>
      <c r="N3557" s="10"/>
      <c r="O3557" s="10"/>
      <c r="P3557" s="10"/>
      <c r="Q3557" s="10"/>
      <c r="R3557" s="10"/>
      <c r="S3557" s="10"/>
      <c r="T3557" s="10"/>
      <c r="U3557" s="10"/>
      <c r="V3557" s="10"/>
    </row>
    <row r="3558" ht="22.5" customHeight="1">
      <c r="A3558" s="12"/>
      <c r="B3558" s="12"/>
      <c r="C3558" s="12"/>
      <c r="D3558" s="12"/>
      <c r="E3558" s="12"/>
      <c r="F3558" s="12"/>
      <c r="G3558" s="12"/>
      <c r="H3558" s="13"/>
      <c r="I3558" s="14"/>
      <c r="J3558" s="13"/>
      <c r="K3558" s="13"/>
      <c r="L3558" s="12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</row>
    <row r="3559" ht="22.5" customHeight="1">
      <c r="A3559" s="12"/>
      <c r="B3559" s="12"/>
      <c r="C3559" s="12"/>
      <c r="D3559" s="12"/>
      <c r="E3559" s="12"/>
      <c r="F3559" s="12"/>
      <c r="G3559" s="12"/>
      <c r="H3559" s="13"/>
      <c r="I3559" s="14"/>
      <c r="J3559" s="13"/>
      <c r="K3559" s="13"/>
      <c r="L3559" s="12"/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</row>
    <row r="3560" ht="22.5" customHeight="1">
      <c r="A3560" s="12"/>
      <c r="B3560" s="12"/>
      <c r="C3560" s="12"/>
      <c r="D3560" s="12"/>
      <c r="E3560" s="12"/>
      <c r="F3560" s="12"/>
      <c r="G3560" s="12"/>
      <c r="H3560" s="13"/>
      <c r="I3560" s="14"/>
      <c r="J3560" s="13"/>
      <c r="K3560" s="13"/>
      <c r="L3560" s="12"/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</row>
    <row r="3561" ht="22.5" customHeight="1">
      <c r="A3561" s="12"/>
      <c r="B3561" s="12"/>
      <c r="C3561" s="12"/>
      <c r="D3561" s="12"/>
      <c r="E3561" s="12"/>
      <c r="F3561" s="12"/>
      <c r="G3561" s="12"/>
      <c r="H3561" s="13"/>
      <c r="I3561" s="14"/>
      <c r="J3561" s="13"/>
      <c r="K3561" s="13"/>
      <c r="L3561" s="12"/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</row>
    <row r="3562" ht="22.5" customHeight="1">
      <c r="A3562" s="12"/>
      <c r="B3562" s="12"/>
      <c r="C3562" s="12"/>
      <c r="D3562" s="12"/>
      <c r="E3562" s="12"/>
      <c r="F3562" s="12"/>
      <c r="G3562" s="12"/>
      <c r="H3562" s="13"/>
      <c r="I3562" s="14"/>
      <c r="J3562" s="13"/>
      <c r="K3562" s="13"/>
      <c r="L3562" s="12"/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</row>
    <row r="3563" ht="22.5" customHeight="1">
      <c r="A3563" s="12"/>
      <c r="B3563" s="12"/>
      <c r="C3563" s="12"/>
      <c r="D3563" s="12"/>
      <c r="E3563" s="12"/>
      <c r="F3563" s="12"/>
      <c r="G3563" s="12"/>
      <c r="H3563" s="13"/>
      <c r="I3563" s="14"/>
      <c r="J3563" s="13"/>
      <c r="K3563" s="13"/>
      <c r="L3563" s="12"/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</row>
    <row r="3564" ht="22.5" customHeight="1">
      <c r="A3564" s="12"/>
      <c r="B3564" s="12"/>
      <c r="C3564" s="12"/>
      <c r="D3564" s="12"/>
      <c r="E3564" s="12"/>
      <c r="F3564" s="12"/>
      <c r="G3564" s="12"/>
      <c r="H3564" s="13"/>
      <c r="I3564" s="14"/>
      <c r="J3564" s="13"/>
      <c r="K3564" s="13"/>
      <c r="L3564" s="12"/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</row>
    <row r="3565" ht="22.5" customHeight="1">
      <c r="A3565" s="12"/>
      <c r="B3565" s="12"/>
      <c r="C3565" s="12"/>
      <c r="D3565" s="12"/>
      <c r="E3565" s="12"/>
      <c r="F3565" s="12"/>
      <c r="G3565" s="12"/>
      <c r="H3565" s="13"/>
      <c r="I3565" s="14"/>
      <c r="J3565" s="13"/>
      <c r="K3565" s="13"/>
      <c r="L3565" s="12"/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</row>
    <row r="3566" ht="22.5" customHeight="1">
      <c r="A3566" s="12"/>
      <c r="B3566" s="12"/>
      <c r="C3566" s="12"/>
      <c r="D3566" s="12"/>
      <c r="E3566" s="12"/>
      <c r="F3566" s="12"/>
      <c r="G3566" s="12"/>
      <c r="H3566" s="13"/>
      <c r="I3566" s="14"/>
      <c r="J3566" s="13"/>
      <c r="K3566" s="13"/>
      <c r="L3566" s="12"/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</row>
    <row r="3567" ht="22.5" customHeight="1">
      <c r="A3567" s="12"/>
      <c r="B3567" s="12"/>
      <c r="C3567" s="12"/>
      <c r="D3567" s="12"/>
      <c r="E3567" s="12"/>
      <c r="F3567" s="12"/>
      <c r="G3567" s="12"/>
      <c r="H3567" s="13"/>
      <c r="I3567" s="14"/>
      <c r="J3567" s="13"/>
      <c r="K3567" s="13"/>
      <c r="L3567" s="12"/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</row>
    <row r="3568" ht="22.5" customHeight="1">
      <c r="A3568" s="12"/>
      <c r="B3568" s="12"/>
      <c r="C3568" s="12"/>
      <c r="D3568" s="12"/>
      <c r="E3568" s="12"/>
      <c r="F3568" s="12"/>
      <c r="G3568" s="12"/>
      <c r="H3568" s="13"/>
      <c r="I3568" s="14"/>
      <c r="J3568" s="13"/>
      <c r="K3568" s="13"/>
      <c r="L3568" s="12"/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</row>
    <row r="3569" ht="22.5" customHeight="1">
      <c r="A3569" s="12"/>
      <c r="B3569" s="12"/>
      <c r="C3569" s="12"/>
      <c r="D3569" s="12"/>
      <c r="E3569" s="12"/>
      <c r="F3569" s="12"/>
      <c r="G3569" s="12"/>
      <c r="H3569" s="13"/>
      <c r="I3569" s="14"/>
      <c r="J3569" s="13"/>
      <c r="K3569" s="13"/>
      <c r="L3569" s="12"/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</row>
    <row r="3570" ht="22.5" customHeight="1">
      <c r="A3570" s="12"/>
      <c r="B3570" s="12"/>
      <c r="C3570" s="12"/>
      <c r="D3570" s="12"/>
      <c r="E3570" s="12"/>
      <c r="F3570" s="12"/>
      <c r="G3570" s="12"/>
      <c r="H3570" s="13"/>
      <c r="I3570" s="14"/>
      <c r="J3570" s="13"/>
      <c r="K3570" s="13"/>
      <c r="L3570" s="12"/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</row>
    <row r="3571" ht="22.5" customHeight="1">
      <c r="A3571" s="12"/>
      <c r="B3571" s="12"/>
      <c r="C3571" s="12"/>
      <c r="D3571" s="12"/>
      <c r="E3571" s="12"/>
      <c r="F3571" s="12"/>
      <c r="G3571" s="12"/>
      <c r="H3571" s="13"/>
      <c r="I3571" s="14"/>
      <c r="J3571" s="13"/>
      <c r="K3571" s="13"/>
      <c r="L3571" s="12"/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</row>
    <row r="3572" ht="22.5" customHeight="1">
      <c r="A3572" s="12"/>
      <c r="B3572" s="12"/>
      <c r="C3572" s="12"/>
      <c r="D3572" s="12"/>
      <c r="E3572" s="12"/>
      <c r="F3572" s="12"/>
      <c r="G3572" s="12"/>
      <c r="H3572" s="13"/>
      <c r="I3572" s="14"/>
      <c r="J3572" s="13"/>
      <c r="K3572" s="13"/>
      <c r="L3572" s="12"/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</row>
    <row r="3573" ht="22.5" customHeight="1">
      <c r="A3573" s="12"/>
      <c r="B3573" s="12"/>
      <c r="C3573" s="12"/>
      <c r="D3573" s="12"/>
      <c r="E3573" s="12"/>
      <c r="F3573" s="12"/>
      <c r="G3573" s="12"/>
      <c r="H3573" s="13"/>
      <c r="I3573" s="14"/>
      <c r="J3573" s="13"/>
      <c r="K3573" s="13"/>
      <c r="L3573" s="12"/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</row>
    <row r="3574" ht="22.5" customHeight="1">
      <c r="A3574" s="12"/>
      <c r="B3574" s="12"/>
      <c r="C3574" s="12"/>
      <c r="D3574" s="12"/>
      <c r="E3574" s="12"/>
      <c r="F3574" s="12"/>
      <c r="G3574" s="12"/>
      <c r="H3574" s="13"/>
      <c r="I3574" s="14"/>
      <c r="J3574" s="13"/>
      <c r="K3574" s="13"/>
      <c r="L3574" s="12"/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</row>
    <row r="3575" ht="22.5" customHeight="1">
      <c r="A3575" s="12"/>
      <c r="B3575" s="12"/>
      <c r="C3575" s="12"/>
      <c r="D3575" s="12"/>
      <c r="E3575" s="12"/>
      <c r="F3575" s="12"/>
      <c r="G3575" s="12"/>
      <c r="H3575" s="13"/>
      <c r="I3575" s="14"/>
      <c r="J3575" s="13"/>
      <c r="K3575" s="13"/>
      <c r="L3575" s="12"/>
      <c r="M3575" s="10"/>
      <c r="N3575" s="10"/>
      <c r="O3575" s="10"/>
      <c r="P3575" s="10"/>
      <c r="Q3575" s="10"/>
      <c r="R3575" s="10"/>
      <c r="S3575" s="10"/>
      <c r="T3575" s="10"/>
      <c r="U3575" s="10"/>
      <c r="V3575" s="10"/>
    </row>
    <row r="3576" ht="22.5" customHeight="1">
      <c r="A3576" s="12"/>
      <c r="B3576" s="12"/>
      <c r="C3576" s="12"/>
      <c r="D3576" s="12"/>
      <c r="E3576" s="12"/>
      <c r="F3576" s="12"/>
      <c r="G3576" s="12"/>
      <c r="H3576" s="13"/>
      <c r="I3576" s="14"/>
      <c r="J3576" s="13"/>
      <c r="K3576" s="13"/>
      <c r="L3576" s="12"/>
      <c r="M3576" s="10"/>
      <c r="N3576" s="10"/>
      <c r="O3576" s="10"/>
      <c r="P3576" s="10"/>
      <c r="Q3576" s="10"/>
      <c r="R3576" s="10"/>
      <c r="S3576" s="10"/>
      <c r="T3576" s="10"/>
      <c r="U3576" s="10"/>
      <c r="V3576" s="10"/>
    </row>
    <row r="3577" ht="22.5" customHeight="1">
      <c r="A3577" s="12"/>
      <c r="B3577" s="12"/>
      <c r="C3577" s="12"/>
      <c r="D3577" s="12"/>
      <c r="E3577" s="12"/>
      <c r="F3577" s="12"/>
      <c r="G3577" s="12"/>
      <c r="H3577" s="13"/>
      <c r="I3577" s="14"/>
      <c r="J3577" s="13"/>
      <c r="K3577" s="13"/>
      <c r="L3577" s="12"/>
      <c r="M3577" s="10"/>
      <c r="N3577" s="10"/>
      <c r="O3577" s="10"/>
      <c r="P3577" s="10"/>
      <c r="Q3577" s="10"/>
      <c r="R3577" s="10"/>
      <c r="S3577" s="10"/>
      <c r="T3577" s="10"/>
      <c r="U3577" s="10"/>
      <c r="V3577" s="10"/>
    </row>
    <row r="3578" ht="22.5" customHeight="1">
      <c r="A3578" s="12"/>
      <c r="B3578" s="12"/>
      <c r="C3578" s="12"/>
      <c r="D3578" s="12"/>
      <c r="E3578" s="12"/>
      <c r="F3578" s="12"/>
      <c r="G3578" s="12"/>
      <c r="H3578" s="13"/>
      <c r="I3578" s="14"/>
      <c r="J3578" s="13"/>
      <c r="K3578" s="13"/>
      <c r="L3578" s="12"/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</row>
    <row r="3579" ht="22.5" customHeight="1">
      <c r="A3579" s="12"/>
      <c r="B3579" s="12"/>
      <c r="C3579" s="12"/>
      <c r="D3579" s="12"/>
      <c r="E3579" s="12"/>
      <c r="F3579" s="12"/>
      <c r="G3579" s="12"/>
      <c r="H3579" s="13"/>
      <c r="I3579" s="14"/>
      <c r="J3579" s="13"/>
      <c r="K3579" s="13"/>
      <c r="L3579" s="12"/>
      <c r="M3579" s="10"/>
      <c r="N3579" s="10"/>
      <c r="O3579" s="10"/>
      <c r="P3579" s="10"/>
      <c r="Q3579" s="10"/>
      <c r="R3579" s="10"/>
      <c r="S3579" s="10"/>
      <c r="T3579" s="10"/>
      <c r="U3579" s="10"/>
      <c r="V3579" s="10"/>
    </row>
    <row r="3580" ht="22.5" customHeight="1">
      <c r="A3580" s="12"/>
      <c r="B3580" s="12"/>
      <c r="C3580" s="12"/>
      <c r="D3580" s="12"/>
      <c r="E3580" s="12"/>
      <c r="F3580" s="12"/>
      <c r="G3580" s="12"/>
      <c r="H3580" s="13"/>
      <c r="I3580" s="14"/>
      <c r="J3580" s="13"/>
      <c r="K3580" s="13"/>
      <c r="L3580" s="12"/>
      <c r="M3580" s="10"/>
      <c r="N3580" s="10"/>
      <c r="O3580" s="10"/>
      <c r="P3580" s="10"/>
      <c r="Q3580" s="10"/>
      <c r="R3580" s="10"/>
      <c r="S3580" s="10"/>
      <c r="T3580" s="10"/>
      <c r="U3580" s="10"/>
      <c r="V3580" s="10"/>
    </row>
    <row r="3581" ht="22.5" customHeight="1">
      <c r="A3581" s="12"/>
      <c r="B3581" s="12"/>
      <c r="C3581" s="12"/>
      <c r="D3581" s="12"/>
      <c r="E3581" s="12"/>
      <c r="F3581" s="12"/>
      <c r="G3581" s="12"/>
      <c r="H3581" s="13"/>
      <c r="I3581" s="14"/>
      <c r="J3581" s="13"/>
      <c r="K3581" s="13"/>
      <c r="L3581" s="12"/>
      <c r="M3581" s="10"/>
      <c r="N3581" s="10"/>
      <c r="O3581" s="10"/>
      <c r="P3581" s="10"/>
      <c r="Q3581" s="10"/>
      <c r="R3581" s="10"/>
      <c r="S3581" s="10"/>
      <c r="T3581" s="10"/>
      <c r="U3581" s="10"/>
      <c r="V3581" s="10"/>
    </row>
    <row r="3582" ht="22.5" customHeight="1">
      <c r="A3582" s="12"/>
      <c r="B3582" s="12"/>
      <c r="C3582" s="12"/>
      <c r="D3582" s="12"/>
      <c r="E3582" s="12"/>
      <c r="F3582" s="12"/>
      <c r="G3582" s="12"/>
      <c r="H3582" s="13"/>
      <c r="I3582" s="14"/>
      <c r="J3582" s="13"/>
      <c r="K3582" s="13"/>
      <c r="L3582" s="12"/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</row>
    <row r="3583" ht="22.5" customHeight="1">
      <c r="A3583" s="12"/>
      <c r="B3583" s="12"/>
      <c r="C3583" s="12"/>
      <c r="D3583" s="12"/>
      <c r="E3583" s="12"/>
      <c r="F3583" s="12"/>
      <c r="G3583" s="12"/>
      <c r="H3583" s="13"/>
      <c r="I3583" s="14"/>
      <c r="J3583" s="13"/>
      <c r="K3583" s="13"/>
      <c r="L3583" s="12"/>
      <c r="M3583" s="10"/>
      <c r="N3583" s="10"/>
      <c r="O3583" s="10"/>
      <c r="P3583" s="10"/>
      <c r="Q3583" s="10"/>
      <c r="R3583" s="10"/>
      <c r="S3583" s="10"/>
      <c r="T3583" s="10"/>
      <c r="U3583" s="10"/>
      <c r="V3583" s="10"/>
    </row>
    <row r="3584" ht="22.5" customHeight="1">
      <c r="A3584" s="12"/>
      <c r="B3584" s="12"/>
      <c r="C3584" s="12"/>
      <c r="D3584" s="12"/>
      <c r="E3584" s="12"/>
      <c r="F3584" s="12"/>
      <c r="G3584" s="12"/>
      <c r="H3584" s="13"/>
      <c r="I3584" s="14"/>
      <c r="J3584" s="13"/>
      <c r="K3584" s="13"/>
      <c r="L3584" s="12"/>
      <c r="M3584" s="10"/>
      <c r="N3584" s="10"/>
      <c r="O3584" s="10"/>
      <c r="P3584" s="10"/>
      <c r="Q3584" s="10"/>
      <c r="R3584" s="10"/>
      <c r="S3584" s="10"/>
      <c r="T3584" s="10"/>
      <c r="U3584" s="10"/>
      <c r="V3584" s="10"/>
    </row>
    <row r="3585" ht="22.5" customHeight="1">
      <c r="A3585" s="12"/>
      <c r="B3585" s="12"/>
      <c r="C3585" s="12"/>
      <c r="D3585" s="12"/>
      <c r="E3585" s="12"/>
      <c r="F3585" s="12"/>
      <c r="G3585" s="12"/>
      <c r="H3585" s="13"/>
      <c r="I3585" s="14"/>
      <c r="J3585" s="13"/>
      <c r="K3585" s="13"/>
      <c r="L3585" s="12"/>
      <c r="M3585" s="10"/>
      <c r="N3585" s="10"/>
      <c r="O3585" s="10"/>
      <c r="P3585" s="10"/>
      <c r="Q3585" s="10"/>
      <c r="R3585" s="10"/>
      <c r="S3585" s="10"/>
      <c r="T3585" s="10"/>
      <c r="U3585" s="10"/>
      <c r="V3585" s="10"/>
    </row>
    <row r="3586" ht="22.5" customHeight="1">
      <c r="A3586" s="12"/>
      <c r="B3586" s="12"/>
      <c r="C3586" s="12"/>
      <c r="D3586" s="12"/>
      <c r="E3586" s="12"/>
      <c r="F3586" s="12"/>
      <c r="G3586" s="12"/>
      <c r="H3586" s="13"/>
      <c r="I3586" s="14"/>
      <c r="J3586" s="13"/>
      <c r="K3586" s="13"/>
      <c r="L3586" s="12"/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</row>
    <row r="3587" ht="22.5" customHeight="1">
      <c r="A3587" s="12"/>
      <c r="B3587" s="12"/>
      <c r="C3587" s="12"/>
      <c r="D3587" s="12"/>
      <c r="E3587" s="12"/>
      <c r="F3587" s="12"/>
      <c r="G3587" s="12"/>
      <c r="H3587" s="13"/>
      <c r="I3587" s="14"/>
      <c r="J3587" s="13"/>
      <c r="K3587" s="13"/>
      <c r="L3587" s="12"/>
      <c r="M3587" s="10"/>
      <c r="N3587" s="10"/>
      <c r="O3587" s="10"/>
      <c r="P3587" s="10"/>
      <c r="Q3587" s="10"/>
      <c r="R3587" s="10"/>
      <c r="S3587" s="10"/>
      <c r="T3587" s="10"/>
      <c r="U3587" s="10"/>
      <c r="V3587" s="10"/>
    </row>
    <row r="3588" ht="22.5" customHeight="1">
      <c r="A3588" s="12"/>
      <c r="B3588" s="12"/>
      <c r="C3588" s="12"/>
      <c r="D3588" s="12"/>
      <c r="E3588" s="12"/>
      <c r="F3588" s="12"/>
      <c r="G3588" s="12"/>
      <c r="H3588" s="13"/>
      <c r="I3588" s="14"/>
      <c r="J3588" s="13"/>
      <c r="K3588" s="13"/>
      <c r="L3588" s="12"/>
      <c r="M3588" s="10"/>
      <c r="N3588" s="10"/>
      <c r="O3588" s="10"/>
      <c r="P3588" s="10"/>
      <c r="Q3588" s="10"/>
      <c r="R3588" s="10"/>
      <c r="S3588" s="10"/>
      <c r="T3588" s="10"/>
      <c r="U3588" s="10"/>
      <c r="V3588" s="10"/>
    </row>
    <row r="3589" ht="22.5" customHeight="1">
      <c r="A3589" s="12"/>
      <c r="B3589" s="12"/>
      <c r="C3589" s="12"/>
      <c r="D3589" s="12"/>
      <c r="E3589" s="12"/>
      <c r="F3589" s="12"/>
      <c r="G3589" s="12"/>
      <c r="H3589" s="13"/>
      <c r="I3589" s="14"/>
      <c r="J3589" s="13"/>
      <c r="K3589" s="13"/>
      <c r="L3589" s="12"/>
      <c r="M3589" s="10"/>
      <c r="N3589" s="10"/>
      <c r="O3589" s="10"/>
      <c r="P3589" s="10"/>
      <c r="Q3589" s="10"/>
      <c r="R3589" s="10"/>
      <c r="S3589" s="10"/>
      <c r="T3589" s="10"/>
      <c r="U3589" s="10"/>
      <c r="V3589" s="10"/>
    </row>
    <row r="3590" ht="22.5" customHeight="1">
      <c r="A3590" s="12"/>
      <c r="B3590" s="12"/>
      <c r="C3590" s="12"/>
      <c r="D3590" s="12"/>
      <c r="E3590" s="12"/>
      <c r="F3590" s="12"/>
      <c r="G3590" s="12"/>
      <c r="H3590" s="13"/>
      <c r="I3590" s="14"/>
      <c r="J3590" s="13"/>
      <c r="K3590" s="13"/>
      <c r="L3590" s="12"/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</row>
    <row r="3591" ht="22.5" customHeight="1">
      <c r="A3591" s="12"/>
      <c r="B3591" s="12"/>
      <c r="C3591" s="12"/>
      <c r="D3591" s="12"/>
      <c r="E3591" s="12"/>
      <c r="F3591" s="12"/>
      <c r="G3591" s="12"/>
      <c r="H3591" s="13"/>
      <c r="I3591" s="14"/>
      <c r="J3591" s="13"/>
      <c r="K3591" s="13"/>
      <c r="L3591" s="12"/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</row>
    <row r="3592" ht="22.5" customHeight="1">
      <c r="A3592" s="12"/>
      <c r="B3592" s="12"/>
      <c r="C3592" s="12"/>
      <c r="D3592" s="12"/>
      <c r="E3592" s="12"/>
      <c r="F3592" s="12"/>
      <c r="G3592" s="12"/>
      <c r="H3592" s="13"/>
      <c r="I3592" s="14"/>
      <c r="J3592" s="13"/>
      <c r="K3592" s="13"/>
      <c r="L3592" s="12"/>
      <c r="M3592" s="10"/>
      <c r="N3592" s="10"/>
      <c r="O3592" s="10"/>
      <c r="P3592" s="10"/>
      <c r="Q3592" s="10"/>
      <c r="R3592" s="10"/>
      <c r="S3592" s="10"/>
      <c r="T3592" s="10"/>
      <c r="U3592" s="10"/>
      <c r="V3592" s="10"/>
    </row>
    <row r="3593" ht="22.5" customHeight="1">
      <c r="A3593" s="12"/>
      <c r="B3593" s="12"/>
      <c r="C3593" s="12"/>
      <c r="D3593" s="12"/>
      <c r="E3593" s="12"/>
      <c r="F3593" s="12"/>
      <c r="G3593" s="12"/>
      <c r="H3593" s="13"/>
      <c r="I3593" s="14"/>
      <c r="J3593" s="13"/>
      <c r="K3593" s="13"/>
      <c r="L3593" s="12"/>
      <c r="M3593" s="10"/>
      <c r="N3593" s="10"/>
      <c r="O3593" s="10"/>
      <c r="P3593" s="10"/>
      <c r="Q3593" s="10"/>
      <c r="R3593" s="10"/>
      <c r="S3593" s="10"/>
      <c r="T3593" s="10"/>
      <c r="U3593" s="10"/>
      <c r="V3593" s="10"/>
    </row>
    <row r="3594" ht="22.5" customHeight="1">
      <c r="A3594" s="12"/>
      <c r="B3594" s="12"/>
      <c r="C3594" s="12"/>
      <c r="D3594" s="12"/>
      <c r="E3594" s="12"/>
      <c r="F3594" s="12"/>
      <c r="G3594" s="12"/>
      <c r="H3594" s="13"/>
      <c r="I3594" s="14"/>
      <c r="J3594" s="13"/>
      <c r="K3594" s="13"/>
      <c r="L3594" s="12"/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</row>
    <row r="3595" ht="22.5" customHeight="1">
      <c r="A3595" s="12"/>
      <c r="B3595" s="12"/>
      <c r="C3595" s="12"/>
      <c r="D3595" s="12"/>
      <c r="E3595" s="12"/>
      <c r="F3595" s="12"/>
      <c r="G3595" s="12"/>
      <c r="H3595" s="13"/>
      <c r="I3595" s="14"/>
      <c r="J3595" s="13"/>
      <c r="K3595" s="13"/>
      <c r="L3595" s="12"/>
      <c r="M3595" s="10"/>
      <c r="N3595" s="10"/>
      <c r="O3595" s="10"/>
      <c r="P3595" s="10"/>
      <c r="Q3595" s="10"/>
      <c r="R3595" s="10"/>
      <c r="S3595" s="10"/>
      <c r="T3595" s="10"/>
      <c r="U3595" s="10"/>
      <c r="V3595" s="10"/>
    </row>
    <row r="3596" ht="22.5" customHeight="1">
      <c r="A3596" s="12"/>
      <c r="B3596" s="12"/>
      <c r="C3596" s="12"/>
      <c r="D3596" s="12"/>
      <c r="E3596" s="12"/>
      <c r="F3596" s="12"/>
      <c r="G3596" s="12"/>
      <c r="H3596" s="13"/>
      <c r="I3596" s="14"/>
      <c r="J3596" s="13"/>
      <c r="K3596" s="13"/>
      <c r="L3596" s="12"/>
      <c r="M3596" s="10"/>
      <c r="N3596" s="10"/>
      <c r="O3596" s="10"/>
      <c r="P3596" s="10"/>
      <c r="Q3596" s="10"/>
      <c r="R3596" s="10"/>
      <c r="S3596" s="10"/>
      <c r="T3596" s="10"/>
      <c r="U3596" s="10"/>
      <c r="V3596" s="10"/>
    </row>
    <row r="3597" ht="22.5" customHeight="1">
      <c r="A3597" s="12"/>
      <c r="B3597" s="12"/>
      <c r="C3597" s="12"/>
      <c r="D3597" s="12"/>
      <c r="E3597" s="12"/>
      <c r="F3597" s="12"/>
      <c r="G3597" s="12"/>
      <c r="H3597" s="13"/>
      <c r="I3597" s="14"/>
      <c r="J3597" s="13"/>
      <c r="K3597" s="13"/>
      <c r="L3597" s="12"/>
      <c r="M3597" s="10"/>
      <c r="N3597" s="10"/>
      <c r="O3597" s="10"/>
      <c r="P3597" s="10"/>
      <c r="Q3597" s="10"/>
      <c r="R3597" s="10"/>
      <c r="S3597" s="10"/>
      <c r="T3597" s="10"/>
      <c r="U3597" s="10"/>
      <c r="V3597" s="10"/>
    </row>
    <row r="3598" ht="22.5" customHeight="1">
      <c r="A3598" s="12"/>
      <c r="B3598" s="12"/>
      <c r="C3598" s="12"/>
      <c r="D3598" s="12"/>
      <c r="E3598" s="12"/>
      <c r="F3598" s="12"/>
      <c r="G3598" s="12"/>
      <c r="H3598" s="13"/>
      <c r="I3598" s="14"/>
      <c r="J3598" s="13"/>
      <c r="K3598" s="13"/>
      <c r="L3598" s="12"/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</row>
    <row r="3599" ht="22.5" customHeight="1">
      <c r="A3599" s="12"/>
      <c r="B3599" s="12"/>
      <c r="C3599" s="12"/>
      <c r="D3599" s="12"/>
      <c r="E3599" s="12"/>
      <c r="F3599" s="12"/>
      <c r="G3599" s="12"/>
      <c r="H3599" s="13"/>
      <c r="I3599" s="14"/>
      <c r="J3599" s="13"/>
      <c r="K3599" s="13"/>
      <c r="L3599" s="12"/>
      <c r="M3599" s="10"/>
      <c r="N3599" s="10"/>
      <c r="O3599" s="10"/>
      <c r="P3599" s="10"/>
      <c r="Q3599" s="10"/>
      <c r="R3599" s="10"/>
      <c r="S3599" s="10"/>
      <c r="T3599" s="10"/>
      <c r="U3599" s="10"/>
      <c r="V3599" s="10"/>
    </row>
    <row r="3600" ht="22.5" customHeight="1">
      <c r="A3600" s="12"/>
      <c r="B3600" s="12"/>
      <c r="C3600" s="12"/>
      <c r="D3600" s="12"/>
      <c r="E3600" s="12"/>
      <c r="F3600" s="12"/>
      <c r="G3600" s="12"/>
      <c r="H3600" s="13"/>
      <c r="I3600" s="14"/>
      <c r="J3600" s="13"/>
      <c r="K3600" s="13"/>
      <c r="L3600" s="12"/>
      <c r="M3600" s="10"/>
      <c r="N3600" s="10"/>
      <c r="O3600" s="10"/>
      <c r="P3600" s="10"/>
      <c r="Q3600" s="10"/>
      <c r="R3600" s="10"/>
      <c r="S3600" s="10"/>
      <c r="T3600" s="10"/>
      <c r="U3600" s="10"/>
      <c r="V3600" s="10"/>
    </row>
    <row r="3601" ht="22.5" customHeight="1">
      <c r="A3601" s="12"/>
      <c r="B3601" s="12"/>
      <c r="C3601" s="12"/>
      <c r="D3601" s="12"/>
      <c r="E3601" s="12"/>
      <c r="F3601" s="12"/>
      <c r="G3601" s="12"/>
      <c r="H3601" s="13"/>
      <c r="I3601" s="14"/>
      <c r="J3601" s="13"/>
      <c r="K3601" s="13"/>
      <c r="L3601" s="12"/>
      <c r="M3601" s="10"/>
      <c r="N3601" s="10"/>
      <c r="O3601" s="10"/>
      <c r="P3601" s="10"/>
      <c r="Q3601" s="10"/>
      <c r="R3601" s="10"/>
      <c r="S3601" s="10"/>
      <c r="T3601" s="10"/>
      <c r="U3601" s="10"/>
      <c r="V3601" s="10"/>
    </row>
    <row r="3602" ht="22.5" customHeight="1">
      <c r="A3602" s="12"/>
      <c r="B3602" s="12"/>
      <c r="C3602" s="12"/>
      <c r="D3602" s="12"/>
      <c r="E3602" s="12"/>
      <c r="F3602" s="12"/>
      <c r="G3602" s="12"/>
      <c r="H3602" s="13"/>
      <c r="I3602" s="14"/>
      <c r="J3602" s="13"/>
      <c r="K3602" s="13"/>
      <c r="L3602" s="12"/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</row>
    <row r="3603" ht="22.5" customHeight="1">
      <c r="A3603" s="12"/>
      <c r="B3603" s="12"/>
      <c r="C3603" s="12"/>
      <c r="D3603" s="12"/>
      <c r="E3603" s="12"/>
      <c r="F3603" s="12"/>
      <c r="G3603" s="12"/>
      <c r="H3603" s="13"/>
      <c r="I3603" s="14"/>
      <c r="J3603" s="13"/>
      <c r="K3603" s="13"/>
      <c r="L3603" s="12"/>
      <c r="M3603" s="10"/>
      <c r="N3603" s="10"/>
      <c r="O3603" s="10"/>
      <c r="P3603" s="10"/>
      <c r="Q3603" s="10"/>
      <c r="R3603" s="10"/>
      <c r="S3603" s="10"/>
      <c r="T3603" s="10"/>
      <c r="U3603" s="10"/>
      <c r="V3603" s="10"/>
    </row>
    <row r="3604" ht="22.5" customHeight="1">
      <c r="A3604" s="12"/>
      <c r="B3604" s="12"/>
      <c r="C3604" s="12"/>
      <c r="D3604" s="12"/>
      <c r="E3604" s="12"/>
      <c r="F3604" s="12"/>
      <c r="G3604" s="12"/>
      <c r="H3604" s="13"/>
      <c r="I3604" s="14"/>
      <c r="J3604" s="13"/>
      <c r="K3604" s="13"/>
      <c r="L3604" s="12"/>
      <c r="M3604" s="10"/>
      <c r="N3604" s="10"/>
      <c r="O3604" s="10"/>
      <c r="P3604" s="10"/>
      <c r="Q3604" s="10"/>
      <c r="R3604" s="10"/>
      <c r="S3604" s="10"/>
      <c r="T3604" s="10"/>
      <c r="U3604" s="10"/>
      <c r="V3604" s="10"/>
    </row>
    <row r="3605" ht="22.5" customHeight="1">
      <c r="A3605" s="12"/>
      <c r="B3605" s="12"/>
      <c r="C3605" s="12"/>
      <c r="D3605" s="12"/>
      <c r="E3605" s="12"/>
      <c r="F3605" s="12"/>
      <c r="G3605" s="12"/>
      <c r="H3605" s="13"/>
      <c r="I3605" s="14"/>
      <c r="J3605" s="13"/>
      <c r="K3605" s="13"/>
      <c r="L3605" s="12"/>
      <c r="M3605" s="10"/>
      <c r="N3605" s="10"/>
      <c r="O3605" s="10"/>
      <c r="P3605" s="10"/>
      <c r="Q3605" s="10"/>
      <c r="R3605" s="10"/>
      <c r="S3605" s="10"/>
      <c r="T3605" s="10"/>
      <c r="U3605" s="10"/>
      <c r="V3605" s="10"/>
    </row>
    <row r="3606" ht="22.5" customHeight="1">
      <c r="A3606" s="12"/>
      <c r="B3606" s="12"/>
      <c r="C3606" s="12"/>
      <c r="D3606" s="12"/>
      <c r="E3606" s="12"/>
      <c r="F3606" s="12"/>
      <c r="G3606" s="12"/>
      <c r="H3606" s="13"/>
      <c r="I3606" s="14"/>
      <c r="J3606" s="13"/>
      <c r="K3606" s="13"/>
      <c r="L3606" s="12"/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</row>
    <row r="3607" ht="22.5" customHeight="1">
      <c r="A3607" s="12"/>
      <c r="B3607" s="12"/>
      <c r="C3607" s="12"/>
      <c r="D3607" s="12"/>
      <c r="E3607" s="12"/>
      <c r="F3607" s="12"/>
      <c r="G3607" s="12"/>
      <c r="H3607" s="13"/>
      <c r="I3607" s="14"/>
      <c r="J3607" s="13"/>
      <c r="K3607" s="13"/>
      <c r="L3607" s="12"/>
      <c r="M3607" s="10"/>
      <c r="N3607" s="10"/>
      <c r="O3607" s="10"/>
      <c r="P3607" s="10"/>
      <c r="Q3607" s="10"/>
      <c r="R3607" s="10"/>
      <c r="S3607" s="10"/>
      <c r="T3607" s="10"/>
      <c r="U3607" s="10"/>
      <c r="V3607" s="10"/>
    </row>
    <row r="3608" ht="22.5" customHeight="1">
      <c r="A3608" s="12"/>
      <c r="B3608" s="12"/>
      <c r="C3608" s="12"/>
      <c r="D3608" s="12"/>
      <c r="E3608" s="12"/>
      <c r="F3608" s="12"/>
      <c r="G3608" s="12"/>
      <c r="H3608" s="13"/>
      <c r="I3608" s="14"/>
      <c r="J3608" s="13"/>
      <c r="K3608" s="13"/>
      <c r="L3608" s="12"/>
      <c r="M3608" s="10"/>
      <c r="N3608" s="10"/>
      <c r="O3608" s="10"/>
      <c r="P3608" s="10"/>
      <c r="Q3608" s="10"/>
      <c r="R3608" s="10"/>
      <c r="S3608" s="10"/>
      <c r="T3608" s="10"/>
      <c r="U3608" s="10"/>
      <c r="V3608" s="10"/>
    </row>
    <row r="3609" ht="22.5" customHeight="1">
      <c r="A3609" s="12"/>
      <c r="B3609" s="12"/>
      <c r="C3609" s="12"/>
      <c r="D3609" s="12"/>
      <c r="E3609" s="12"/>
      <c r="F3609" s="12"/>
      <c r="G3609" s="12"/>
      <c r="H3609" s="13"/>
      <c r="I3609" s="14"/>
      <c r="J3609" s="13"/>
      <c r="K3609" s="13"/>
      <c r="L3609" s="12"/>
      <c r="M3609" s="10"/>
      <c r="N3609" s="10"/>
      <c r="O3609" s="10"/>
      <c r="P3609" s="10"/>
      <c r="Q3609" s="10"/>
      <c r="R3609" s="10"/>
      <c r="S3609" s="10"/>
      <c r="T3609" s="10"/>
      <c r="U3609" s="10"/>
      <c r="V3609" s="10"/>
    </row>
    <row r="3610" ht="22.5" customHeight="1">
      <c r="A3610" s="12"/>
      <c r="B3610" s="12"/>
      <c r="C3610" s="12"/>
      <c r="D3610" s="12"/>
      <c r="E3610" s="12"/>
      <c r="F3610" s="12"/>
      <c r="G3610" s="12"/>
      <c r="H3610" s="13"/>
      <c r="I3610" s="14"/>
      <c r="J3610" s="13"/>
      <c r="K3610" s="13"/>
      <c r="L3610" s="12"/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</row>
    <row r="3611" ht="22.5" customHeight="1">
      <c r="A3611" s="12"/>
      <c r="B3611" s="12"/>
      <c r="C3611" s="12"/>
      <c r="D3611" s="12"/>
      <c r="E3611" s="12"/>
      <c r="F3611" s="12"/>
      <c r="G3611" s="12"/>
      <c r="H3611" s="13"/>
      <c r="I3611" s="14"/>
      <c r="J3611" s="13"/>
      <c r="K3611" s="13"/>
      <c r="L3611" s="12"/>
      <c r="M3611" s="10"/>
      <c r="N3611" s="10"/>
      <c r="O3611" s="10"/>
      <c r="P3611" s="10"/>
      <c r="Q3611" s="10"/>
      <c r="R3611" s="10"/>
      <c r="S3611" s="10"/>
      <c r="T3611" s="10"/>
      <c r="U3611" s="10"/>
      <c r="V3611" s="10"/>
    </row>
    <row r="3612" ht="22.5" customHeight="1">
      <c r="A3612" s="12"/>
      <c r="B3612" s="12"/>
      <c r="C3612" s="12"/>
      <c r="D3612" s="12"/>
      <c r="E3612" s="12"/>
      <c r="F3612" s="12"/>
      <c r="G3612" s="12"/>
      <c r="H3612" s="13"/>
      <c r="I3612" s="14"/>
      <c r="J3612" s="13"/>
      <c r="K3612" s="13"/>
      <c r="L3612" s="12"/>
      <c r="M3612" s="10"/>
      <c r="N3612" s="10"/>
      <c r="O3612" s="10"/>
      <c r="P3612" s="10"/>
      <c r="Q3612" s="10"/>
      <c r="R3612" s="10"/>
      <c r="S3612" s="10"/>
      <c r="T3612" s="10"/>
      <c r="U3612" s="10"/>
      <c r="V3612" s="10"/>
    </row>
    <row r="3613" ht="22.5" customHeight="1">
      <c r="A3613" s="12"/>
      <c r="B3613" s="12"/>
      <c r="C3613" s="12"/>
      <c r="D3613" s="12"/>
      <c r="E3613" s="12"/>
      <c r="F3613" s="12"/>
      <c r="G3613" s="12"/>
      <c r="H3613" s="13"/>
      <c r="I3613" s="14"/>
      <c r="J3613" s="13"/>
      <c r="K3613" s="13"/>
      <c r="L3613" s="12"/>
      <c r="M3613" s="10"/>
      <c r="N3613" s="10"/>
      <c r="O3613" s="10"/>
      <c r="P3613" s="10"/>
      <c r="Q3613" s="10"/>
      <c r="R3613" s="10"/>
      <c r="S3613" s="10"/>
      <c r="T3613" s="10"/>
      <c r="U3613" s="10"/>
      <c r="V3613" s="10"/>
    </row>
    <row r="3614" ht="22.5" customHeight="1">
      <c r="A3614" s="12"/>
      <c r="B3614" s="12"/>
      <c r="C3614" s="12"/>
      <c r="D3614" s="12"/>
      <c r="E3614" s="12"/>
      <c r="F3614" s="12"/>
      <c r="G3614" s="12"/>
      <c r="H3614" s="13"/>
      <c r="I3614" s="14"/>
      <c r="J3614" s="13"/>
      <c r="K3614" s="13"/>
      <c r="L3614" s="12"/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</row>
    <row r="3615" ht="22.5" customHeight="1">
      <c r="A3615" s="12"/>
      <c r="B3615" s="12"/>
      <c r="C3615" s="12"/>
      <c r="D3615" s="12"/>
      <c r="E3615" s="12"/>
      <c r="F3615" s="12"/>
      <c r="G3615" s="12"/>
      <c r="H3615" s="13"/>
      <c r="I3615" s="14"/>
      <c r="J3615" s="13"/>
      <c r="K3615" s="13"/>
      <c r="L3615" s="12"/>
      <c r="M3615" s="10"/>
      <c r="N3615" s="10"/>
      <c r="O3615" s="10"/>
      <c r="P3615" s="10"/>
      <c r="Q3615" s="10"/>
      <c r="R3615" s="10"/>
      <c r="S3615" s="10"/>
      <c r="T3615" s="10"/>
      <c r="U3615" s="10"/>
      <c r="V3615" s="10"/>
    </row>
    <row r="3616" ht="22.5" customHeight="1">
      <c r="A3616" s="12"/>
      <c r="B3616" s="12"/>
      <c r="C3616" s="12"/>
      <c r="D3616" s="12"/>
      <c r="E3616" s="12"/>
      <c r="F3616" s="12"/>
      <c r="G3616" s="12"/>
      <c r="H3616" s="13"/>
      <c r="I3616" s="14"/>
      <c r="J3616" s="13"/>
      <c r="K3616" s="13"/>
      <c r="L3616" s="12"/>
      <c r="M3616" s="10"/>
      <c r="N3616" s="10"/>
      <c r="O3616" s="10"/>
      <c r="P3616" s="10"/>
      <c r="Q3616" s="10"/>
      <c r="R3616" s="10"/>
      <c r="S3616" s="10"/>
      <c r="T3616" s="10"/>
      <c r="U3616" s="10"/>
      <c r="V3616" s="10"/>
    </row>
    <row r="3617" ht="22.5" customHeight="1">
      <c r="A3617" s="12"/>
      <c r="B3617" s="12"/>
      <c r="C3617" s="12"/>
      <c r="D3617" s="12"/>
      <c r="E3617" s="12"/>
      <c r="F3617" s="12"/>
      <c r="G3617" s="12"/>
      <c r="H3617" s="13"/>
      <c r="I3617" s="14"/>
      <c r="J3617" s="13"/>
      <c r="K3617" s="13"/>
      <c r="L3617" s="12"/>
      <c r="M3617" s="10"/>
      <c r="N3617" s="10"/>
      <c r="O3617" s="10"/>
      <c r="P3617" s="10"/>
      <c r="Q3617" s="10"/>
      <c r="R3617" s="10"/>
      <c r="S3617" s="10"/>
      <c r="T3617" s="10"/>
      <c r="U3617" s="10"/>
      <c r="V3617" s="10"/>
    </row>
    <row r="3618" ht="22.5" customHeight="1">
      <c r="A3618" s="12"/>
      <c r="B3618" s="12"/>
      <c r="C3618" s="12"/>
      <c r="D3618" s="12"/>
      <c r="E3618" s="12"/>
      <c r="F3618" s="12"/>
      <c r="G3618" s="12"/>
      <c r="H3618" s="13"/>
      <c r="I3618" s="14"/>
      <c r="J3618" s="13"/>
      <c r="K3618" s="13"/>
      <c r="L3618" s="12"/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</row>
    <row r="3619" ht="22.5" customHeight="1">
      <c r="A3619" s="12"/>
      <c r="B3619" s="12"/>
      <c r="C3619" s="12"/>
      <c r="D3619" s="12"/>
      <c r="E3619" s="12"/>
      <c r="F3619" s="12"/>
      <c r="G3619" s="12"/>
      <c r="H3619" s="13"/>
      <c r="I3619" s="14"/>
      <c r="J3619" s="13"/>
      <c r="K3619" s="13"/>
      <c r="L3619" s="12"/>
      <c r="M3619" s="10"/>
      <c r="N3619" s="10"/>
      <c r="O3619" s="10"/>
      <c r="P3619" s="10"/>
      <c r="Q3619" s="10"/>
      <c r="R3619" s="10"/>
      <c r="S3619" s="10"/>
      <c r="T3619" s="10"/>
      <c r="U3619" s="10"/>
      <c r="V3619" s="10"/>
    </row>
    <row r="3620" ht="22.5" customHeight="1">
      <c r="A3620" s="12"/>
      <c r="B3620" s="12"/>
      <c r="C3620" s="12"/>
      <c r="D3620" s="12"/>
      <c r="E3620" s="12"/>
      <c r="F3620" s="12"/>
      <c r="G3620" s="12"/>
      <c r="H3620" s="13"/>
      <c r="I3620" s="14"/>
      <c r="J3620" s="13"/>
      <c r="K3620" s="13"/>
      <c r="L3620" s="12"/>
      <c r="M3620" s="10"/>
      <c r="N3620" s="10"/>
      <c r="O3620" s="10"/>
      <c r="P3620" s="10"/>
      <c r="Q3620" s="10"/>
      <c r="R3620" s="10"/>
      <c r="S3620" s="10"/>
      <c r="T3620" s="10"/>
      <c r="U3620" s="10"/>
      <c r="V3620" s="10"/>
    </row>
    <row r="3621" ht="22.5" customHeight="1">
      <c r="A3621" s="12"/>
      <c r="B3621" s="12"/>
      <c r="C3621" s="12"/>
      <c r="D3621" s="12"/>
      <c r="E3621" s="12"/>
      <c r="F3621" s="12"/>
      <c r="G3621" s="12"/>
      <c r="H3621" s="13"/>
      <c r="I3621" s="14"/>
      <c r="J3621" s="13"/>
      <c r="K3621" s="13"/>
      <c r="L3621" s="12"/>
      <c r="M3621" s="10"/>
      <c r="N3621" s="10"/>
      <c r="O3621" s="10"/>
      <c r="P3621" s="10"/>
      <c r="Q3621" s="10"/>
      <c r="R3621" s="10"/>
      <c r="S3621" s="10"/>
      <c r="T3621" s="10"/>
      <c r="U3621" s="10"/>
      <c r="V3621" s="10"/>
    </row>
    <row r="3622" ht="22.5" customHeight="1">
      <c r="A3622" s="12"/>
      <c r="B3622" s="12"/>
      <c r="C3622" s="12"/>
      <c r="D3622" s="12"/>
      <c r="E3622" s="12"/>
      <c r="F3622" s="12"/>
      <c r="G3622" s="12"/>
      <c r="H3622" s="13"/>
      <c r="I3622" s="14"/>
      <c r="J3622" s="13"/>
      <c r="K3622" s="13"/>
      <c r="L3622" s="12"/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</row>
    <row r="3623" ht="22.5" customHeight="1">
      <c r="A3623" s="12"/>
      <c r="B3623" s="12"/>
      <c r="C3623" s="12"/>
      <c r="D3623" s="12"/>
      <c r="E3623" s="12"/>
      <c r="F3623" s="12"/>
      <c r="G3623" s="12"/>
      <c r="H3623" s="13"/>
      <c r="I3623" s="14"/>
      <c r="J3623" s="13"/>
      <c r="K3623" s="13"/>
      <c r="L3623" s="12"/>
      <c r="M3623" s="10"/>
      <c r="N3623" s="10"/>
      <c r="O3623" s="10"/>
      <c r="P3623" s="10"/>
      <c r="Q3623" s="10"/>
      <c r="R3623" s="10"/>
      <c r="S3623" s="10"/>
      <c r="T3623" s="10"/>
      <c r="U3623" s="10"/>
      <c r="V3623" s="10"/>
    </row>
    <row r="3624" ht="22.5" customHeight="1">
      <c r="A3624" s="12"/>
      <c r="B3624" s="12"/>
      <c r="C3624" s="12"/>
      <c r="D3624" s="12"/>
      <c r="E3624" s="12"/>
      <c r="F3624" s="12"/>
      <c r="G3624" s="12"/>
      <c r="H3624" s="13"/>
      <c r="I3624" s="14"/>
      <c r="J3624" s="13"/>
      <c r="K3624" s="13"/>
      <c r="L3624" s="12"/>
      <c r="M3624" s="10"/>
      <c r="N3624" s="10"/>
      <c r="O3624" s="10"/>
      <c r="P3624" s="10"/>
      <c r="Q3624" s="10"/>
      <c r="R3624" s="10"/>
      <c r="S3624" s="10"/>
      <c r="T3624" s="10"/>
      <c r="U3624" s="10"/>
      <c r="V3624" s="10"/>
    </row>
    <row r="3625" ht="22.5" customHeight="1">
      <c r="A3625" s="12"/>
      <c r="B3625" s="12"/>
      <c r="C3625" s="12"/>
      <c r="D3625" s="12"/>
      <c r="E3625" s="12"/>
      <c r="F3625" s="12"/>
      <c r="G3625" s="12"/>
      <c r="H3625" s="13"/>
      <c r="I3625" s="14"/>
      <c r="J3625" s="13"/>
      <c r="K3625" s="13"/>
      <c r="L3625" s="12"/>
      <c r="M3625" s="10"/>
      <c r="N3625" s="10"/>
      <c r="O3625" s="10"/>
      <c r="P3625" s="10"/>
      <c r="Q3625" s="10"/>
      <c r="R3625" s="10"/>
      <c r="S3625" s="10"/>
      <c r="T3625" s="10"/>
      <c r="U3625" s="10"/>
      <c r="V3625" s="10"/>
    </row>
    <row r="3626" ht="22.5" customHeight="1">
      <c r="A3626" s="12"/>
      <c r="B3626" s="12"/>
      <c r="C3626" s="12"/>
      <c r="D3626" s="12"/>
      <c r="E3626" s="12"/>
      <c r="F3626" s="12"/>
      <c r="G3626" s="12"/>
      <c r="H3626" s="13"/>
      <c r="I3626" s="14"/>
      <c r="J3626" s="13"/>
      <c r="K3626" s="13"/>
      <c r="L3626" s="12"/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</row>
    <row r="3627" ht="22.5" customHeight="1">
      <c r="A3627" s="12"/>
      <c r="B3627" s="12"/>
      <c r="C3627" s="12"/>
      <c r="D3627" s="12"/>
      <c r="E3627" s="12"/>
      <c r="F3627" s="12"/>
      <c r="G3627" s="12"/>
      <c r="H3627" s="13"/>
      <c r="I3627" s="14"/>
      <c r="J3627" s="13"/>
      <c r="K3627" s="13"/>
      <c r="L3627" s="12"/>
      <c r="M3627" s="10"/>
      <c r="N3627" s="10"/>
      <c r="O3627" s="10"/>
      <c r="P3627" s="10"/>
      <c r="Q3627" s="10"/>
      <c r="R3627" s="10"/>
      <c r="S3627" s="10"/>
      <c r="T3627" s="10"/>
      <c r="U3627" s="10"/>
      <c r="V3627" s="10"/>
    </row>
    <row r="3628" ht="22.5" customHeight="1">
      <c r="A3628" s="12"/>
      <c r="B3628" s="12"/>
      <c r="C3628" s="12"/>
      <c r="D3628" s="12"/>
      <c r="E3628" s="12"/>
      <c r="F3628" s="12"/>
      <c r="G3628" s="12"/>
      <c r="H3628" s="13"/>
      <c r="I3628" s="14"/>
      <c r="J3628" s="13"/>
      <c r="K3628" s="13"/>
      <c r="L3628" s="12"/>
      <c r="M3628" s="10"/>
      <c r="N3628" s="10"/>
      <c r="O3628" s="10"/>
      <c r="P3628" s="10"/>
      <c r="Q3628" s="10"/>
      <c r="R3628" s="10"/>
      <c r="S3628" s="10"/>
      <c r="T3628" s="10"/>
      <c r="U3628" s="10"/>
      <c r="V3628" s="10"/>
    </row>
    <row r="3629" ht="22.5" customHeight="1">
      <c r="A3629" s="12"/>
      <c r="B3629" s="12"/>
      <c r="C3629" s="12"/>
      <c r="D3629" s="12"/>
      <c r="E3629" s="12"/>
      <c r="F3629" s="12"/>
      <c r="G3629" s="12"/>
      <c r="H3629" s="13"/>
      <c r="I3629" s="14"/>
      <c r="J3629" s="13"/>
      <c r="K3629" s="13"/>
      <c r="L3629" s="12"/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</row>
    <row r="3630" ht="22.5" customHeight="1">
      <c r="A3630" s="12"/>
      <c r="B3630" s="12"/>
      <c r="C3630" s="12"/>
      <c r="D3630" s="12"/>
      <c r="E3630" s="12"/>
      <c r="F3630" s="12"/>
      <c r="G3630" s="12"/>
      <c r="H3630" s="13"/>
      <c r="I3630" s="14"/>
      <c r="J3630" s="13"/>
      <c r="K3630" s="13"/>
      <c r="L3630" s="12"/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</row>
    <row r="3631" ht="22.5" customHeight="1">
      <c r="A3631" s="12"/>
      <c r="B3631" s="12"/>
      <c r="C3631" s="12"/>
      <c r="D3631" s="12"/>
      <c r="E3631" s="12"/>
      <c r="F3631" s="12"/>
      <c r="G3631" s="12"/>
      <c r="H3631" s="13"/>
      <c r="I3631" s="14"/>
      <c r="J3631" s="13"/>
      <c r="K3631" s="13"/>
      <c r="L3631" s="12"/>
      <c r="M3631" s="10"/>
      <c r="N3631" s="10"/>
      <c r="O3631" s="10"/>
      <c r="P3631" s="10"/>
      <c r="Q3631" s="10"/>
      <c r="R3631" s="10"/>
      <c r="S3631" s="10"/>
      <c r="T3631" s="10"/>
      <c r="U3631" s="10"/>
      <c r="V3631" s="10"/>
    </row>
    <row r="3632" ht="22.5" customHeight="1">
      <c r="A3632" s="12"/>
      <c r="B3632" s="12"/>
      <c r="C3632" s="12"/>
      <c r="D3632" s="12"/>
      <c r="E3632" s="12"/>
      <c r="F3632" s="12"/>
      <c r="G3632" s="12"/>
      <c r="H3632" s="13"/>
      <c r="I3632" s="14"/>
      <c r="J3632" s="13"/>
      <c r="K3632" s="13"/>
      <c r="L3632" s="12"/>
      <c r="M3632" s="10"/>
      <c r="N3632" s="10"/>
      <c r="O3632" s="10"/>
      <c r="P3632" s="10"/>
      <c r="Q3632" s="10"/>
      <c r="R3632" s="10"/>
      <c r="S3632" s="10"/>
      <c r="T3632" s="10"/>
      <c r="U3632" s="10"/>
      <c r="V3632" s="10"/>
    </row>
    <row r="3633" ht="22.5" customHeight="1">
      <c r="A3633" s="12"/>
      <c r="B3633" s="12"/>
      <c r="C3633" s="12"/>
      <c r="D3633" s="12"/>
      <c r="E3633" s="12"/>
      <c r="F3633" s="12"/>
      <c r="G3633" s="12"/>
      <c r="H3633" s="13"/>
      <c r="I3633" s="14"/>
      <c r="J3633" s="13"/>
      <c r="K3633" s="13"/>
      <c r="L3633" s="12"/>
      <c r="M3633" s="10"/>
      <c r="N3633" s="10"/>
      <c r="O3633" s="10"/>
      <c r="P3633" s="10"/>
      <c r="Q3633" s="10"/>
      <c r="R3633" s="10"/>
      <c r="S3633" s="10"/>
      <c r="T3633" s="10"/>
      <c r="U3633" s="10"/>
      <c r="V3633" s="10"/>
    </row>
    <row r="3634" ht="22.5" customHeight="1">
      <c r="A3634" s="12"/>
      <c r="B3634" s="12"/>
      <c r="C3634" s="12"/>
      <c r="D3634" s="12"/>
      <c r="E3634" s="12"/>
      <c r="F3634" s="12"/>
      <c r="G3634" s="12"/>
      <c r="H3634" s="13"/>
      <c r="I3634" s="14"/>
      <c r="J3634" s="13"/>
      <c r="K3634" s="13"/>
      <c r="L3634" s="12"/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</row>
    <row r="3635" ht="22.5" customHeight="1">
      <c r="A3635" s="12"/>
      <c r="B3635" s="12"/>
      <c r="C3635" s="12"/>
      <c r="D3635" s="12"/>
      <c r="E3635" s="12"/>
      <c r="F3635" s="12"/>
      <c r="G3635" s="12"/>
      <c r="H3635" s="13"/>
      <c r="I3635" s="14"/>
      <c r="J3635" s="13"/>
      <c r="K3635" s="13"/>
      <c r="L3635" s="12"/>
      <c r="M3635" s="10"/>
      <c r="N3635" s="10"/>
      <c r="O3635" s="10"/>
      <c r="P3635" s="10"/>
      <c r="Q3635" s="10"/>
      <c r="R3635" s="10"/>
      <c r="S3635" s="10"/>
      <c r="T3635" s="10"/>
      <c r="U3635" s="10"/>
      <c r="V3635" s="10"/>
    </row>
    <row r="3636" ht="22.5" customHeight="1">
      <c r="A3636" s="12"/>
      <c r="B3636" s="12"/>
      <c r="C3636" s="12"/>
      <c r="D3636" s="12"/>
      <c r="E3636" s="12"/>
      <c r="F3636" s="12"/>
      <c r="G3636" s="12"/>
      <c r="H3636" s="13"/>
      <c r="I3636" s="14"/>
      <c r="J3636" s="13"/>
      <c r="K3636" s="13"/>
      <c r="L3636" s="12"/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</row>
    <row r="3637" ht="22.5" customHeight="1">
      <c r="H3637" s="15"/>
      <c r="I3637" s="16"/>
      <c r="J3637" s="15"/>
      <c r="K3637" s="15"/>
    </row>
    <row r="3638" ht="22.5" customHeight="1">
      <c r="H3638" s="15"/>
      <c r="I3638" s="16"/>
      <c r="J3638" s="15"/>
      <c r="K3638" s="15"/>
    </row>
    <row r="3639" ht="22.5" customHeight="1">
      <c r="H3639" s="15"/>
      <c r="I3639" s="16"/>
      <c r="J3639" s="15"/>
      <c r="K3639" s="15"/>
    </row>
    <row r="3640" ht="22.5" customHeight="1">
      <c r="H3640" s="15"/>
      <c r="I3640" s="16"/>
      <c r="J3640" s="15"/>
      <c r="K3640" s="15"/>
    </row>
    <row r="3641" ht="22.5" customHeight="1">
      <c r="H3641" s="15"/>
      <c r="I3641" s="16"/>
      <c r="J3641" s="15"/>
      <c r="K3641" s="15"/>
    </row>
    <row r="3642" ht="22.5" customHeight="1">
      <c r="H3642" s="15"/>
      <c r="I3642" s="16"/>
      <c r="J3642" s="15"/>
      <c r="K3642" s="15"/>
    </row>
    <row r="3643" ht="22.5" customHeight="1">
      <c r="H3643" s="15"/>
      <c r="I3643" s="16"/>
      <c r="J3643" s="15"/>
      <c r="K3643" s="15"/>
    </row>
    <row r="3644" ht="22.5" customHeight="1">
      <c r="H3644" s="15"/>
      <c r="I3644" s="16"/>
      <c r="J3644" s="15"/>
      <c r="K3644" s="15"/>
    </row>
    <row r="3645" ht="22.5" customHeight="1">
      <c r="H3645" s="15"/>
      <c r="I3645" s="16"/>
      <c r="J3645" s="15"/>
      <c r="K3645" s="15"/>
    </row>
    <row r="3646" ht="22.5" customHeight="1">
      <c r="H3646" s="15"/>
      <c r="I3646" s="16"/>
      <c r="J3646" s="15"/>
      <c r="K3646" s="15"/>
    </row>
    <row r="3647" ht="22.5" customHeight="1">
      <c r="H3647" s="15"/>
      <c r="I3647" s="16"/>
      <c r="J3647" s="15"/>
      <c r="K3647" s="15"/>
    </row>
    <row r="3648" ht="22.5" customHeight="1">
      <c r="H3648" s="15"/>
      <c r="I3648" s="16"/>
      <c r="J3648" s="15"/>
      <c r="K3648" s="15"/>
    </row>
    <row r="3649" ht="22.5" customHeight="1">
      <c r="H3649" s="15"/>
      <c r="I3649" s="16"/>
      <c r="J3649" s="15"/>
      <c r="K3649" s="15"/>
    </row>
    <row r="3650" ht="22.5" customHeight="1">
      <c r="H3650" s="15"/>
      <c r="I3650" s="16"/>
      <c r="J3650" s="15"/>
      <c r="K3650" s="15"/>
    </row>
    <row r="3651" ht="22.5" customHeight="1">
      <c r="H3651" s="15"/>
      <c r="I3651" s="16"/>
      <c r="J3651" s="15"/>
      <c r="K3651" s="15"/>
    </row>
    <row r="3652" ht="22.5" customHeight="1">
      <c r="H3652" s="15"/>
      <c r="I3652" s="16"/>
      <c r="J3652" s="15"/>
      <c r="K3652" s="15"/>
    </row>
    <row r="3653" ht="22.5" customHeight="1">
      <c r="H3653" s="15"/>
      <c r="I3653" s="16"/>
      <c r="J3653" s="15"/>
      <c r="K3653" s="15"/>
    </row>
    <row r="3654" ht="22.5" customHeight="1">
      <c r="H3654" s="15"/>
      <c r="I3654" s="16"/>
      <c r="J3654" s="15"/>
      <c r="K3654" s="15"/>
    </row>
    <row r="3655" ht="22.5" customHeight="1">
      <c r="H3655" s="15"/>
      <c r="I3655" s="16"/>
      <c r="J3655" s="15"/>
      <c r="K3655" s="15"/>
    </row>
    <row r="3656" ht="22.5" customHeight="1">
      <c r="H3656" s="15"/>
      <c r="I3656" s="16"/>
      <c r="J3656" s="15"/>
      <c r="K3656" s="15"/>
    </row>
    <row r="3657" ht="22.5" customHeight="1">
      <c r="H3657" s="15"/>
      <c r="I3657" s="16"/>
      <c r="J3657" s="15"/>
      <c r="K3657" s="15"/>
    </row>
    <row r="3658" ht="22.5" customHeight="1">
      <c r="H3658" s="15"/>
      <c r="I3658" s="16"/>
      <c r="J3658" s="15"/>
      <c r="K3658" s="15"/>
    </row>
    <row r="3659" ht="22.5" customHeight="1">
      <c r="H3659" s="15"/>
      <c r="I3659" s="16"/>
      <c r="J3659" s="15"/>
      <c r="K3659" s="15"/>
    </row>
    <row r="3660" ht="22.5" customHeight="1">
      <c r="H3660" s="15"/>
      <c r="I3660" s="16"/>
      <c r="J3660" s="15"/>
      <c r="K3660" s="15"/>
    </row>
    <row r="3661" ht="22.5" customHeight="1">
      <c r="H3661" s="15"/>
      <c r="I3661" s="16"/>
      <c r="J3661" s="15"/>
      <c r="K3661" s="15"/>
    </row>
    <row r="3662" ht="22.5" customHeight="1">
      <c r="H3662" s="15"/>
      <c r="I3662" s="16"/>
      <c r="J3662" s="15"/>
      <c r="K3662" s="15"/>
    </row>
    <row r="3663" ht="22.5" customHeight="1">
      <c r="H3663" s="15"/>
      <c r="I3663" s="16"/>
      <c r="J3663" s="15"/>
      <c r="K3663" s="15"/>
    </row>
    <row r="3664" ht="22.5" customHeight="1">
      <c r="H3664" s="15"/>
      <c r="I3664" s="16"/>
      <c r="J3664" s="15"/>
      <c r="K3664" s="15"/>
    </row>
    <row r="3665" ht="22.5" customHeight="1">
      <c r="H3665" s="15"/>
      <c r="I3665" s="16"/>
      <c r="J3665" s="15"/>
      <c r="K3665" s="15"/>
    </row>
    <row r="3666" ht="22.5" customHeight="1">
      <c r="H3666" s="15"/>
      <c r="I3666" s="16"/>
      <c r="J3666" s="15"/>
      <c r="K3666" s="15"/>
    </row>
    <row r="3667" ht="22.5" customHeight="1">
      <c r="H3667" s="15"/>
      <c r="I3667" s="16"/>
      <c r="J3667" s="15"/>
      <c r="K3667" s="15"/>
    </row>
    <row r="3668" ht="22.5" customHeight="1">
      <c r="H3668" s="15"/>
      <c r="I3668" s="16"/>
      <c r="J3668" s="15"/>
      <c r="K3668" s="15"/>
    </row>
    <row r="3669" ht="22.5" customHeight="1">
      <c r="H3669" s="15"/>
      <c r="I3669" s="16"/>
      <c r="J3669" s="15"/>
      <c r="K3669" s="15"/>
    </row>
    <row r="3670" ht="22.5" customHeight="1">
      <c r="H3670" s="15"/>
      <c r="I3670" s="16"/>
      <c r="J3670" s="15"/>
      <c r="K3670" s="15"/>
    </row>
    <row r="3671" ht="22.5" customHeight="1">
      <c r="H3671" s="15"/>
      <c r="I3671" s="16"/>
      <c r="J3671" s="15"/>
      <c r="K3671" s="15"/>
    </row>
    <row r="3672" ht="22.5" customHeight="1">
      <c r="H3672" s="15"/>
      <c r="I3672" s="16"/>
      <c r="J3672" s="15"/>
      <c r="K3672" s="15"/>
    </row>
    <row r="3673" ht="22.5" customHeight="1">
      <c r="H3673" s="15"/>
      <c r="I3673" s="16"/>
      <c r="J3673" s="15"/>
      <c r="K3673" s="15"/>
    </row>
    <row r="3674" ht="22.5" customHeight="1">
      <c r="H3674" s="15"/>
      <c r="I3674" s="16"/>
      <c r="J3674" s="15"/>
      <c r="K3674" s="15"/>
    </row>
    <row r="3675" ht="22.5" customHeight="1">
      <c r="H3675" s="15"/>
      <c r="I3675" s="16"/>
      <c r="J3675" s="15"/>
      <c r="K3675" s="15"/>
    </row>
    <row r="3676" ht="22.5" customHeight="1">
      <c r="H3676" s="15"/>
      <c r="I3676" s="16"/>
      <c r="J3676" s="15"/>
      <c r="K3676" s="15"/>
    </row>
    <row r="3677" ht="22.5" customHeight="1">
      <c r="H3677" s="15"/>
      <c r="I3677" s="16"/>
      <c r="J3677" s="15"/>
      <c r="K3677" s="15"/>
    </row>
    <row r="3678" ht="22.5" customHeight="1">
      <c r="H3678" s="15"/>
      <c r="I3678" s="16"/>
      <c r="J3678" s="15"/>
      <c r="K3678" s="15"/>
    </row>
    <row r="3679" ht="22.5" customHeight="1">
      <c r="H3679" s="15"/>
      <c r="I3679" s="16"/>
      <c r="J3679" s="15"/>
      <c r="K3679" s="15"/>
    </row>
    <row r="3680" ht="22.5" customHeight="1">
      <c r="H3680" s="15"/>
      <c r="I3680" s="16"/>
      <c r="J3680" s="15"/>
      <c r="K3680" s="15"/>
    </row>
    <row r="3681" ht="22.5" customHeight="1">
      <c r="H3681" s="15"/>
      <c r="I3681" s="16"/>
      <c r="J3681" s="15"/>
      <c r="K3681" s="15"/>
    </row>
    <row r="3682" ht="22.5" customHeight="1">
      <c r="H3682" s="15"/>
      <c r="I3682" s="16"/>
      <c r="J3682" s="15"/>
      <c r="K3682" s="15"/>
    </row>
    <row r="3683" ht="22.5" customHeight="1">
      <c r="H3683" s="15"/>
      <c r="I3683" s="16"/>
      <c r="J3683" s="15"/>
      <c r="K3683" s="15"/>
    </row>
    <row r="3684" ht="22.5" customHeight="1">
      <c r="H3684" s="15"/>
      <c r="I3684" s="16"/>
      <c r="J3684" s="15"/>
      <c r="K3684" s="15"/>
    </row>
    <row r="3685" ht="22.5" customHeight="1">
      <c r="H3685" s="15"/>
      <c r="I3685" s="16"/>
      <c r="J3685" s="15"/>
      <c r="K3685" s="15"/>
    </row>
    <row r="3686" ht="22.5" customHeight="1">
      <c r="H3686" s="15"/>
      <c r="I3686" s="16"/>
      <c r="J3686" s="15"/>
      <c r="K3686" s="15"/>
    </row>
    <row r="3687" ht="22.5" customHeight="1">
      <c r="H3687" s="15"/>
      <c r="I3687" s="16"/>
      <c r="J3687" s="15"/>
      <c r="K3687" s="15"/>
    </row>
    <row r="3688" ht="22.5" customHeight="1">
      <c r="H3688" s="15"/>
      <c r="I3688" s="16"/>
      <c r="J3688" s="15"/>
      <c r="K3688" s="15"/>
    </row>
    <row r="3689" ht="22.5" customHeight="1">
      <c r="H3689" s="15"/>
      <c r="I3689" s="16"/>
      <c r="J3689" s="15"/>
      <c r="K3689" s="15"/>
    </row>
    <row r="3690" ht="22.5" customHeight="1">
      <c r="H3690" s="15"/>
      <c r="I3690" s="16"/>
      <c r="J3690" s="15"/>
      <c r="K3690" s="15"/>
    </row>
    <row r="3691" ht="22.5" customHeight="1">
      <c r="H3691" s="15"/>
      <c r="I3691" s="16"/>
      <c r="J3691" s="15"/>
      <c r="K3691" s="15"/>
    </row>
    <row r="3692" ht="22.5" customHeight="1">
      <c r="H3692" s="15"/>
      <c r="I3692" s="16"/>
      <c r="J3692" s="15"/>
      <c r="K3692" s="15"/>
    </row>
    <row r="3693" ht="22.5" customHeight="1">
      <c r="H3693" s="15"/>
      <c r="I3693" s="16"/>
      <c r="J3693" s="15"/>
      <c r="K3693" s="15"/>
    </row>
    <row r="3694" ht="22.5" customHeight="1">
      <c r="H3694" s="15"/>
      <c r="I3694" s="16"/>
      <c r="J3694" s="15"/>
      <c r="K3694" s="15"/>
    </row>
    <row r="3695" ht="22.5" customHeight="1">
      <c r="H3695" s="15"/>
      <c r="I3695" s="16"/>
      <c r="J3695" s="15"/>
      <c r="K3695" s="15"/>
    </row>
    <row r="3696" ht="22.5" customHeight="1">
      <c r="H3696" s="15"/>
      <c r="I3696" s="16"/>
      <c r="J3696" s="15"/>
      <c r="K3696" s="15"/>
    </row>
    <row r="3697" ht="22.5" customHeight="1">
      <c r="H3697" s="15"/>
      <c r="I3697" s="16"/>
      <c r="J3697" s="15"/>
      <c r="K3697" s="15"/>
    </row>
    <row r="3698" ht="22.5" customHeight="1">
      <c r="H3698" s="15"/>
      <c r="I3698" s="16"/>
      <c r="J3698" s="15"/>
      <c r="K3698" s="15"/>
    </row>
    <row r="3699" ht="22.5" customHeight="1">
      <c r="H3699" s="15"/>
      <c r="I3699" s="16"/>
      <c r="J3699" s="15"/>
      <c r="K3699" s="15"/>
    </row>
    <row r="3700" ht="22.5" customHeight="1">
      <c r="H3700" s="15"/>
      <c r="I3700" s="16"/>
      <c r="J3700" s="15"/>
      <c r="K3700" s="15"/>
    </row>
    <row r="3701" ht="22.5" customHeight="1">
      <c r="H3701" s="15"/>
      <c r="I3701" s="16"/>
      <c r="J3701" s="15"/>
      <c r="K3701" s="15"/>
    </row>
    <row r="3702" ht="22.5" customHeight="1">
      <c r="H3702" s="15"/>
      <c r="I3702" s="16"/>
      <c r="J3702" s="15"/>
      <c r="K3702" s="15"/>
    </row>
    <row r="3703" ht="22.5" customHeight="1">
      <c r="H3703" s="15"/>
      <c r="I3703" s="16"/>
      <c r="J3703" s="15"/>
      <c r="K3703" s="15"/>
    </row>
    <row r="3704" ht="22.5" customHeight="1">
      <c r="H3704" s="15"/>
      <c r="I3704" s="16"/>
      <c r="J3704" s="15"/>
      <c r="K3704" s="15"/>
    </row>
    <row r="3705" ht="22.5" customHeight="1">
      <c r="H3705" s="15"/>
      <c r="I3705" s="16"/>
      <c r="J3705" s="15"/>
      <c r="K3705" s="15"/>
    </row>
    <row r="3706" ht="22.5" customHeight="1">
      <c r="H3706" s="15"/>
      <c r="I3706" s="16"/>
      <c r="J3706" s="15"/>
      <c r="K3706" s="15"/>
    </row>
    <row r="3707" ht="22.5" customHeight="1">
      <c r="H3707" s="15"/>
      <c r="I3707" s="16"/>
      <c r="J3707" s="15"/>
      <c r="K3707" s="15"/>
    </row>
    <row r="3708" ht="22.5" customHeight="1">
      <c r="H3708" s="15"/>
      <c r="I3708" s="16"/>
      <c r="J3708" s="15"/>
      <c r="K3708" s="15"/>
    </row>
    <row r="3709" ht="22.5" customHeight="1">
      <c r="H3709" s="15"/>
      <c r="I3709" s="16"/>
      <c r="J3709" s="15"/>
      <c r="K3709" s="15"/>
    </row>
    <row r="3710" ht="22.5" customHeight="1">
      <c r="H3710" s="15"/>
      <c r="I3710" s="16"/>
      <c r="J3710" s="15"/>
      <c r="K3710" s="15"/>
    </row>
    <row r="3711" ht="22.5" customHeight="1">
      <c r="H3711" s="15"/>
      <c r="I3711" s="16"/>
      <c r="J3711" s="15"/>
      <c r="K3711" s="15"/>
    </row>
    <row r="3712" ht="22.5" customHeight="1">
      <c r="H3712" s="15"/>
      <c r="I3712" s="16"/>
      <c r="J3712" s="15"/>
      <c r="K3712" s="15"/>
    </row>
    <row r="3713" ht="22.5" customHeight="1">
      <c r="H3713" s="15"/>
      <c r="I3713" s="16"/>
      <c r="J3713" s="15"/>
      <c r="K3713" s="15"/>
    </row>
    <row r="3714" ht="22.5" customHeight="1">
      <c r="H3714" s="15"/>
      <c r="I3714" s="16"/>
      <c r="J3714" s="15"/>
      <c r="K3714" s="15"/>
    </row>
    <row r="3715" ht="22.5" customHeight="1">
      <c r="H3715" s="15"/>
      <c r="I3715" s="16"/>
      <c r="J3715" s="15"/>
      <c r="K3715" s="15"/>
    </row>
    <row r="3716" ht="22.5" customHeight="1">
      <c r="H3716" s="15"/>
      <c r="I3716" s="16"/>
      <c r="J3716" s="15"/>
      <c r="K3716" s="15"/>
    </row>
    <row r="3717" ht="22.5" customHeight="1">
      <c r="H3717" s="15"/>
      <c r="I3717" s="16"/>
      <c r="J3717" s="15"/>
      <c r="K3717" s="15"/>
    </row>
    <row r="3718" ht="22.5" customHeight="1">
      <c r="H3718" s="15"/>
      <c r="I3718" s="16"/>
      <c r="J3718" s="15"/>
      <c r="K3718" s="15"/>
    </row>
    <row r="3719" ht="22.5" customHeight="1">
      <c r="H3719" s="15"/>
      <c r="I3719" s="16"/>
      <c r="J3719" s="15"/>
      <c r="K3719" s="15"/>
    </row>
    <row r="3720" ht="22.5" customHeight="1">
      <c r="H3720" s="15"/>
      <c r="I3720" s="16"/>
      <c r="J3720" s="15"/>
      <c r="K3720" s="15"/>
    </row>
    <row r="3721" ht="22.5" customHeight="1">
      <c r="H3721" s="15"/>
      <c r="I3721" s="16"/>
      <c r="J3721" s="15"/>
      <c r="K3721" s="15"/>
    </row>
    <row r="3722" ht="22.5" customHeight="1">
      <c r="H3722" s="15"/>
      <c r="I3722" s="16"/>
      <c r="J3722" s="15"/>
      <c r="K3722" s="15"/>
    </row>
    <row r="3723" ht="22.5" customHeight="1">
      <c r="H3723" s="15"/>
      <c r="I3723" s="16"/>
      <c r="J3723" s="15"/>
      <c r="K3723" s="15"/>
    </row>
    <row r="3724" ht="22.5" customHeight="1">
      <c r="H3724" s="15"/>
      <c r="I3724" s="16"/>
      <c r="J3724" s="15"/>
      <c r="K3724" s="15"/>
    </row>
    <row r="3725" ht="22.5" customHeight="1">
      <c r="H3725" s="15"/>
      <c r="I3725" s="16"/>
      <c r="J3725" s="15"/>
      <c r="K3725" s="15"/>
    </row>
    <row r="3726" ht="22.5" customHeight="1">
      <c r="H3726" s="15"/>
      <c r="I3726" s="16"/>
      <c r="J3726" s="15"/>
      <c r="K3726" s="15"/>
    </row>
    <row r="3727" ht="22.5" customHeight="1">
      <c r="H3727" s="15"/>
      <c r="I3727" s="16"/>
      <c r="J3727" s="15"/>
      <c r="K3727" s="15"/>
    </row>
    <row r="3728" ht="22.5" customHeight="1">
      <c r="H3728" s="15"/>
      <c r="I3728" s="16"/>
      <c r="J3728" s="15"/>
      <c r="K3728" s="15"/>
    </row>
    <row r="3729" ht="22.5" customHeight="1">
      <c r="H3729" s="15"/>
      <c r="I3729" s="16"/>
      <c r="J3729" s="15"/>
      <c r="K3729" s="15"/>
    </row>
    <row r="3730" ht="22.5" customHeight="1">
      <c r="H3730" s="15"/>
      <c r="I3730" s="16"/>
      <c r="J3730" s="15"/>
      <c r="K3730" s="15"/>
    </row>
    <row r="3731" ht="22.5" customHeight="1">
      <c r="H3731" s="15"/>
      <c r="I3731" s="16"/>
      <c r="J3731" s="15"/>
      <c r="K3731" s="15"/>
    </row>
    <row r="3732" ht="22.5" customHeight="1">
      <c r="H3732" s="15"/>
      <c r="I3732" s="16"/>
      <c r="J3732" s="15"/>
      <c r="K3732" s="15"/>
    </row>
    <row r="3733" ht="22.5" customHeight="1">
      <c r="H3733" s="15"/>
      <c r="I3733" s="16"/>
      <c r="J3733" s="15"/>
      <c r="K3733" s="15"/>
    </row>
    <row r="3734" ht="22.5" customHeight="1">
      <c r="H3734" s="15"/>
      <c r="I3734" s="16"/>
      <c r="J3734" s="15"/>
      <c r="K3734" s="15"/>
    </row>
    <row r="3735" ht="22.5" customHeight="1">
      <c r="H3735" s="15"/>
      <c r="I3735" s="16"/>
      <c r="J3735" s="15"/>
      <c r="K3735" s="15"/>
    </row>
    <row r="3736" ht="22.5" customHeight="1">
      <c r="H3736" s="15"/>
      <c r="I3736" s="16"/>
      <c r="J3736" s="15"/>
      <c r="K3736" s="15"/>
    </row>
    <row r="3737" ht="22.5" customHeight="1">
      <c r="H3737" s="15"/>
      <c r="I3737" s="16"/>
      <c r="J3737" s="15"/>
      <c r="K3737" s="15"/>
    </row>
    <row r="3738" ht="22.5" customHeight="1">
      <c r="H3738" s="15"/>
      <c r="I3738" s="16"/>
      <c r="J3738" s="15"/>
      <c r="K3738" s="15"/>
    </row>
    <row r="3739" ht="22.5" customHeight="1">
      <c r="H3739" s="15"/>
      <c r="I3739" s="16"/>
      <c r="J3739" s="15"/>
      <c r="K3739" s="15"/>
    </row>
    <row r="3740" ht="22.5" customHeight="1">
      <c r="H3740" s="15"/>
      <c r="I3740" s="16"/>
      <c r="J3740" s="15"/>
      <c r="K3740" s="15"/>
    </row>
    <row r="3741" ht="22.5" customHeight="1">
      <c r="H3741" s="15"/>
      <c r="I3741" s="16"/>
      <c r="J3741" s="15"/>
      <c r="K3741" s="15"/>
    </row>
    <row r="3742" ht="22.5" customHeight="1">
      <c r="H3742" s="15"/>
      <c r="I3742" s="16"/>
      <c r="J3742" s="15"/>
      <c r="K3742" s="15"/>
    </row>
    <row r="3743" ht="22.5" customHeight="1">
      <c r="H3743" s="15"/>
      <c r="I3743" s="16"/>
      <c r="J3743" s="15"/>
      <c r="K3743" s="15"/>
    </row>
    <row r="3744" ht="22.5" customHeight="1">
      <c r="H3744" s="15"/>
      <c r="I3744" s="16"/>
      <c r="J3744" s="15"/>
      <c r="K3744" s="15"/>
    </row>
    <row r="3745" ht="22.5" customHeight="1">
      <c r="H3745" s="15"/>
      <c r="I3745" s="16"/>
      <c r="J3745" s="15"/>
      <c r="K3745" s="15"/>
    </row>
    <row r="3746" ht="22.5" customHeight="1">
      <c r="H3746" s="15"/>
      <c r="I3746" s="16"/>
      <c r="J3746" s="15"/>
      <c r="K3746" s="15"/>
    </row>
    <row r="3747" ht="22.5" customHeight="1">
      <c r="H3747" s="15"/>
      <c r="I3747" s="16"/>
      <c r="J3747" s="15"/>
      <c r="K3747" s="15"/>
    </row>
    <row r="3748" ht="22.5" customHeight="1">
      <c r="H3748" s="15"/>
      <c r="I3748" s="16"/>
      <c r="J3748" s="15"/>
      <c r="K3748" s="15"/>
    </row>
    <row r="3749" ht="22.5" customHeight="1">
      <c r="H3749" s="15"/>
      <c r="I3749" s="16"/>
      <c r="J3749" s="15"/>
      <c r="K3749" s="15"/>
    </row>
    <row r="3750" ht="22.5" customHeight="1">
      <c r="H3750" s="15"/>
      <c r="I3750" s="16"/>
      <c r="J3750" s="15"/>
      <c r="K3750" s="15"/>
    </row>
    <row r="3751" ht="22.5" customHeight="1">
      <c r="H3751" s="15"/>
      <c r="I3751" s="16"/>
      <c r="J3751" s="15"/>
      <c r="K3751" s="15"/>
    </row>
    <row r="3752" ht="22.5" customHeight="1">
      <c r="H3752" s="15"/>
      <c r="I3752" s="16"/>
      <c r="J3752" s="15"/>
      <c r="K3752" s="15"/>
    </row>
    <row r="3753" ht="22.5" customHeight="1">
      <c r="H3753" s="15"/>
      <c r="I3753" s="16"/>
      <c r="J3753" s="15"/>
      <c r="K3753" s="15"/>
    </row>
    <row r="3754" ht="22.5" customHeight="1">
      <c r="H3754" s="15"/>
      <c r="I3754" s="16"/>
      <c r="J3754" s="15"/>
      <c r="K3754" s="15"/>
    </row>
    <row r="3755" ht="22.5" customHeight="1">
      <c r="H3755" s="15"/>
      <c r="I3755" s="16"/>
      <c r="J3755" s="15"/>
      <c r="K3755" s="15"/>
    </row>
    <row r="3756" ht="22.5" customHeight="1">
      <c r="H3756" s="15"/>
      <c r="I3756" s="16"/>
      <c r="J3756" s="15"/>
      <c r="K3756" s="15"/>
    </row>
    <row r="3757" ht="22.5" customHeight="1">
      <c r="H3757" s="15"/>
      <c r="I3757" s="16"/>
      <c r="J3757" s="15"/>
      <c r="K3757" s="15"/>
    </row>
    <row r="3758" ht="22.5" customHeight="1">
      <c r="H3758" s="15"/>
      <c r="I3758" s="16"/>
      <c r="J3758" s="15"/>
      <c r="K3758" s="15"/>
    </row>
    <row r="3759" ht="22.5" customHeight="1">
      <c r="H3759" s="15"/>
      <c r="I3759" s="16"/>
      <c r="J3759" s="15"/>
      <c r="K3759" s="15"/>
    </row>
    <row r="3760" ht="22.5" customHeight="1">
      <c r="H3760" s="15"/>
      <c r="I3760" s="16"/>
      <c r="J3760" s="15"/>
      <c r="K3760" s="15"/>
    </row>
    <row r="3761" ht="22.5" customHeight="1">
      <c r="H3761" s="15"/>
      <c r="I3761" s="16"/>
      <c r="J3761" s="15"/>
      <c r="K3761" s="15"/>
    </row>
    <row r="3762" ht="22.5" customHeight="1">
      <c r="H3762" s="15"/>
      <c r="I3762" s="16"/>
      <c r="J3762" s="15"/>
      <c r="K3762" s="15"/>
    </row>
    <row r="3763" ht="22.5" customHeight="1">
      <c r="H3763" s="15"/>
      <c r="I3763" s="16"/>
      <c r="J3763" s="15"/>
      <c r="K3763" s="15"/>
    </row>
    <row r="3764" ht="22.5" customHeight="1">
      <c r="H3764" s="15"/>
      <c r="I3764" s="16"/>
      <c r="J3764" s="15"/>
      <c r="K3764" s="15"/>
    </row>
    <row r="3765" ht="22.5" customHeight="1">
      <c r="H3765" s="15"/>
      <c r="I3765" s="16"/>
      <c r="J3765" s="15"/>
      <c r="K3765" s="15"/>
    </row>
    <row r="3766" ht="22.5" customHeight="1">
      <c r="H3766" s="15"/>
      <c r="I3766" s="16"/>
      <c r="J3766" s="15"/>
      <c r="K3766" s="15"/>
    </row>
    <row r="3767" ht="22.5" customHeight="1">
      <c r="H3767" s="15"/>
      <c r="I3767" s="16"/>
      <c r="J3767" s="15"/>
      <c r="K3767" s="15"/>
    </row>
    <row r="3768" ht="22.5" customHeight="1">
      <c r="H3768" s="15"/>
      <c r="I3768" s="16"/>
      <c r="J3768" s="15"/>
      <c r="K3768" s="15"/>
    </row>
    <row r="3769" ht="22.5" customHeight="1">
      <c r="H3769" s="15"/>
      <c r="I3769" s="16"/>
      <c r="J3769" s="15"/>
      <c r="K3769" s="15"/>
    </row>
    <row r="3770" ht="22.5" customHeight="1">
      <c r="H3770" s="15"/>
      <c r="I3770" s="16"/>
      <c r="J3770" s="15"/>
      <c r="K3770" s="15"/>
    </row>
    <row r="3771" ht="22.5" customHeight="1">
      <c r="H3771" s="15"/>
      <c r="I3771" s="16"/>
      <c r="J3771" s="15"/>
      <c r="K3771" s="15"/>
    </row>
    <row r="3772" ht="22.5" customHeight="1">
      <c r="H3772" s="15"/>
      <c r="I3772" s="16"/>
      <c r="J3772" s="15"/>
      <c r="K3772" s="15"/>
    </row>
    <row r="3773" ht="22.5" customHeight="1">
      <c r="H3773" s="15"/>
      <c r="I3773" s="16"/>
      <c r="J3773" s="15"/>
      <c r="K3773" s="15"/>
    </row>
    <row r="3774" ht="22.5" customHeight="1">
      <c r="H3774" s="15"/>
      <c r="I3774" s="16"/>
      <c r="J3774" s="15"/>
      <c r="K3774" s="15"/>
    </row>
    <row r="3775" ht="22.5" customHeight="1">
      <c r="H3775" s="15"/>
      <c r="I3775" s="16"/>
      <c r="J3775" s="15"/>
      <c r="K3775" s="15"/>
    </row>
    <row r="3776" ht="22.5" customHeight="1">
      <c r="H3776" s="15"/>
      <c r="I3776" s="16"/>
      <c r="J3776" s="15"/>
      <c r="K3776" s="15"/>
    </row>
    <row r="3777" ht="22.5" customHeight="1">
      <c r="H3777" s="15"/>
      <c r="I3777" s="16"/>
      <c r="J3777" s="15"/>
      <c r="K3777" s="15"/>
    </row>
    <row r="3778" ht="22.5" customHeight="1">
      <c r="H3778" s="15"/>
      <c r="I3778" s="16"/>
      <c r="J3778" s="15"/>
      <c r="K3778" s="15"/>
    </row>
    <row r="3779" ht="22.5" customHeight="1">
      <c r="H3779" s="15"/>
      <c r="I3779" s="16"/>
      <c r="J3779" s="15"/>
      <c r="K3779" s="15"/>
    </row>
    <row r="3780" ht="22.5" customHeight="1">
      <c r="H3780" s="15"/>
      <c r="I3780" s="16"/>
      <c r="J3780" s="15"/>
      <c r="K3780" s="15"/>
    </row>
    <row r="3781" ht="22.5" customHeight="1">
      <c r="H3781" s="15"/>
      <c r="I3781" s="16"/>
      <c r="J3781" s="15"/>
      <c r="K3781" s="15"/>
    </row>
    <row r="3782" ht="22.5" customHeight="1">
      <c r="H3782" s="15"/>
      <c r="I3782" s="16"/>
      <c r="J3782" s="15"/>
      <c r="K3782" s="15"/>
    </row>
    <row r="3783" ht="22.5" customHeight="1">
      <c r="H3783" s="15"/>
      <c r="I3783" s="16"/>
      <c r="J3783" s="15"/>
      <c r="K3783" s="15"/>
    </row>
    <row r="3784" ht="22.5" customHeight="1">
      <c r="H3784" s="15"/>
      <c r="I3784" s="16"/>
      <c r="J3784" s="15"/>
      <c r="K3784" s="15"/>
    </row>
    <row r="3785" ht="22.5" customHeight="1">
      <c r="H3785" s="15"/>
      <c r="I3785" s="16"/>
      <c r="J3785" s="15"/>
      <c r="K3785" s="15"/>
    </row>
    <row r="3786" ht="22.5" customHeight="1">
      <c r="H3786" s="15"/>
      <c r="I3786" s="16"/>
      <c r="J3786" s="15"/>
      <c r="K3786" s="15"/>
    </row>
    <row r="3787" ht="22.5" customHeight="1">
      <c r="H3787" s="15"/>
      <c r="I3787" s="16"/>
      <c r="J3787" s="15"/>
      <c r="K3787" s="15"/>
    </row>
    <row r="3788" ht="22.5" customHeight="1">
      <c r="H3788" s="15"/>
      <c r="I3788" s="16"/>
      <c r="J3788" s="15"/>
      <c r="K3788" s="15"/>
    </row>
    <row r="3789" ht="22.5" customHeight="1">
      <c r="H3789" s="15"/>
      <c r="I3789" s="16"/>
      <c r="J3789" s="15"/>
      <c r="K3789" s="15"/>
    </row>
    <row r="3790" ht="22.5" customHeight="1">
      <c r="H3790" s="15"/>
      <c r="I3790" s="16"/>
      <c r="J3790" s="15"/>
      <c r="K3790" s="15"/>
    </row>
    <row r="3791" ht="22.5" customHeight="1">
      <c r="H3791" s="15"/>
      <c r="I3791" s="16"/>
      <c r="J3791" s="15"/>
      <c r="K3791" s="15"/>
    </row>
    <row r="3792" ht="22.5" customHeight="1">
      <c r="H3792" s="15"/>
      <c r="I3792" s="16"/>
      <c r="J3792" s="15"/>
      <c r="K3792" s="15"/>
    </row>
    <row r="3793" ht="22.5" customHeight="1">
      <c r="H3793" s="15"/>
      <c r="I3793" s="16"/>
      <c r="J3793" s="15"/>
      <c r="K3793" s="15"/>
    </row>
    <row r="3794" ht="22.5" customHeight="1">
      <c r="H3794" s="15"/>
      <c r="I3794" s="16"/>
      <c r="J3794" s="15"/>
      <c r="K3794" s="15"/>
    </row>
    <row r="3795" ht="22.5" customHeight="1">
      <c r="H3795" s="15"/>
      <c r="I3795" s="16"/>
      <c r="J3795" s="15"/>
      <c r="K3795" s="15"/>
    </row>
    <row r="3796" ht="22.5" customHeight="1">
      <c r="H3796" s="15"/>
      <c r="I3796" s="16"/>
      <c r="J3796" s="15"/>
      <c r="K3796" s="15"/>
    </row>
    <row r="3797" ht="22.5" customHeight="1">
      <c r="H3797" s="15"/>
      <c r="I3797" s="16"/>
      <c r="J3797" s="15"/>
      <c r="K3797" s="15"/>
    </row>
    <row r="3798" ht="22.5" customHeight="1">
      <c r="H3798" s="15"/>
      <c r="I3798" s="16"/>
      <c r="J3798" s="15"/>
      <c r="K3798" s="15"/>
    </row>
    <row r="3799" ht="22.5" customHeight="1">
      <c r="H3799" s="15"/>
      <c r="I3799" s="16"/>
      <c r="J3799" s="15"/>
      <c r="K3799" s="15"/>
    </row>
    <row r="3800" ht="22.5" customHeight="1">
      <c r="H3800" s="15"/>
      <c r="I3800" s="16"/>
      <c r="J3800" s="15"/>
      <c r="K3800" s="15"/>
    </row>
    <row r="3801" ht="22.5" customHeight="1">
      <c r="H3801" s="15"/>
      <c r="I3801" s="16"/>
      <c r="J3801" s="15"/>
      <c r="K3801" s="15"/>
    </row>
    <row r="3802" ht="22.5" customHeight="1">
      <c r="H3802" s="15"/>
      <c r="I3802" s="16"/>
      <c r="J3802" s="15"/>
      <c r="K3802" s="15"/>
    </row>
    <row r="3803" ht="22.5" customHeight="1">
      <c r="H3803" s="15"/>
      <c r="I3803" s="16"/>
      <c r="J3803" s="15"/>
      <c r="K3803" s="15"/>
    </row>
    <row r="3804" ht="22.5" customHeight="1">
      <c r="H3804" s="15"/>
      <c r="I3804" s="16"/>
      <c r="J3804" s="15"/>
      <c r="K3804" s="15"/>
    </row>
    <row r="3805" ht="22.5" customHeight="1">
      <c r="H3805" s="15"/>
      <c r="I3805" s="16"/>
      <c r="J3805" s="15"/>
      <c r="K3805" s="15"/>
    </row>
    <row r="3806" ht="22.5" customHeight="1">
      <c r="H3806" s="15"/>
      <c r="I3806" s="16"/>
      <c r="J3806" s="15"/>
      <c r="K3806" s="15"/>
    </row>
    <row r="3807" ht="22.5" customHeight="1">
      <c r="H3807" s="15"/>
      <c r="I3807" s="16"/>
      <c r="J3807" s="15"/>
      <c r="K3807" s="15"/>
    </row>
    <row r="3808" ht="22.5" customHeight="1">
      <c r="H3808" s="15"/>
      <c r="I3808" s="16"/>
      <c r="J3808" s="15"/>
      <c r="K3808" s="15"/>
    </row>
    <row r="3809" ht="22.5" customHeight="1">
      <c r="H3809" s="15"/>
      <c r="I3809" s="16"/>
      <c r="J3809" s="15"/>
      <c r="K3809" s="15"/>
    </row>
    <row r="3810" ht="22.5" customHeight="1">
      <c r="H3810" s="15"/>
      <c r="I3810" s="16"/>
      <c r="J3810" s="15"/>
      <c r="K3810" s="15"/>
    </row>
    <row r="3811" ht="22.5" customHeight="1">
      <c r="H3811" s="15"/>
      <c r="I3811" s="16"/>
      <c r="J3811" s="15"/>
      <c r="K3811" s="15"/>
    </row>
    <row r="3812" ht="22.5" customHeight="1">
      <c r="H3812" s="15"/>
      <c r="I3812" s="16"/>
      <c r="J3812" s="15"/>
      <c r="K3812" s="15"/>
    </row>
    <row r="3813" ht="22.5" customHeight="1">
      <c r="H3813" s="15"/>
      <c r="I3813" s="16"/>
      <c r="J3813" s="15"/>
      <c r="K3813" s="15"/>
    </row>
    <row r="3814" ht="22.5" customHeight="1">
      <c r="H3814" s="15"/>
      <c r="I3814" s="16"/>
      <c r="J3814" s="15"/>
      <c r="K3814" s="15"/>
    </row>
    <row r="3815" ht="22.5" customHeight="1">
      <c r="H3815" s="15"/>
      <c r="I3815" s="16"/>
      <c r="J3815" s="15"/>
      <c r="K3815" s="15"/>
    </row>
    <row r="3816" ht="22.5" customHeight="1">
      <c r="H3816" s="15"/>
      <c r="I3816" s="16"/>
      <c r="J3816" s="15"/>
      <c r="K3816" s="15"/>
    </row>
    <row r="3817" ht="22.5" customHeight="1">
      <c r="H3817" s="15"/>
      <c r="I3817" s="16"/>
      <c r="J3817" s="15"/>
      <c r="K3817" s="15"/>
    </row>
    <row r="3818" ht="22.5" customHeight="1">
      <c r="H3818" s="15"/>
      <c r="I3818" s="16"/>
      <c r="J3818" s="15"/>
      <c r="K3818" s="15"/>
    </row>
    <row r="3819" ht="22.5" customHeight="1">
      <c r="H3819" s="15"/>
      <c r="I3819" s="16"/>
      <c r="J3819" s="15"/>
      <c r="K3819" s="15"/>
    </row>
    <row r="3820" ht="22.5" customHeight="1">
      <c r="H3820" s="15"/>
      <c r="I3820" s="16"/>
      <c r="J3820" s="15"/>
      <c r="K3820" s="15"/>
    </row>
    <row r="3821" ht="22.5" customHeight="1">
      <c r="H3821" s="15"/>
      <c r="I3821" s="16"/>
      <c r="J3821" s="15"/>
      <c r="K3821" s="15"/>
    </row>
    <row r="3822" ht="22.5" customHeight="1">
      <c r="H3822" s="15"/>
      <c r="I3822" s="16"/>
      <c r="J3822" s="15"/>
      <c r="K3822" s="15"/>
    </row>
    <row r="3823" ht="22.5" customHeight="1">
      <c r="H3823" s="15"/>
      <c r="I3823" s="16"/>
      <c r="J3823" s="15"/>
      <c r="K3823" s="15"/>
    </row>
    <row r="3824" ht="22.5" customHeight="1">
      <c r="H3824" s="15"/>
      <c r="I3824" s="16"/>
      <c r="J3824" s="15"/>
      <c r="K3824" s="15"/>
    </row>
    <row r="3825" ht="22.5" customHeight="1">
      <c r="H3825" s="15"/>
      <c r="I3825" s="16"/>
      <c r="J3825" s="15"/>
      <c r="K3825" s="15"/>
    </row>
    <row r="3826" ht="22.5" customHeight="1">
      <c r="H3826" s="15"/>
      <c r="I3826" s="16"/>
      <c r="J3826" s="15"/>
      <c r="K3826" s="15"/>
    </row>
    <row r="3827" ht="22.5" customHeight="1">
      <c r="H3827" s="15"/>
      <c r="I3827" s="16"/>
      <c r="J3827" s="15"/>
      <c r="K3827" s="15"/>
    </row>
    <row r="3828" ht="22.5" customHeight="1">
      <c r="H3828" s="15"/>
      <c r="I3828" s="16"/>
      <c r="J3828" s="15"/>
      <c r="K3828" s="15"/>
    </row>
    <row r="3829" ht="22.5" customHeight="1">
      <c r="H3829" s="15"/>
      <c r="I3829" s="16"/>
      <c r="J3829" s="15"/>
      <c r="K3829" s="15"/>
    </row>
    <row r="3830" ht="22.5" customHeight="1">
      <c r="H3830" s="15"/>
      <c r="I3830" s="16"/>
      <c r="J3830" s="15"/>
      <c r="K3830" s="15"/>
    </row>
    <row r="3831" ht="22.5" customHeight="1">
      <c r="H3831" s="15"/>
      <c r="I3831" s="16"/>
      <c r="J3831" s="15"/>
      <c r="K3831" s="15"/>
    </row>
    <row r="3832" ht="22.5" customHeight="1">
      <c r="H3832" s="15"/>
      <c r="I3832" s="16"/>
      <c r="J3832" s="15"/>
      <c r="K3832" s="15"/>
    </row>
    <row r="3833" ht="22.5" customHeight="1">
      <c r="H3833" s="15"/>
      <c r="I3833" s="16"/>
      <c r="J3833" s="15"/>
      <c r="K3833" s="15"/>
    </row>
    <row r="3834" ht="22.5" customHeight="1">
      <c r="H3834" s="15"/>
      <c r="I3834" s="16"/>
      <c r="J3834" s="15"/>
      <c r="K3834" s="15"/>
    </row>
    <row r="3835" ht="22.5" customHeight="1">
      <c r="H3835" s="15"/>
      <c r="I3835" s="16"/>
      <c r="J3835" s="15"/>
      <c r="K3835" s="15"/>
    </row>
    <row r="3836" ht="22.5" customHeight="1">
      <c r="H3836" s="15"/>
      <c r="I3836" s="16"/>
      <c r="J3836" s="15"/>
      <c r="K3836" s="15"/>
    </row>
    <row r="3837" ht="22.5" customHeight="1">
      <c r="H3837" s="15"/>
      <c r="I3837" s="16"/>
      <c r="J3837" s="15"/>
      <c r="K3837" s="15"/>
    </row>
    <row r="3838" ht="22.5" customHeight="1">
      <c r="H3838" s="15"/>
      <c r="I3838" s="16"/>
      <c r="J3838" s="15"/>
      <c r="K3838" s="15"/>
    </row>
    <row r="3839" ht="22.5" customHeight="1">
      <c r="H3839" s="15"/>
      <c r="I3839" s="16"/>
      <c r="J3839" s="15"/>
      <c r="K3839" s="15"/>
    </row>
    <row r="3840" ht="22.5" customHeight="1">
      <c r="H3840" s="15"/>
      <c r="I3840" s="16"/>
      <c r="J3840" s="15"/>
      <c r="K3840" s="15"/>
    </row>
    <row r="3841" ht="22.5" customHeight="1">
      <c r="H3841" s="15"/>
      <c r="I3841" s="16"/>
      <c r="J3841" s="15"/>
      <c r="K3841" s="15"/>
    </row>
    <row r="3842" ht="22.5" customHeight="1">
      <c r="H3842" s="15"/>
      <c r="I3842" s="16"/>
      <c r="J3842" s="15"/>
      <c r="K3842" s="15"/>
    </row>
    <row r="3843" ht="22.5" customHeight="1">
      <c r="H3843" s="15"/>
      <c r="I3843" s="16"/>
      <c r="J3843" s="15"/>
      <c r="K3843" s="15"/>
    </row>
    <row r="3844" ht="22.5" customHeight="1">
      <c r="H3844" s="15"/>
      <c r="I3844" s="16"/>
      <c r="J3844" s="15"/>
      <c r="K3844" s="15"/>
    </row>
    <row r="3845" ht="22.5" customHeight="1">
      <c r="H3845" s="15"/>
      <c r="I3845" s="16"/>
      <c r="J3845" s="15"/>
      <c r="K3845" s="15"/>
    </row>
    <row r="3846" ht="22.5" customHeight="1">
      <c r="H3846" s="15"/>
      <c r="I3846" s="16"/>
      <c r="J3846" s="15"/>
      <c r="K3846" s="15"/>
    </row>
    <row r="3847" ht="22.5" customHeight="1">
      <c r="H3847" s="15"/>
      <c r="I3847" s="16"/>
      <c r="J3847" s="15"/>
      <c r="K3847" s="15"/>
    </row>
    <row r="3848" ht="22.5" customHeight="1">
      <c r="H3848" s="15"/>
      <c r="I3848" s="16"/>
      <c r="J3848" s="15"/>
      <c r="K3848" s="15"/>
    </row>
    <row r="3849" ht="22.5" customHeight="1">
      <c r="H3849" s="15"/>
      <c r="I3849" s="16"/>
      <c r="J3849" s="15"/>
      <c r="K3849" s="15"/>
    </row>
    <row r="3850" ht="22.5" customHeight="1">
      <c r="H3850" s="15"/>
      <c r="I3850" s="16"/>
      <c r="J3850" s="15"/>
      <c r="K3850" s="15"/>
    </row>
    <row r="3851" ht="22.5" customHeight="1">
      <c r="H3851" s="15"/>
      <c r="I3851" s="16"/>
      <c r="J3851" s="15"/>
      <c r="K3851" s="15"/>
    </row>
    <row r="3852" ht="22.5" customHeight="1">
      <c r="H3852" s="15"/>
      <c r="I3852" s="16"/>
      <c r="J3852" s="15"/>
      <c r="K3852" s="15"/>
    </row>
    <row r="3853" ht="22.5" customHeight="1">
      <c r="H3853" s="15"/>
      <c r="I3853" s="16"/>
      <c r="J3853" s="15"/>
      <c r="K3853" s="15"/>
    </row>
    <row r="3854" ht="22.5" customHeight="1">
      <c r="H3854" s="15"/>
      <c r="I3854" s="16"/>
      <c r="J3854" s="15"/>
      <c r="K3854" s="15"/>
    </row>
    <row r="3855" ht="22.5" customHeight="1">
      <c r="H3855" s="15"/>
      <c r="I3855" s="16"/>
      <c r="J3855" s="15"/>
      <c r="K3855" s="15"/>
    </row>
    <row r="3856" ht="22.5" customHeight="1">
      <c r="H3856" s="15"/>
      <c r="I3856" s="16"/>
      <c r="J3856" s="15"/>
      <c r="K3856" s="15"/>
    </row>
    <row r="3857" ht="22.5" customHeight="1">
      <c r="H3857" s="15"/>
      <c r="I3857" s="16"/>
      <c r="J3857" s="15"/>
      <c r="K3857" s="15"/>
    </row>
    <row r="3858" ht="22.5" customHeight="1">
      <c r="H3858" s="15"/>
      <c r="I3858" s="16"/>
      <c r="J3858" s="15"/>
      <c r="K3858" s="15"/>
    </row>
    <row r="3859" ht="22.5" customHeight="1">
      <c r="H3859" s="15"/>
      <c r="I3859" s="16"/>
      <c r="J3859" s="15"/>
      <c r="K3859" s="15"/>
    </row>
    <row r="3860" ht="22.5" customHeight="1">
      <c r="H3860" s="15"/>
      <c r="I3860" s="16"/>
      <c r="J3860" s="15"/>
      <c r="K3860" s="15"/>
    </row>
    <row r="3861" ht="22.5" customHeight="1">
      <c r="H3861" s="15"/>
      <c r="I3861" s="16"/>
      <c r="J3861" s="15"/>
      <c r="K3861" s="15"/>
    </row>
    <row r="3862" ht="22.5" customHeight="1">
      <c r="H3862" s="15"/>
      <c r="I3862" s="16"/>
      <c r="J3862" s="15"/>
      <c r="K3862" s="15"/>
    </row>
    <row r="3863" ht="22.5" customHeight="1">
      <c r="H3863" s="15"/>
      <c r="I3863" s="16"/>
      <c r="J3863" s="15"/>
      <c r="K3863" s="15"/>
    </row>
    <row r="3864" ht="22.5" customHeight="1">
      <c r="H3864" s="15"/>
      <c r="I3864" s="16"/>
      <c r="J3864" s="15"/>
      <c r="K3864" s="15"/>
    </row>
    <row r="3865" ht="22.5" customHeight="1">
      <c r="H3865" s="15"/>
      <c r="I3865" s="16"/>
      <c r="J3865" s="15"/>
      <c r="K3865" s="15"/>
    </row>
    <row r="3866" ht="22.5" customHeight="1">
      <c r="H3866" s="15"/>
      <c r="I3866" s="16"/>
      <c r="J3866" s="15"/>
      <c r="K3866" s="15"/>
    </row>
    <row r="3867" ht="22.5" customHeight="1">
      <c r="H3867" s="15"/>
      <c r="I3867" s="16"/>
      <c r="J3867" s="15"/>
      <c r="K3867" s="15"/>
    </row>
    <row r="3868" ht="22.5" customHeight="1">
      <c r="H3868" s="15"/>
      <c r="I3868" s="16"/>
      <c r="J3868" s="15"/>
      <c r="K3868" s="15"/>
    </row>
    <row r="3869" ht="22.5" customHeight="1">
      <c r="H3869" s="15"/>
      <c r="I3869" s="16"/>
      <c r="J3869" s="15"/>
      <c r="K3869" s="15"/>
    </row>
    <row r="3870" ht="22.5" customHeight="1">
      <c r="H3870" s="15"/>
      <c r="I3870" s="16"/>
      <c r="J3870" s="15"/>
      <c r="K3870" s="15"/>
    </row>
    <row r="3871" ht="22.5" customHeight="1">
      <c r="H3871" s="15"/>
      <c r="I3871" s="16"/>
      <c r="J3871" s="15"/>
      <c r="K3871" s="15"/>
    </row>
    <row r="3872" ht="22.5" customHeight="1">
      <c r="H3872" s="15"/>
      <c r="I3872" s="16"/>
      <c r="J3872" s="15"/>
      <c r="K3872" s="15"/>
    </row>
    <row r="3873" ht="22.5" customHeight="1">
      <c r="H3873" s="15"/>
      <c r="I3873" s="16"/>
      <c r="J3873" s="15"/>
      <c r="K3873" s="15"/>
    </row>
    <row r="3874" ht="22.5" customHeight="1">
      <c r="H3874" s="15"/>
      <c r="I3874" s="16"/>
      <c r="J3874" s="15"/>
      <c r="K3874" s="15"/>
    </row>
    <row r="3875" ht="22.5" customHeight="1">
      <c r="H3875" s="15"/>
      <c r="I3875" s="16"/>
      <c r="J3875" s="15"/>
      <c r="K3875" s="15"/>
    </row>
    <row r="3876" ht="22.5" customHeight="1">
      <c r="H3876" s="15"/>
      <c r="I3876" s="16"/>
      <c r="J3876" s="15"/>
      <c r="K3876" s="15"/>
    </row>
    <row r="3877" ht="22.5" customHeight="1">
      <c r="H3877" s="15"/>
      <c r="I3877" s="16"/>
      <c r="J3877" s="15"/>
      <c r="K3877" s="15"/>
    </row>
    <row r="3878" ht="22.5" customHeight="1">
      <c r="H3878" s="15"/>
      <c r="I3878" s="16"/>
      <c r="J3878" s="15"/>
      <c r="K3878" s="15"/>
    </row>
    <row r="3879" ht="22.5" customHeight="1">
      <c r="H3879" s="15"/>
      <c r="I3879" s="16"/>
      <c r="J3879" s="15"/>
      <c r="K3879" s="15"/>
    </row>
    <row r="3880" ht="22.5" customHeight="1">
      <c r="H3880" s="15"/>
      <c r="I3880" s="16"/>
      <c r="J3880" s="15"/>
      <c r="K3880" s="15"/>
    </row>
    <row r="3881" ht="22.5" customHeight="1">
      <c r="H3881" s="15"/>
      <c r="I3881" s="16"/>
      <c r="J3881" s="15"/>
      <c r="K3881" s="15"/>
    </row>
    <row r="3882" ht="22.5" customHeight="1">
      <c r="H3882" s="15"/>
      <c r="I3882" s="16"/>
      <c r="J3882" s="15"/>
      <c r="K3882" s="15"/>
    </row>
    <row r="3883" ht="22.5" customHeight="1">
      <c r="H3883" s="15"/>
      <c r="I3883" s="16"/>
      <c r="J3883" s="15"/>
      <c r="K3883" s="15"/>
    </row>
    <row r="3884" ht="22.5" customHeight="1">
      <c r="H3884" s="15"/>
      <c r="I3884" s="16"/>
      <c r="J3884" s="15"/>
      <c r="K3884" s="15"/>
    </row>
    <row r="3885" ht="22.5" customHeight="1">
      <c r="H3885" s="15"/>
      <c r="I3885" s="16"/>
      <c r="J3885" s="15"/>
      <c r="K3885" s="15"/>
    </row>
    <row r="3886" ht="22.5" customHeight="1">
      <c r="H3886" s="15"/>
      <c r="I3886" s="16"/>
      <c r="J3886" s="15"/>
      <c r="K3886" s="15"/>
    </row>
    <row r="3887" ht="22.5" customHeight="1">
      <c r="H3887" s="15"/>
      <c r="I3887" s="16"/>
      <c r="J3887" s="15"/>
      <c r="K3887" s="15"/>
    </row>
    <row r="3888" ht="22.5" customHeight="1">
      <c r="H3888" s="15"/>
      <c r="I3888" s="16"/>
      <c r="J3888" s="15"/>
      <c r="K3888" s="15"/>
    </row>
    <row r="3889" ht="22.5" customHeight="1">
      <c r="H3889" s="15"/>
      <c r="I3889" s="16"/>
      <c r="J3889" s="15"/>
      <c r="K3889" s="15"/>
    </row>
    <row r="3890" ht="22.5" customHeight="1">
      <c r="H3890" s="15"/>
      <c r="I3890" s="16"/>
      <c r="J3890" s="15"/>
      <c r="K3890" s="15"/>
    </row>
    <row r="3891" ht="22.5" customHeight="1">
      <c r="H3891" s="15"/>
      <c r="I3891" s="16"/>
      <c r="J3891" s="15"/>
      <c r="K3891" s="15"/>
    </row>
    <row r="3892" ht="22.5" customHeight="1">
      <c r="H3892" s="15"/>
      <c r="I3892" s="16"/>
      <c r="J3892" s="15"/>
      <c r="K3892" s="15"/>
    </row>
    <row r="3893" ht="22.5" customHeight="1">
      <c r="H3893" s="15"/>
      <c r="I3893" s="16"/>
      <c r="J3893" s="15"/>
      <c r="K3893" s="15"/>
    </row>
    <row r="3894" ht="22.5" customHeight="1">
      <c r="H3894" s="15"/>
      <c r="I3894" s="16"/>
      <c r="J3894" s="15"/>
      <c r="K3894" s="15"/>
    </row>
    <row r="3895" ht="22.5" customHeight="1">
      <c r="H3895" s="15"/>
      <c r="I3895" s="16"/>
      <c r="J3895" s="15"/>
      <c r="K3895" s="15"/>
    </row>
    <row r="3896" ht="22.5" customHeight="1">
      <c r="H3896" s="15"/>
      <c r="I3896" s="16"/>
      <c r="J3896" s="15"/>
      <c r="K3896" s="15"/>
    </row>
    <row r="3897" ht="22.5" customHeight="1">
      <c r="H3897" s="15"/>
      <c r="I3897" s="16"/>
      <c r="J3897" s="15"/>
      <c r="K3897" s="15"/>
    </row>
    <row r="3898" ht="22.5" customHeight="1">
      <c r="H3898" s="15"/>
      <c r="I3898" s="16"/>
      <c r="J3898" s="15"/>
      <c r="K3898" s="15"/>
    </row>
    <row r="3899" ht="22.5" customHeight="1">
      <c r="H3899" s="15"/>
      <c r="I3899" s="16"/>
      <c r="J3899" s="15"/>
      <c r="K3899" s="15"/>
    </row>
    <row r="3900" ht="22.5" customHeight="1">
      <c r="H3900" s="15"/>
      <c r="I3900" s="16"/>
      <c r="J3900" s="15"/>
      <c r="K3900" s="15"/>
    </row>
    <row r="3901" ht="22.5" customHeight="1">
      <c r="H3901" s="15"/>
      <c r="I3901" s="16"/>
      <c r="J3901" s="15"/>
      <c r="K3901" s="15"/>
    </row>
    <row r="3902" ht="22.5" customHeight="1">
      <c r="H3902" s="15"/>
      <c r="I3902" s="16"/>
      <c r="J3902" s="15"/>
      <c r="K3902" s="15"/>
    </row>
    <row r="3903" ht="22.5" customHeight="1">
      <c r="H3903" s="15"/>
      <c r="I3903" s="16"/>
      <c r="J3903" s="15"/>
      <c r="K3903" s="15"/>
    </row>
    <row r="3904" ht="22.5" customHeight="1">
      <c r="H3904" s="15"/>
      <c r="I3904" s="16"/>
      <c r="J3904" s="15"/>
      <c r="K3904" s="15"/>
    </row>
    <row r="3905" ht="22.5" customHeight="1">
      <c r="H3905" s="15"/>
      <c r="I3905" s="16"/>
      <c r="J3905" s="15"/>
      <c r="K3905" s="15"/>
    </row>
    <row r="3906" ht="22.5" customHeight="1">
      <c r="H3906" s="15"/>
      <c r="I3906" s="16"/>
      <c r="J3906" s="15"/>
      <c r="K3906" s="15"/>
    </row>
    <row r="3907" ht="22.5" customHeight="1">
      <c r="H3907" s="15"/>
      <c r="I3907" s="16"/>
      <c r="J3907" s="15"/>
      <c r="K3907" s="15"/>
    </row>
    <row r="3908" ht="22.5" customHeight="1">
      <c r="H3908" s="15"/>
      <c r="I3908" s="16"/>
      <c r="J3908" s="15"/>
      <c r="K3908" s="15"/>
    </row>
    <row r="3909" ht="22.5" customHeight="1">
      <c r="H3909" s="15"/>
      <c r="I3909" s="16"/>
      <c r="J3909" s="15"/>
      <c r="K3909" s="15"/>
    </row>
    <row r="3910" ht="22.5" customHeight="1">
      <c r="H3910" s="15"/>
      <c r="I3910" s="16"/>
      <c r="J3910" s="15"/>
      <c r="K3910" s="15"/>
    </row>
    <row r="3911" ht="22.5" customHeight="1">
      <c r="H3911" s="15"/>
      <c r="I3911" s="16"/>
      <c r="J3911" s="15"/>
      <c r="K3911" s="15"/>
    </row>
    <row r="3912" ht="22.5" customHeight="1">
      <c r="H3912" s="15"/>
      <c r="I3912" s="16"/>
      <c r="J3912" s="15"/>
      <c r="K3912" s="15"/>
    </row>
    <row r="3913" ht="22.5" customHeight="1">
      <c r="H3913" s="15"/>
      <c r="I3913" s="16"/>
      <c r="J3913" s="15"/>
      <c r="K3913" s="15"/>
    </row>
    <row r="3914" ht="22.5" customHeight="1">
      <c r="H3914" s="15"/>
      <c r="I3914" s="16"/>
      <c r="J3914" s="15"/>
      <c r="K3914" s="15"/>
    </row>
    <row r="3915" ht="22.5" customHeight="1">
      <c r="H3915" s="15"/>
      <c r="I3915" s="16"/>
      <c r="J3915" s="15"/>
      <c r="K3915" s="15"/>
    </row>
    <row r="3916" ht="22.5" customHeight="1">
      <c r="H3916" s="15"/>
      <c r="I3916" s="16"/>
      <c r="J3916" s="15"/>
      <c r="K3916" s="15"/>
    </row>
    <row r="3917" ht="22.5" customHeight="1">
      <c r="H3917" s="15"/>
      <c r="I3917" s="16"/>
      <c r="J3917" s="15"/>
      <c r="K3917" s="15"/>
    </row>
    <row r="3918" ht="22.5" customHeight="1">
      <c r="H3918" s="15"/>
      <c r="I3918" s="16"/>
      <c r="J3918" s="15"/>
      <c r="K3918" s="15"/>
    </row>
    <row r="3919" ht="22.5" customHeight="1">
      <c r="H3919" s="15"/>
      <c r="I3919" s="16"/>
      <c r="J3919" s="15"/>
      <c r="K3919" s="15"/>
    </row>
    <row r="3920" ht="22.5" customHeight="1">
      <c r="H3920" s="15"/>
      <c r="I3920" s="16"/>
      <c r="J3920" s="15"/>
      <c r="K3920" s="15"/>
    </row>
    <row r="3921" ht="22.5" customHeight="1">
      <c r="H3921" s="15"/>
      <c r="I3921" s="16"/>
      <c r="J3921" s="15"/>
      <c r="K3921" s="15"/>
    </row>
    <row r="3922" ht="22.5" customHeight="1">
      <c r="H3922" s="15"/>
      <c r="I3922" s="16"/>
      <c r="J3922" s="15"/>
      <c r="K3922" s="15"/>
    </row>
    <row r="3923" ht="22.5" customHeight="1">
      <c r="H3923" s="15"/>
      <c r="I3923" s="16"/>
      <c r="J3923" s="15"/>
      <c r="K3923" s="15"/>
    </row>
    <row r="3924" ht="22.5" customHeight="1">
      <c r="H3924" s="15"/>
      <c r="I3924" s="16"/>
      <c r="J3924" s="15"/>
      <c r="K3924" s="15"/>
    </row>
    <row r="3925" ht="22.5" customHeight="1">
      <c r="H3925" s="15"/>
      <c r="I3925" s="16"/>
      <c r="J3925" s="15"/>
      <c r="K3925" s="15"/>
    </row>
    <row r="3926" ht="22.5" customHeight="1">
      <c r="H3926" s="15"/>
      <c r="I3926" s="16"/>
      <c r="J3926" s="15"/>
      <c r="K3926" s="15"/>
    </row>
    <row r="3927" ht="22.5" customHeight="1">
      <c r="H3927" s="15"/>
      <c r="I3927" s="16"/>
      <c r="J3927" s="15"/>
      <c r="K3927" s="15"/>
    </row>
    <row r="3928" ht="22.5" customHeight="1">
      <c r="H3928" s="15"/>
      <c r="I3928" s="16"/>
      <c r="J3928" s="15"/>
      <c r="K3928" s="15"/>
    </row>
    <row r="3929" ht="22.5" customHeight="1">
      <c r="H3929" s="15"/>
      <c r="I3929" s="16"/>
      <c r="J3929" s="15"/>
      <c r="K3929" s="15"/>
    </row>
    <row r="3930" ht="22.5" customHeight="1">
      <c r="H3930" s="15"/>
      <c r="I3930" s="16"/>
      <c r="J3930" s="15"/>
      <c r="K3930" s="15"/>
    </row>
    <row r="3931" ht="22.5" customHeight="1">
      <c r="H3931" s="15"/>
      <c r="I3931" s="16"/>
      <c r="J3931" s="15"/>
      <c r="K3931" s="15"/>
    </row>
    <row r="3932" ht="22.5" customHeight="1">
      <c r="H3932" s="15"/>
      <c r="I3932" s="16"/>
      <c r="J3932" s="15"/>
      <c r="K3932" s="15"/>
    </row>
    <row r="3933" ht="22.5" customHeight="1">
      <c r="H3933" s="15"/>
      <c r="I3933" s="16"/>
      <c r="J3933" s="15"/>
      <c r="K3933" s="15"/>
    </row>
    <row r="3934" ht="22.5" customHeight="1">
      <c r="H3934" s="15"/>
      <c r="I3934" s="16"/>
      <c r="J3934" s="15"/>
      <c r="K3934" s="15"/>
    </row>
    <row r="3935" ht="22.5" customHeight="1">
      <c r="H3935" s="15"/>
      <c r="I3935" s="16"/>
      <c r="J3935" s="15"/>
      <c r="K3935" s="15"/>
    </row>
    <row r="3936" ht="22.5" customHeight="1">
      <c r="H3936" s="15"/>
      <c r="I3936" s="16"/>
      <c r="J3936" s="15"/>
      <c r="K3936" s="15"/>
    </row>
    <row r="3937" ht="22.5" customHeight="1">
      <c r="H3937" s="15"/>
      <c r="I3937" s="16"/>
      <c r="J3937" s="15"/>
      <c r="K3937" s="15"/>
    </row>
    <row r="3938" ht="22.5" customHeight="1">
      <c r="H3938" s="15"/>
      <c r="I3938" s="16"/>
      <c r="J3938" s="15"/>
      <c r="K3938" s="15"/>
    </row>
    <row r="3939" ht="22.5" customHeight="1">
      <c r="H3939" s="15"/>
      <c r="I3939" s="16"/>
      <c r="J3939" s="15"/>
      <c r="K3939" s="15"/>
    </row>
    <row r="3940" ht="22.5" customHeight="1">
      <c r="H3940" s="15"/>
      <c r="I3940" s="16"/>
      <c r="J3940" s="15"/>
      <c r="K3940" s="15"/>
    </row>
    <row r="3941" ht="22.5" customHeight="1">
      <c r="H3941" s="15"/>
      <c r="I3941" s="16"/>
      <c r="J3941" s="15"/>
      <c r="K3941" s="15"/>
    </row>
    <row r="3942" ht="22.5" customHeight="1">
      <c r="H3942" s="15"/>
      <c r="I3942" s="16"/>
      <c r="J3942" s="15"/>
      <c r="K3942" s="15"/>
    </row>
    <row r="3943" ht="22.5" customHeight="1">
      <c r="H3943" s="15"/>
      <c r="I3943" s="16"/>
      <c r="J3943" s="15"/>
      <c r="K3943" s="15"/>
    </row>
    <row r="3944" ht="22.5" customHeight="1">
      <c r="H3944" s="15"/>
      <c r="I3944" s="16"/>
      <c r="J3944" s="15"/>
      <c r="K3944" s="15"/>
    </row>
    <row r="3945" ht="22.5" customHeight="1">
      <c r="H3945" s="15"/>
      <c r="I3945" s="16"/>
      <c r="J3945" s="15"/>
      <c r="K3945" s="15"/>
    </row>
    <row r="3946" ht="22.5" customHeight="1">
      <c r="H3946" s="15"/>
      <c r="I3946" s="16"/>
      <c r="J3946" s="15"/>
      <c r="K3946" s="15"/>
    </row>
    <row r="3947" ht="22.5" customHeight="1">
      <c r="H3947" s="15"/>
      <c r="I3947" s="16"/>
      <c r="J3947" s="15"/>
      <c r="K3947" s="15"/>
    </row>
    <row r="3948" ht="22.5" customHeight="1">
      <c r="H3948" s="15"/>
      <c r="I3948" s="16"/>
      <c r="J3948" s="15"/>
      <c r="K3948" s="15"/>
    </row>
    <row r="3949" ht="22.5" customHeight="1">
      <c r="H3949" s="15"/>
      <c r="I3949" s="16"/>
      <c r="J3949" s="15"/>
      <c r="K3949" s="15"/>
    </row>
    <row r="3950" ht="22.5" customHeight="1">
      <c r="H3950" s="15"/>
      <c r="I3950" s="16"/>
      <c r="J3950" s="15"/>
      <c r="K3950" s="15"/>
    </row>
    <row r="3951" ht="22.5" customHeight="1">
      <c r="H3951" s="15"/>
      <c r="I3951" s="16"/>
      <c r="J3951" s="15"/>
      <c r="K3951" s="15"/>
    </row>
    <row r="3952" ht="22.5" customHeight="1">
      <c r="H3952" s="15"/>
      <c r="I3952" s="16"/>
      <c r="J3952" s="15"/>
      <c r="K3952" s="15"/>
    </row>
    <row r="3953" ht="22.5" customHeight="1">
      <c r="H3953" s="15"/>
      <c r="I3953" s="16"/>
      <c r="J3953" s="15"/>
      <c r="K3953" s="15"/>
    </row>
    <row r="3954" ht="22.5" customHeight="1">
      <c r="H3954" s="15"/>
      <c r="I3954" s="16"/>
      <c r="J3954" s="15"/>
      <c r="K3954" s="15"/>
    </row>
    <row r="3955" ht="22.5" customHeight="1">
      <c r="H3955" s="15"/>
      <c r="I3955" s="16"/>
      <c r="J3955" s="15"/>
      <c r="K3955" s="15"/>
    </row>
    <row r="3956" ht="22.5" customHeight="1">
      <c r="H3956" s="15"/>
      <c r="I3956" s="16"/>
      <c r="J3956" s="15"/>
      <c r="K3956" s="15"/>
    </row>
    <row r="3957" ht="22.5" customHeight="1">
      <c r="H3957" s="15"/>
      <c r="I3957" s="16"/>
      <c r="J3957" s="15"/>
      <c r="K3957" s="15"/>
    </row>
    <row r="3958" ht="22.5" customHeight="1">
      <c r="H3958" s="15"/>
      <c r="I3958" s="16"/>
      <c r="J3958" s="15"/>
      <c r="K3958" s="15"/>
    </row>
    <row r="3959" ht="22.5" customHeight="1">
      <c r="H3959" s="15"/>
      <c r="I3959" s="16"/>
      <c r="J3959" s="15"/>
      <c r="K3959" s="15"/>
    </row>
    <row r="3960" ht="22.5" customHeight="1">
      <c r="H3960" s="15"/>
      <c r="I3960" s="16"/>
      <c r="J3960" s="15"/>
      <c r="K3960" s="15"/>
    </row>
    <row r="3961" ht="22.5" customHeight="1">
      <c r="H3961" s="15"/>
      <c r="I3961" s="16"/>
      <c r="J3961" s="15"/>
      <c r="K3961" s="15"/>
    </row>
    <row r="3962" ht="22.5" customHeight="1">
      <c r="H3962" s="15"/>
      <c r="I3962" s="16"/>
      <c r="J3962" s="15"/>
      <c r="K3962" s="15"/>
    </row>
    <row r="3963" ht="22.5" customHeight="1">
      <c r="H3963" s="15"/>
      <c r="I3963" s="16"/>
      <c r="J3963" s="15"/>
      <c r="K3963" s="15"/>
    </row>
    <row r="3964" ht="22.5" customHeight="1">
      <c r="H3964" s="15"/>
      <c r="I3964" s="16"/>
      <c r="J3964" s="15"/>
      <c r="K3964" s="15"/>
    </row>
    <row r="3965" ht="22.5" customHeight="1">
      <c r="H3965" s="15"/>
      <c r="I3965" s="16"/>
      <c r="J3965" s="15"/>
      <c r="K3965" s="15"/>
    </row>
    <row r="3966" ht="22.5" customHeight="1">
      <c r="H3966" s="15"/>
      <c r="I3966" s="16"/>
      <c r="J3966" s="15"/>
      <c r="K3966" s="15"/>
    </row>
    <row r="3967" ht="22.5" customHeight="1">
      <c r="H3967" s="15"/>
      <c r="I3967" s="16"/>
      <c r="J3967" s="15"/>
      <c r="K3967" s="15"/>
    </row>
    <row r="3968" ht="22.5" customHeight="1">
      <c r="H3968" s="15"/>
      <c r="I3968" s="16"/>
      <c r="J3968" s="15"/>
      <c r="K3968" s="15"/>
    </row>
    <row r="3969" ht="22.5" customHeight="1">
      <c r="H3969" s="15"/>
      <c r="I3969" s="16"/>
      <c r="J3969" s="15"/>
      <c r="K3969" s="15"/>
    </row>
    <row r="3970" ht="22.5" customHeight="1">
      <c r="H3970" s="15"/>
      <c r="I3970" s="16"/>
      <c r="J3970" s="15"/>
      <c r="K3970" s="15"/>
    </row>
    <row r="3971" ht="22.5" customHeight="1">
      <c r="H3971" s="15"/>
      <c r="I3971" s="16"/>
      <c r="J3971" s="15"/>
      <c r="K3971" s="15"/>
    </row>
    <row r="3972" ht="22.5" customHeight="1">
      <c r="H3972" s="15"/>
      <c r="I3972" s="16"/>
      <c r="J3972" s="15"/>
      <c r="K3972" s="15"/>
    </row>
    <row r="3973" ht="22.5" customHeight="1">
      <c r="H3973" s="15"/>
      <c r="I3973" s="16"/>
      <c r="J3973" s="15"/>
      <c r="K3973" s="15"/>
    </row>
    <row r="3974" ht="22.5" customHeight="1">
      <c r="H3974" s="15"/>
      <c r="I3974" s="16"/>
      <c r="J3974" s="15"/>
      <c r="K3974" s="15"/>
    </row>
    <row r="3975" ht="22.5" customHeight="1">
      <c r="H3975" s="15"/>
      <c r="I3975" s="16"/>
      <c r="J3975" s="15"/>
      <c r="K3975" s="15"/>
    </row>
    <row r="3976" ht="22.5" customHeight="1">
      <c r="H3976" s="15"/>
      <c r="I3976" s="16"/>
      <c r="J3976" s="15"/>
      <c r="K3976" s="15"/>
    </row>
    <row r="3977" ht="22.5" customHeight="1">
      <c r="H3977" s="15"/>
      <c r="I3977" s="16"/>
      <c r="J3977" s="15"/>
      <c r="K3977" s="15"/>
    </row>
    <row r="3978" ht="22.5" customHeight="1">
      <c r="H3978" s="15"/>
      <c r="I3978" s="16"/>
      <c r="J3978" s="15"/>
      <c r="K3978" s="15"/>
    </row>
    <row r="3979" ht="22.5" customHeight="1">
      <c r="H3979" s="15"/>
      <c r="I3979" s="16"/>
      <c r="J3979" s="15"/>
      <c r="K3979" s="15"/>
    </row>
    <row r="3980" ht="22.5" customHeight="1">
      <c r="H3980" s="15"/>
      <c r="I3980" s="16"/>
      <c r="J3980" s="15"/>
      <c r="K3980" s="15"/>
    </row>
    <row r="3981" ht="22.5" customHeight="1">
      <c r="H3981" s="15"/>
      <c r="I3981" s="16"/>
      <c r="J3981" s="15"/>
      <c r="K3981" s="15"/>
    </row>
    <row r="3982" ht="22.5" customHeight="1">
      <c r="H3982" s="15"/>
      <c r="I3982" s="16"/>
      <c r="J3982" s="15"/>
      <c r="K3982" s="15"/>
    </row>
    <row r="3983" ht="22.5" customHeight="1">
      <c r="H3983" s="15"/>
      <c r="I3983" s="16"/>
      <c r="J3983" s="15"/>
      <c r="K3983" s="15"/>
    </row>
    <row r="3984" ht="22.5" customHeight="1">
      <c r="H3984" s="15"/>
      <c r="I3984" s="16"/>
      <c r="J3984" s="15"/>
      <c r="K3984" s="15"/>
    </row>
    <row r="3985" ht="22.5" customHeight="1">
      <c r="H3985" s="15"/>
      <c r="I3985" s="16"/>
      <c r="J3985" s="15"/>
      <c r="K3985" s="15"/>
    </row>
    <row r="3986" ht="22.5" customHeight="1">
      <c r="H3986" s="15"/>
      <c r="I3986" s="16"/>
      <c r="J3986" s="15"/>
      <c r="K3986" s="15"/>
    </row>
    <row r="3987" ht="22.5" customHeight="1">
      <c r="H3987" s="15"/>
      <c r="I3987" s="16"/>
      <c r="J3987" s="15"/>
      <c r="K3987" s="15"/>
    </row>
    <row r="3988" ht="22.5" customHeight="1">
      <c r="H3988" s="15"/>
      <c r="I3988" s="16"/>
      <c r="J3988" s="15"/>
      <c r="K3988" s="15"/>
    </row>
    <row r="3989" ht="22.5" customHeight="1">
      <c r="H3989" s="15"/>
      <c r="I3989" s="16"/>
      <c r="J3989" s="15"/>
      <c r="K3989" s="15"/>
    </row>
    <row r="3990" ht="22.5" customHeight="1">
      <c r="H3990" s="15"/>
      <c r="I3990" s="16"/>
      <c r="J3990" s="15"/>
      <c r="K3990" s="15"/>
    </row>
    <row r="3991" ht="22.5" customHeight="1">
      <c r="H3991" s="15"/>
      <c r="I3991" s="16"/>
      <c r="J3991" s="15"/>
      <c r="K3991" s="15"/>
    </row>
    <row r="3992" ht="22.5" customHeight="1">
      <c r="H3992" s="15"/>
      <c r="I3992" s="16"/>
      <c r="J3992" s="15"/>
      <c r="K3992" s="15"/>
    </row>
    <row r="3993" ht="22.5" customHeight="1">
      <c r="H3993" s="15"/>
      <c r="I3993" s="16"/>
      <c r="J3993" s="15"/>
      <c r="K3993" s="15"/>
    </row>
    <row r="3994" ht="22.5" customHeight="1">
      <c r="H3994" s="15"/>
      <c r="I3994" s="16"/>
      <c r="J3994" s="15"/>
      <c r="K3994" s="15"/>
    </row>
    <row r="3995" ht="22.5" customHeight="1">
      <c r="H3995" s="15"/>
      <c r="I3995" s="16"/>
      <c r="J3995" s="15"/>
      <c r="K3995" s="15"/>
    </row>
    <row r="3996" ht="22.5" customHeight="1">
      <c r="H3996" s="15"/>
      <c r="I3996" s="16"/>
      <c r="J3996" s="15"/>
      <c r="K3996" s="15"/>
    </row>
    <row r="3997" ht="22.5" customHeight="1">
      <c r="H3997" s="15"/>
      <c r="I3997" s="16"/>
      <c r="J3997" s="15"/>
      <c r="K3997" s="15"/>
    </row>
    <row r="3998" ht="22.5" customHeight="1">
      <c r="H3998" s="15"/>
      <c r="I3998" s="16"/>
      <c r="J3998" s="15"/>
      <c r="K3998" s="15"/>
    </row>
    <row r="3999" ht="22.5" customHeight="1">
      <c r="H3999" s="15"/>
      <c r="I3999" s="16"/>
      <c r="J3999" s="15"/>
      <c r="K3999" s="15"/>
    </row>
    <row r="4000" ht="22.5" customHeight="1">
      <c r="H4000" s="15"/>
      <c r="I4000" s="16"/>
      <c r="J4000" s="15"/>
      <c r="K4000" s="15"/>
    </row>
    <row r="4001" ht="22.5" customHeight="1">
      <c r="H4001" s="15"/>
      <c r="I4001" s="16"/>
      <c r="J4001" s="15"/>
      <c r="K4001" s="15"/>
    </row>
    <row r="4002" ht="22.5" customHeight="1">
      <c r="H4002" s="15"/>
      <c r="I4002" s="16"/>
      <c r="J4002" s="15"/>
      <c r="K4002" s="15"/>
    </row>
    <row r="4003" ht="22.5" customHeight="1">
      <c r="H4003" s="15"/>
      <c r="I4003" s="16"/>
      <c r="J4003" s="15"/>
      <c r="K4003" s="15"/>
    </row>
    <row r="4004" ht="22.5" customHeight="1">
      <c r="H4004" s="15"/>
      <c r="I4004" s="16"/>
      <c r="J4004" s="15"/>
      <c r="K4004" s="15"/>
    </row>
    <row r="4005" ht="22.5" customHeight="1">
      <c r="H4005" s="15"/>
      <c r="I4005" s="16"/>
      <c r="J4005" s="15"/>
      <c r="K4005" s="15"/>
    </row>
    <row r="4006" ht="22.5" customHeight="1">
      <c r="H4006" s="15"/>
      <c r="I4006" s="16"/>
      <c r="J4006" s="15"/>
      <c r="K4006" s="15"/>
    </row>
    <row r="4007" ht="22.5" customHeight="1">
      <c r="H4007" s="15"/>
      <c r="I4007" s="16"/>
      <c r="J4007" s="15"/>
      <c r="K4007" s="15"/>
    </row>
    <row r="4008" ht="22.5" customHeight="1">
      <c r="H4008" s="15"/>
      <c r="I4008" s="16"/>
      <c r="J4008" s="15"/>
      <c r="K4008" s="15"/>
    </row>
    <row r="4009" ht="22.5" customHeight="1">
      <c r="H4009" s="15"/>
      <c r="I4009" s="16"/>
      <c r="J4009" s="15"/>
      <c r="K4009" s="15"/>
    </row>
    <row r="4010" ht="22.5" customHeight="1">
      <c r="H4010" s="15"/>
      <c r="I4010" s="16"/>
      <c r="J4010" s="15"/>
      <c r="K4010" s="15"/>
    </row>
    <row r="4011" ht="22.5" customHeight="1">
      <c r="H4011" s="15"/>
      <c r="I4011" s="16"/>
      <c r="J4011" s="15"/>
      <c r="K4011" s="15"/>
    </row>
    <row r="4012" ht="22.5" customHeight="1">
      <c r="H4012" s="15"/>
      <c r="I4012" s="16"/>
      <c r="J4012" s="15"/>
      <c r="K4012" s="15"/>
    </row>
    <row r="4013" ht="22.5" customHeight="1">
      <c r="H4013" s="15"/>
      <c r="I4013" s="16"/>
      <c r="J4013" s="15"/>
      <c r="K4013" s="15"/>
    </row>
    <row r="4014" ht="22.5" customHeight="1">
      <c r="H4014" s="15"/>
      <c r="I4014" s="16"/>
      <c r="J4014" s="15"/>
      <c r="K4014" s="15"/>
    </row>
    <row r="4015" ht="22.5" customHeight="1">
      <c r="H4015" s="15"/>
      <c r="I4015" s="16"/>
      <c r="J4015" s="15"/>
      <c r="K4015" s="15"/>
    </row>
    <row r="4016" ht="22.5" customHeight="1">
      <c r="H4016" s="15"/>
      <c r="I4016" s="16"/>
      <c r="J4016" s="15"/>
      <c r="K4016" s="15"/>
    </row>
    <row r="4017" ht="22.5" customHeight="1">
      <c r="H4017" s="15"/>
      <c r="I4017" s="16"/>
      <c r="J4017" s="15"/>
      <c r="K4017" s="15"/>
    </row>
    <row r="4018" ht="22.5" customHeight="1">
      <c r="H4018" s="15"/>
      <c r="I4018" s="16"/>
      <c r="J4018" s="15"/>
      <c r="K4018" s="15"/>
    </row>
    <row r="4019" ht="22.5" customHeight="1">
      <c r="H4019" s="15"/>
      <c r="I4019" s="16"/>
      <c r="J4019" s="15"/>
      <c r="K4019" s="15"/>
    </row>
    <row r="4020" ht="22.5" customHeight="1">
      <c r="H4020" s="15"/>
      <c r="I4020" s="16"/>
      <c r="J4020" s="15"/>
      <c r="K4020" s="15"/>
    </row>
    <row r="4021" ht="22.5" customHeight="1">
      <c r="H4021" s="15"/>
      <c r="I4021" s="16"/>
      <c r="J4021" s="15"/>
      <c r="K4021" s="15"/>
    </row>
    <row r="4022" ht="22.5" customHeight="1">
      <c r="H4022" s="15"/>
      <c r="I4022" s="16"/>
      <c r="J4022" s="15"/>
      <c r="K4022" s="15"/>
    </row>
    <row r="4023" ht="22.5" customHeight="1">
      <c r="H4023" s="15"/>
      <c r="I4023" s="16"/>
      <c r="J4023" s="15"/>
      <c r="K4023" s="15"/>
    </row>
    <row r="4024" ht="22.5" customHeight="1">
      <c r="H4024" s="15"/>
      <c r="I4024" s="16"/>
      <c r="J4024" s="15"/>
      <c r="K4024" s="15"/>
    </row>
    <row r="4025" ht="22.5" customHeight="1">
      <c r="H4025" s="15"/>
      <c r="I4025" s="16"/>
      <c r="J4025" s="15"/>
      <c r="K4025" s="15"/>
    </row>
    <row r="4026" ht="22.5" customHeight="1">
      <c r="H4026" s="15"/>
      <c r="I4026" s="16"/>
      <c r="J4026" s="15"/>
      <c r="K4026" s="15"/>
    </row>
    <row r="4027" ht="22.5" customHeight="1">
      <c r="H4027" s="15"/>
      <c r="I4027" s="16"/>
      <c r="J4027" s="15"/>
      <c r="K4027" s="15"/>
    </row>
    <row r="4028" ht="22.5" customHeight="1">
      <c r="H4028" s="15"/>
      <c r="I4028" s="16"/>
      <c r="J4028" s="15"/>
      <c r="K4028" s="15"/>
    </row>
    <row r="4029" ht="22.5" customHeight="1">
      <c r="H4029" s="15"/>
      <c r="I4029" s="16"/>
      <c r="J4029" s="15"/>
      <c r="K4029" s="15"/>
    </row>
    <row r="4030" ht="22.5" customHeight="1">
      <c r="H4030" s="15"/>
      <c r="I4030" s="16"/>
      <c r="J4030" s="15"/>
      <c r="K4030" s="15"/>
    </row>
    <row r="4031" ht="22.5" customHeight="1">
      <c r="H4031" s="15"/>
      <c r="I4031" s="16"/>
      <c r="J4031" s="15"/>
      <c r="K4031" s="15"/>
    </row>
    <row r="4032" ht="22.5" customHeight="1">
      <c r="H4032" s="15"/>
      <c r="I4032" s="16"/>
      <c r="J4032" s="15"/>
      <c r="K4032" s="15"/>
    </row>
    <row r="4033" ht="22.5" customHeight="1">
      <c r="H4033" s="15"/>
      <c r="I4033" s="16"/>
      <c r="J4033" s="15"/>
      <c r="K4033" s="15"/>
    </row>
    <row r="4034" ht="22.5" customHeight="1">
      <c r="H4034" s="15"/>
      <c r="I4034" s="16"/>
      <c r="J4034" s="15"/>
      <c r="K4034" s="15"/>
    </row>
    <row r="4035" ht="22.5" customHeight="1">
      <c r="H4035" s="15"/>
      <c r="I4035" s="16"/>
      <c r="J4035" s="15"/>
      <c r="K4035" s="15"/>
    </row>
    <row r="4036" ht="22.5" customHeight="1">
      <c r="H4036" s="15"/>
      <c r="I4036" s="16"/>
      <c r="J4036" s="15"/>
      <c r="K4036" s="15"/>
    </row>
    <row r="4037" ht="22.5" customHeight="1">
      <c r="H4037" s="15"/>
      <c r="I4037" s="16"/>
      <c r="J4037" s="15"/>
      <c r="K4037" s="15"/>
    </row>
    <row r="4038" ht="22.5" customHeight="1">
      <c r="H4038" s="15"/>
      <c r="I4038" s="16"/>
      <c r="J4038" s="15"/>
      <c r="K4038" s="15"/>
    </row>
    <row r="4039" ht="22.5" customHeight="1">
      <c r="H4039" s="15"/>
      <c r="I4039" s="16"/>
      <c r="J4039" s="15"/>
      <c r="K4039" s="15"/>
    </row>
    <row r="4040" ht="22.5" customHeight="1">
      <c r="H4040" s="15"/>
      <c r="I4040" s="16"/>
      <c r="J4040" s="15"/>
      <c r="K4040" s="15"/>
    </row>
    <row r="4041" ht="22.5" customHeight="1">
      <c r="H4041" s="15"/>
      <c r="I4041" s="16"/>
      <c r="J4041" s="15"/>
      <c r="K4041" s="15"/>
    </row>
    <row r="4042" ht="22.5" customHeight="1">
      <c r="H4042" s="15"/>
      <c r="I4042" s="16"/>
      <c r="J4042" s="15"/>
      <c r="K4042" s="15"/>
    </row>
    <row r="4043" ht="22.5" customHeight="1">
      <c r="H4043" s="15"/>
      <c r="I4043" s="16"/>
      <c r="J4043" s="15"/>
      <c r="K4043" s="15"/>
    </row>
    <row r="4044" ht="22.5" customHeight="1">
      <c r="H4044" s="15"/>
      <c r="I4044" s="16"/>
      <c r="J4044" s="15"/>
      <c r="K4044" s="15"/>
    </row>
    <row r="4045" ht="22.5" customHeight="1">
      <c r="H4045" s="15"/>
      <c r="I4045" s="16"/>
      <c r="J4045" s="15"/>
      <c r="K4045" s="15"/>
    </row>
    <row r="4046" ht="22.5" customHeight="1">
      <c r="H4046" s="15"/>
      <c r="I4046" s="16"/>
      <c r="J4046" s="15"/>
      <c r="K4046" s="15"/>
    </row>
    <row r="4047" ht="22.5" customHeight="1">
      <c r="H4047" s="15"/>
      <c r="I4047" s="16"/>
      <c r="J4047" s="15"/>
      <c r="K4047" s="15"/>
    </row>
    <row r="4048" ht="22.5" customHeight="1">
      <c r="H4048" s="15"/>
      <c r="I4048" s="16"/>
      <c r="J4048" s="15"/>
      <c r="K4048" s="15"/>
    </row>
    <row r="4049" ht="22.5" customHeight="1">
      <c r="H4049" s="15"/>
      <c r="I4049" s="16"/>
      <c r="J4049" s="15"/>
      <c r="K4049" s="15"/>
    </row>
    <row r="4050" ht="22.5" customHeight="1">
      <c r="H4050" s="15"/>
      <c r="I4050" s="16"/>
      <c r="J4050" s="15"/>
      <c r="K4050" s="15"/>
    </row>
    <row r="4051" ht="22.5" customHeight="1">
      <c r="H4051" s="15"/>
      <c r="I4051" s="16"/>
      <c r="J4051" s="15"/>
      <c r="K4051" s="15"/>
    </row>
    <row r="4052" ht="22.5" customHeight="1">
      <c r="H4052" s="15"/>
      <c r="I4052" s="16"/>
      <c r="J4052" s="15"/>
      <c r="K4052" s="15"/>
    </row>
    <row r="4053" ht="22.5" customHeight="1">
      <c r="H4053" s="15"/>
      <c r="I4053" s="16"/>
      <c r="J4053" s="15"/>
      <c r="K4053" s="15"/>
    </row>
    <row r="4054" ht="22.5" customHeight="1">
      <c r="H4054" s="15"/>
      <c r="I4054" s="16"/>
      <c r="J4054" s="15"/>
      <c r="K4054" s="15"/>
    </row>
    <row r="4055" ht="22.5" customHeight="1">
      <c r="H4055" s="15"/>
      <c r="I4055" s="16"/>
      <c r="J4055" s="15"/>
      <c r="K4055" s="15"/>
    </row>
    <row r="4056" ht="22.5" customHeight="1">
      <c r="H4056" s="15"/>
      <c r="I4056" s="16"/>
      <c r="J4056" s="15"/>
      <c r="K4056" s="15"/>
    </row>
    <row r="4057" ht="22.5" customHeight="1">
      <c r="H4057" s="15"/>
      <c r="I4057" s="16"/>
      <c r="J4057" s="15"/>
      <c r="K4057" s="15"/>
    </row>
    <row r="4058" ht="22.5" customHeight="1">
      <c r="H4058" s="15"/>
      <c r="I4058" s="16"/>
      <c r="J4058" s="15"/>
      <c r="K4058" s="15"/>
    </row>
    <row r="4059" ht="22.5" customHeight="1">
      <c r="H4059" s="15"/>
      <c r="I4059" s="16"/>
      <c r="J4059" s="15"/>
      <c r="K4059" s="15"/>
    </row>
    <row r="4060" ht="22.5" customHeight="1">
      <c r="H4060" s="15"/>
      <c r="I4060" s="16"/>
      <c r="J4060" s="15"/>
      <c r="K4060" s="15"/>
    </row>
    <row r="4061" ht="22.5" customHeight="1">
      <c r="H4061" s="15"/>
      <c r="I4061" s="16"/>
      <c r="J4061" s="15"/>
      <c r="K4061" s="15"/>
    </row>
    <row r="4062" ht="22.5" customHeight="1">
      <c r="H4062" s="15"/>
      <c r="I4062" s="16"/>
      <c r="J4062" s="15"/>
      <c r="K4062" s="15"/>
    </row>
    <row r="4063" ht="22.5" customHeight="1">
      <c r="H4063" s="15"/>
      <c r="I4063" s="16"/>
      <c r="J4063" s="15"/>
      <c r="K4063" s="15"/>
    </row>
    <row r="4064" ht="22.5" customHeight="1">
      <c r="H4064" s="15"/>
      <c r="I4064" s="16"/>
      <c r="J4064" s="15"/>
      <c r="K4064" s="15"/>
    </row>
    <row r="4065" ht="22.5" customHeight="1">
      <c r="H4065" s="15"/>
      <c r="I4065" s="16"/>
      <c r="J4065" s="15"/>
      <c r="K4065" s="15"/>
    </row>
    <row r="4066" ht="22.5" customHeight="1">
      <c r="H4066" s="15"/>
      <c r="I4066" s="16"/>
      <c r="J4066" s="15"/>
      <c r="K4066" s="15"/>
    </row>
    <row r="4067" ht="22.5" customHeight="1">
      <c r="H4067" s="15"/>
      <c r="I4067" s="16"/>
      <c r="J4067" s="15"/>
      <c r="K4067" s="15"/>
    </row>
    <row r="4068" ht="22.5" customHeight="1">
      <c r="H4068" s="15"/>
      <c r="I4068" s="16"/>
      <c r="J4068" s="15"/>
      <c r="K4068" s="15"/>
    </row>
    <row r="4069" ht="22.5" customHeight="1">
      <c r="H4069" s="15"/>
      <c r="I4069" s="16"/>
      <c r="J4069" s="15"/>
      <c r="K4069" s="15"/>
    </row>
    <row r="4070" ht="22.5" customHeight="1">
      <c r="H4070" s="15"/>
      <c r="I4070" s="16"/>
      <c r="J4070" s="15"/>
      <c r="K4070" s="15"/>
    </row>
    <row r="4071" ht="22.5" customHeight="1">
      <c r="H4071" s="15"/>
      <c r="I4071" s="16"/>
      <c r="J4071" s="15"/>
      <c r="K4071" s="15"/>
    </row>
    <row r="4072" ht="22.5" customHeight="1">
      <c r="H4072" s="15"/>
      <c r="I4072" s="16"/>
      <c r="J4072" s="15"/>
      <c r="K4072" s="15"/>
    </row>
    <row r="4073" ht="22.5" customHeight="1">
      <c r="H4073" s="15"/>
      <c r="I4073" s="16"/>
      <c r="J4073" s="15"/>
      <c r="K4073" s="15"/>
    </row>
    <row r="4074" ht="22.5" customHeight="1">
      <c r="H4074" s="15"/>
      <c r="I4074" s="16"/>
      <c r="J4074" s="15"/>
      <c r="K4074" s="15"/>
    </row>
    <row r="4075" ht="22.5" customHeight="1">
      <c r="H4075" s="15"/>
      <c r="I4075" s="16"/>
      <c r="J4075" s="15"/>
      <c r="K4075" s="15"/>
    </row>
    <row r="4076" ht="22.5" customHeight="1">
      <c r="H4076" s="15"/>
      <c r="I4076" s="16"/>
      <c r="J4076" s="15"/>
      <c r="K4076" s="15"/>
    </row>
    <row r="4077" ht="22.5" customHeight="1">
      <c r="H4077" s="15"/>
      <c r="I4077" s="16"/>
      <c r="J4077" s="15"/>
      <c r="K4077" s="15"/>
    </row>
    <row r="4078" ht="22.5" customHeight="1">
      <c r="H4078" s="15"/>
      <c r="I4078" s="16"/>
      <c r="J4078" s="15"/>
      <c r="K4078" s="15"/>
    </row>
    <row r="4079" ht="22.5" customHeight="1">
      <c r="H4079" s="15"/>
      <c r="I4079" s="16"/>
      <c r="J4079" s="15"/>
      <c r="K4079" s="15"/>
    </row>
    <row r="4080" ht="22.5" customHeight="1">
      <c r="H4080" s="15"/>
      <c r="I4080" s="16"/>
      <c r="J4080" s="15"/>
      <c r="K4080" s="15"/>
    </row>
    <row r="4081" ht="22.5" customHeight="1">
      <c r="H4081" s="15"/>
      <c r="I4081" s="16"/>
      <c r="J4081" s="15"/>
      <c r="K4081" s="15"/>
    </row>
    <row r="4082" ht="22.5" customHeight="1">
      <c r="H4082" s="15"/>
      <c r="I4082" s="16"/>
      <c r="J4082" s="15"/>
      <c r="K4082" s="15"/>
    </row>
    <row r="4083" ht="22.5" customHeight="1">
      <c r="H4083" s="15"/>
      <c r="I4083" s="16"/>
      <c r="J4083" s="15"/>
      <c r="K4083" s="15"/>
    </row>
    <row r="4084" ht="22.5" customHeight="1">
      <c r="H4084" s="15"/>
      <c r="I4084" s="16"/>
      <c r="J4084" s="15"/>
      <c r="K4084" s="15"/>
    </row>
    <row r="4085" ht="22.5" customHeight="1">
      <c r="H4085" s="15"/>
      <c r="I4085" s="16"/>
      <c r="J4085" s="15"/>
      <c r="K4085" s="15"/>
    </row>
    <row r="4086" ht="22.5" customHeight="1">
      <c r="H4086" s="15"/>
      <c r="I4086" s="16"/>
      <c r="J4086" s="15"/>
      <c r="K4086" s="15"/>
    </row>
    <row r="4087" ht="22.5" customHeight="1">
      <c r="H4087" s="15"/>
      <c r="I4087" s="16"/>
      <c r="J4087" s="15"/>
      <c r="K4087" s="15"/>
    </row>
    <row r="4088" ht="22.5" customHeight="1">
      <c r="H4088" s="15"/>
      <c r="I4088" s="16"/>
      <c r="J4088" s="15"/>
      <c r="K4088" s="15"/>
    </row>
    <row r="4089" ht="22.5" customHeight="1">
      <c r="H4089" s="15"/>
      <c r="I4089" s="16"/>
      <c r="J4089" s="15"/>
      <c r="K4089" s="15"/>
    </row>
    <row r="4090" ht="22.5" customHeight="1">
      <c r="H4090" s="15"/>
      <c r="I4090" s="16"/>
      <c r="J4090" s="15"/>
      <c r="K4090" s="15"/>
    </row>
    <row r="4091" ht="22.5" customHeight="1">
      <c r="H4091" s="15"/>
      <c r="I4091" s="16"/>
      <c r="J4091" s="15"/>
      <c r="K4091" s="15"/>
    </row>
    <row r="4092" ht="22.5" customHeight="1">
      <c r="H4092" s="15"/>
      <c r="I4092" s="16"/>
      <c r="J4092" s="15"/>
      <c r="K4092" s="15"/>
    </row>
    <row r="4093" ht="22.5" customHeight="1">
      <c r="H4093" s="15"/>
      <c r="I4093" s="16"/>
      <c r="J4093" s="15"/>
      <c r="K4093" s="15"/>
    </row>
    <row r="4094" ht="22.5" customHeight="1">
      <c r="H4094" s="15"/>
      <c r="I4094" s="16"/>
      <c r="J4094" s="15"/>
      <c r="K4094" s="15"/>
    </row>
    <row r="4095" ht="22.5" customHeight="1">
      <c r="H4095" s="15"/>
      <c r="I4095" s="16"/>
      <c r="J4095" s="15"/>
      <c r="K4095" s="15"/>
    </row>
    <row r="4096" ht="22.5" customHeight="1">
      <c r="H4096" s="15"/>
      <c r="I4096" s="16"/>
      <c r="J4096" s="15"/>
      <c r="K4096" s="15"/>
    </row>
    <row r="4097" ht="22.5" customHeight="1">
      <c r="H4097" s="15"/>
      <c r="I4097" s="16"/>
      <c r="J4097" s="15"/>
      <c r="K4097" s="15"/>
    </row>
    <row r="4098" ht="22.5" customHeight="1">
      <c r="H4098" s="15"/>
      <c r="I4098" s="16"/>
      <c r="J4098" s="15"/>
      <c r="K4098" s="15"/>
    </row>
    <row r="4099" ht="22.5" customHeight="1">
      <c r="H4099" s="15"/>
      <c r="I4099" s="16"/>
      <c r="J4099" s="15"/>
      <c r="K4099" s="15"/>
    </row>
    <row r="4100" ht="22.5" customHeight="1">
      <c r="H4100" s="15"/>
      <c r="I4100" s="16"/>
      <c r="J4100" s="15"/>
      <c r="K4100" s="15"/>
    </row>
    <row r="4101" ht="22.5" customHeight="1">
      <c r="H4101" s="15"/>
      <c r="I4101" s="16"/>
      <c r="J4101" s="15"/>
      <c r="K4101" s="15"/>
    </row>
    <row r="4102" ht="22.5" customHeight="1">
      <c r="H4102" s="15"/>
      <c r="I4102" s="16"/>
      <c r="J4102" s="15"/>
      <c r="K4102" s="15"/>
    </row>
    <row r="4103" ht="22.5" customHeight="1">
      <c r="H4103" s="15"/>
      <c r="I4103" s="16"/>
      <c r="J4103" s="15"/>
      <c r="K4103" s="15"/>
    </row>
    <row r="4104" ht="22.5" customHeight="1">
      <c r="H4104" s="15"/>
      <c r="I4104" s="16"/>
      <c r="J4104" s="15"/>
      <c r="K4104" s="15"/>
    </row>
    <row r="4105" ht="22.5" customHeight="1">
      <c r="H4105" s="15"/>
      <c r="I4105" s="16"/>
      <c r="J4105" s="15"/>
      <c r="K4105" s="15"/>
    </row>
    <row r="4106" ht="22.5" customHeight="1">
      <c r="H4106" s="15"/>
      <c r="I4106" s="16"/>
      <c r="J4106" s="15"/>
      <c r="K4106" s="15"/>
    </row>
    <row r="4107" ht="22.5" customHeight="1">
      <c r="H4107" s="15"/>
      <c r="I4107" s="16"/>
      <c r="J4107" s="15"/>
      <c r="K4107" s="15"/>
    </row>
    <row r="4108" ht="22.5" customHeight="1">
      <c r="H4108" s="15"/>
      <c r="I4108" s="16"/>
      <c r="J4108" s="15"/>
      <c r="K4108" s="15"/>
    </row>
    <row r="4109" ht="22.5" customHeight="1">
      <c r="H4109" s="15"/>
      <c r="I4109" s="16"/>
      <c r="J4109" s="15"/>
      <c r="K4109" s="15"/>
    </row>
    <row r="4110" ht="22.5" customHeight="1">
      <c r="H4110" s="15"/>
      <c r="I4110" s="16"/>
      <c r="J4110" s="15"/>
      <c r="K4110" s="15"/>
    </row>
    <row r="4111" ht="22.5" customHeight="1">
      <c r="H4111" s="15"/>
      <c r="I4111" s="16"/>
      <c r="J4111" s="15"/>
      <c r="K4111" s="15"/>
    </row>
    <row r="4112" ht="22.5" customHeight="1">
      <c r="H4112" s="15"/>
      <c r="I4112" s="16"/>
      <c r="J4112" s="15"/>
      <c r="K4112" s="15"/>
    </row>
    <row r="4113" ht="22.5" customHeight="1">
      <c r="H4113" s="15"/>
      <c r="I4113" s="16"/>
      <c r="J4113" s="15"/>
      <c r="K4113" s="15"/>
    </row>
    <row r="4114" ht="22.5" customHeight="1">
      <c r="H4114" s="15"/>
      <c r="I4114" s="16"/>
      <c r="J4114" s="15"/>
      <c r="K4114" s="15"/>
    </row>
    <row r="4115" ht="22.5" customHeight="1">
      <c r="H4115" s="15"/>
      <c r="I4115" s="16"/>
      <c r="J4115" s="15"/>
      <c r="K4115" s="15"/>
    </row>
    <row r="4116" ht="22.5" customHeight="1">
      <c r="H4116" s="15"/>
      <c r="I4116" s="16"/>
      <c r="J4116" s="15"/>
      <c r="K4116" s="15"/>
    </row>
    <row r="4117" ht="22.5" customHeight="1">
      <c r="H4117" s="15"/>
      <c r="I4117" s="16"/>
      <c r="J4117" s="15"/>
      <c r="K4117" s="15"/>
    </row>
    <row r="4118" ht="22.5" customHeight="1">
      <c r="H4118" s="15"/>
      <c r="I4118" s="16"/>
      <c r="J4118" s="15"/>
      <c r="K4118" s="15"/>
    </row>
    <row r="4119" ht="22.5" customHeight="1">
      <c r="H4119" s="15"/>
      <c r="I4119" s="16"/>
      <c r="J4119" s="15"/>
      <c r="K4119" s="15"/>
    </row>
    <row r="4120" ht="22.5" customHeight="1">
      <c r="H4120" s="15"/>
      <c r="I4120" s="16"/>
      <c r="J4120" s="15"/>
      <c r="K4120" s="15"/>
    </row>
    <row r="4121" ht="22.5" customHeight="1">
      <c r="H4121" s="15"/>
      <c r="I4121" s="16"/>
      <c r="J4121" s="15"/>
      <c r="K4121" s="15"/>
    </row>
    <row r="4122" ht="22.5" customHeight="1">
      <c r="H4122" s="15"/>
      <c r="I4122" s="16"/>
      <c r="J4122" s="15"/>
      <c r="K4122" s="15"/>
    </row>
    <row r="4123" ht="22.5" customHeight="1">
      <c r="H4123" s="15"/>
      <c r="I4123" s="16"/>
      <c r="J4123" s="15"/>
      <c r="K4123" s="15"/>
    </row>
    <row r="4124" ht="22.5" customHeight="1">
      <c r="H4124" s="15"/>
      <c r="I4124" s="16"/>
      <c r="J4124" s="15"/>
      <c r="K4124" s="15"/>
    </row>
    <row r="4125" ht="22.5" customHeight="1">
      <c r="H4125" s="15"/>
      <c r="I4125" s="16"/>
      <c r="J4125" s="15"/>
      <c r="K4125" s="15"/>
    </row>
    <row r="4126" ht="22.5" customHeight="1">
      <c r="H4126" s="15"/>
      <c r="I4126" s="16"/>
      <c r="J4126" s="15"/>
      <c r="K4126" s="15"/>
    </row>
    <row r="4127" ht="22.5" customHeight="1">
      <c r="H4127" s="15"/>
      <c r="I4127" s="16"/>
      <c r="J4127" s="15"/>
      <c r="K4127" s="15"/>
    </row>
    <row r="4128" ht="22.5" customHeight="1">
      <c r="H4128" s="15"/>
      <c r="I4128" s="16"/>
      <c r="J4128" s="15"/>
      <c r="K4128" s="15"/>
    </row>
    <row r="4129" ht="22.5" customHeight="1">
      <c r="H4129" s="15"/>
      <c r="I4129" s="16"/>
      <c r="J4129" s="15"/>
      <c r="K4129" s="15"/>
    </row>
    <row r="4130" ht="22.5" customHeight="1">
      <c r="H4130" s="15"/>
      <c r="I4130" s="16"/>
      <c r="J4130" s="15"/>
      <c r="K4130" s="15"/>
    </row>
    <row r="4131" ht="22.5" customHeight="1">
      <c r="H4131" s="15"/>
      <c r="I4131" s="16"/>
      <c r="J4131" s="15"/>
      <c r="K4131" s="15"/>
    </row>
    <row r="4132" ht="22.5" customHeight="1">
      <c r="H4132" s="15"/>
      <c r="I4132" s="16"/>
      <c r="J4132" s="15"/>
      <c r="K4132" s="15"/>
    </row>
    <row r="4133" ht="22.5" customHeight="1">
      <c r="H4133" s="15"/>
      <c r="I4133" s="16"/>
      <c r="J4133" s="15"/>
      <c r="K4133" s="15"/>
    </row>
    <row r="4134" ht="22.5" customHeight="1">
      <c r="H4134" s="15"/>
      <c r="I4134" s="16"/>
      <c r="J4134" s="15"/>
      <c r="K4134" s="15"/>
    </row>
    <row r="4135" ht="22.5" customHeight="1">
      <c r="H4135" s="15"/>
      <c r="I4135" s="16"/>
      <c r="J4135" s="15"/>
      <c r="K4135" s="15"/>
    </row>
    <row r="4136" ht="22.5" customHeight="1">
      <c r="H4136" s="15"/>
      <c r="I4136" s="16"/>
      <c r="J4136" s="15"/>
      <c r="K4136" s="15"/>
    </row>
    <row r="4137" ht="22.5" customHeight="1">
      <c r="H4137" s="15"/>
      <c r="I4137" s="16"/>
      <c r="J4137" s="15"/>
      <c r="K4137" s="15"/>
    </row>
    <row r="4138" ht="22.5" customHeight="1">
      <c r="H4138" s="15"/>
      <c r="I4138" s="16"/>
      <c r="J4138" s="15"/>
      <c r="K4138" s="15"/>
    </row>
    <row r="4139" ht="22.5" customHeight="1">
      <c r="H4139" s="15"/>
      <c r="I4139" s="16"/>
      <c r="J4139" s="15"/>
      <c r="K4139" s="15"/>
    </row>
    <row r="4140" ht="22.5" customHeight="1">
      <c r="H4140" s="15"/>
      <c r="I4140" s="16"/>
      <c r="J4140" s="15"/>
      <c r="K4140" s="15"/>
    </row>
    <row r="4141" ht="22.5" customHeight="1">
      <c r="H4141" s="15"/>
      <c r="I4141" s="16"/>
      <c r="J4141" s="15"/>
      <c r="K4141" s="15"/>
    </row>
    <row r="4142" ht="22.5" customHeight="1">
      <c r="H4142" s="15"/>
      <c r="I4142" s="16"/>
      <c r="J4142" s="15"/>
      <c r="K4142" s="15"/>
    </row>
    <row r="4143" ht="22.5" customHeight="1">
      <c r="H4143" s="15"/>
      <c r="I4143" s="16"/>
      <c r="J4143" s="15"/>
      <c r="K4143" s="15"/>
    </row>
    <row r="4144" ht="22.5" customHeight="1">
      <c r="H4144" s="15"/>
      <c r="I4144" s="16"/>
      <c r="J4144" s="15"/>
      <c r="K4144" s="15"/>
    </row>
    <row r="4145" ht="22.5" customHeight="1">
      <c r="H4145" s="15"/>
      <c r="I4145" s="16"/>
      <c r="J4145" s="15"/>
      <c r="K4145" s="15"/>
    </row>
    <row r="4146" ht="22.5" customHeight="1">
      <c r="H4146" s="15"/>
      <c r="I4146" s="16"/>
      <c r="J4146" s="15"/>
      <c r="K4146" s="15"/>
    </row>
    <row r="4147" ht="22.5" customHeight="1">
      <c r="H4147" s="15"/>
      <c r="I4147" s="16"/>
      <c r="J4147" s="15"/>
      <c r="K4147" s="15"/>
    </row>
    <row r="4148" ht="22.5" customHeight="1">
      <c r="H4148" s="15"/>
      <c r="I4148" s="16"/>
      <c r="J4148" s="15"/>
      <c r="K4148" s="15"/>
    </row>
    <row r="4149" ht="22.5" customHeight="1">
      <c r="H4149" s="15"/>
      <c r="I4149" s="16"/>
      <c r="J4149" s="15"/>
      <c r="K4149" s="15"/>
    </row>
    <row r="4150" ht="22.5" customHeight="1">
      <c r="H4150" s="15"/>
      <c r="I4150" s="16"/>
      <c r="J4150" s="15"/>
      <c r="K4150" s="15"/>
    </row>
    <row r="4151" ht="22.5" customHeight="1">
      <c r="H4151" s="15"/>
      <c r="I4151" s="16"/>
      <c r="J4151" s="15"/>
      <c r="K4151" s="15"/>
    </row>
    <row r="4152" ht="22.5" customHeight="1">
      <c r="H4152" s="15"/>
      <c r="I4152" s="16"/>
      <c r="J4152" s="15"/>
      <c r="K4152" s="15"/>
    </row>
    <row r="4153" ht="22.5" customHeight="1">
      <c r="H4153" s="15"/>
      <c r="I4153" s="16"/>
      <c r="J4153" s="15"/>
      <c r="K4153" s="15"/>
    </row>
    <row r="4154" ht="22.5" customHeight="1">
      <c r="H4154" s="15"/>
      <c r="I4154" s="16"/>
      <c r="J4154" s="15"/>
      <c r="K4154" s="15"/>
    </row>
    <row r="4155" ht="22.5" customHeight="1">
      <c r="H4155" s="15"/>
      <c r="I4155" s="16"/>
      <c r="J4155" s="15"/>
      <c r="K4155" s="15"/>
    </row>
    <row r="4156" ht="22.5" customHeight="1">
      <c r="H4156" s="15"/>
      <c r="I4156" s="16"/>
      <c r="J4156" s="15"/>
      <c r="K4156" s="15"/>
    </row>
    <row r="4157" ht="22.5" customHeight="1">
      <c r="H4157" s="15"/>
      <c r="I4157" s="16"/>
      <c r="J4157" s="15"/>
      <c r="K4157" s="15"/>
    </row>
    <row r="4158" ht="22.5" customHeight="1">
      <c r="H4158" s="15"/>
      <c r="I4158" s="16"/>
      <c r="J4158" s="15"/>
      <c r="K4158" s="15"/>
    </row>
    <row r="4159" ht="22.5" customHeight="1">
      <c r="H4159" s="15"/>
      <c r="I4159" s="16"/>
      <c r="J4159" s="15"/>
      <c r="K4159" s="15"/>
    </row>
    <row r="4160" ht="22.5" customHeight="1">
      <c r="H4160" s="15"/>
      <c r="I4160" s="16"/>
      <c r="J4160" s="15"/>
      <c r="K4160" s="15"/>
    </row>
    <row r="4161" ht="22.5" customHeight="1">
      <c r="H4161" s="15"/>
      <c r="I4161" s="16"/>
      <c r="J4161" s="15"/>
      <c r="K4161" s="15"/>
    </row>
    <row r="4162" ht="22.5" customHeight="1">
      <c r="H4162" s="15"/>
      <c r="I4162" s="16"/>
      <c r="J4162" s="15"/>
      <c r="K4162" s="15"/>
    </row>
    <row r="4163" ht="22.5" customHeight="1">
      <c r="H4163" s="15"/>
      <c r="I4163" s="16"/>
      <c r="J4163" s="15"/>
      <c r="K4163" s="15"/>
    </row>
    <row r="4164" ht="22.5" customHeight="1">
      <c r="H4164" s="15"/>
      <c r="I4164" s="16"/>
      <c r="J4164" s="15"/>
      <c r="K4164" s="15"/>
    </row>
    <row r="4165" ht="22.5" customHeight="1">
      <c r="H4165" s="15"/>
      <c r="I4165" s="16"/>
      <c r="J4165" s="15"/>
      <c r="K4165" s="15"/>
    </row>
    <row r="4166" ht="22.5" customHeight="1">
      <c r="H4166" s="15"/>
      <c r="I4166" s="16"/>
      <c r="J4166" s="15"/>
      <c r="K4166" s="15"/>
    </row>
    <row r="4167" ht="22.5" customHeight="1">
      <c r="H4167" s="15"/>
      <c r="I4167" s="16"/>
      <c r="J4167" s="15"/>
      <c r="K4167" s="15"/>
    </row>
    <row r="4168" ht="22.5" customHeight="1">
      <c r="H4168" s="15"/>
      <c r="I4168" s="16"/>
      <c r="J4168" s="15"/>
      <c r="K4168" s="15"/>
    </row>
    <row r="4169" ht="22.5" customHeight="1">
      <c r="H4169" s="15"/>
      <c r="I4169" s="16"/>
      <c r="J4169" s="15"/>
      <c r="K4169" s="15"/>
    </row>
    <row r="4170" ht="22.5" customHeight="1">
      <c r="H4170" s="15"/>
      <c r="I4170" s="16"/>
      <c r="J4170" s="15"/>
      <c r="K4170" s="15"/>
    </row>
    <row r="4171" ht="22.5" customHeight="1">
      <c r="H4171" s="15"/>
      <c r="I4171" s="16"/>
      <c r="J4171" s="15"/>
      <c r="K4171" s="15"/>
    </row>
    <row r="4172" ht="22.5" customHeight="1">
      <c r="H4172" s="15"/>
      <c r="I4172" s="16"/>
      <c r="J4172" s="15"/>
      <c r="K4172" s="15"/>
    </row>
    <row r="4173" ht="22.5" customHeight="1">
      <c r="H4173" s="15"/>
      <c r="I4173" s="16"/>
      <c r="J4173" s="15"/>
      <c r="K4173" s="15"/>
    </row>
    <row r="4174" ht="22.5" customHeight="1">
      <c r="H4174" s="15"/>
      <c r="I4174" s="16"/>
      <c r="J4174" s="15"/>
      <c r="K4174" s="15"/>
    </row>
    <row r="4175" ht="22.5" customHeight="1">
      <c r="H4175" s="15"/>
      <c r="I4175" s="16"/>
      <c r="J4175" s="15"/>
      <c r="K4175" s="15"/>
    </row>
    <row r="4176" ht="22.5" customHeight="1">
      <c r="H4176" s="15"/>
      <c r="I4176" s="16"/>
      <c r="J4176" s="15"/>
      <c r="K4176" s="15"/>
    </row>
    <row r="4177" ht="22.5" customHeight="1">
      <c r="H4177" s="15"/>
      <c r="I4177" s="16"/>
      <c r="J4177" s="15"/>
      <c r="K4177" s="15"/>
    </row>
    <row r="4178" ht="22.5" customHeight="1">
      <c r="H4178" s="15"/>
      <c r="I4178" s="16"/>
      <c r="J4178" s="15"/>
      <c r="K4178" s="15"/>
    </row>
    <row r="4179" ht="22.5" customHeight="1">
      <c r="H4179" s="15"/>
      <c r="I4179" s="16"/>
      <c r="J4179" s="15"/>
      <c r="K4179" s="15"/>
    </row>
    <row r="4180" ht="22.5" customHeight="1">
      <c r="H4180" s="15"/>
      <c r="I4180" s="16"/>
      <c r="J4180" s="15"/>
      <c r="K4180" s="15"/>
    </row>
    <row r="4181" ht="22.5" customHeight="1">
      <c r="H4181" s="15"/>
      <c r="I4181" s="16"/>
      <c r="J4181" s="15"/>
      <c r="K4181" s="15"/>
    </row>
    <row r="4182" ht="22.5" customHeight="1">
      <c r="H4182" s="15"/>
      <c r="I4182" s="16"/>
      <c r="J4182" s="15"/>
      <c r="K4182" s="15"/>
    </row>
    <row r="4183" ht="22.5" customHeight="1">
      <c r="H4183" s="15"/>
      <c r="I4183" s="16"/>
      <c r="J4183" s="15"/>
      <c r="K4183" s="15"/>
    </row>
    <row r="4184" ht="22.5" customHeight="1">
      <c r="H4184" s="15"/>
      <c r="I4184" s="16"/>
      <c r="J4184" s="15"/>
      <c r="K4184" s="15"/>
    </row>
    <row r="4185" ht="22.5" customHeight="1">
      <c r="H4185" s="15"/>
      <c r="I4185" s="16"/>
      <c r="J4185" s="15"/>
      <c r="K4185" s="15"/>
    </row>
    <row r="4186" ht="22.5" customHeight="1">
      <c r="H4186" s="15"/>
      <c r="I4186" s="16"/>
      <c r="J4186" s="15"/>
      <c r="K4186" s="15"/>
    </row>
    <row r="4187" ht="22.5" customHeight="1">
      <c r="H4187" s="15"/>
      <c r="I4187" s="16"/>
      <c r="J4187" s="15"/>
      <c r="K4187" s="15"/>
    </row>
    <row r="4188" ht="22.5" customHeight="1">
      <c r="H4188" s="15"/>
      <c r="I4188" s="16"/>
      <c r="J4188" s="15"/>
      <c r="K4188" s="15"/>
    </row>
    <row r="4189" ht="22.5" customHeight="1">
      <c r="H4189" s="15"/>
      <c r="I4189" s="16"/>
      <c r="J4189" s="15"/>
      <c r="K4189" s="15"/>
    </row>
    <row r="4190" ht="22.5" customHeight="1">
      <c r="H4190" s="15"/>
      <c r="I4190" s="16"/>
      <c r="J4190" s="15"/>
      <c r="K4190" s="15"/>
    </row>
    <row r="4191" ht="22.5" customHeight="1">
      <c r="H4191" s="15"/>
      <c r="I4191" s="16"/>
      <c r="J4191" s="15"/>
      <c r="K4191" s="15"/>
    </row>
    <row r="4192" ht="22.5" customHeight="1">
      <c r="H4192" s="15"/>
      <c r="I4192" s="16"/>
      <c r="J4192" s="15"/>
      <c r="K4192" s="15"/>
    </row>
    <row r="4193" ht="22.5" customHeight="1">
      <c r="H4193" s="15"/>
      <c r="I4193" s="16"/>
      <c r="J4193" s="15"/>
      <c r="K4193" s="15"/>
    </row>
    <row r="4194" ht="22.5" customHeight="1">
      <c r="H4194" s="15"/>
      <c r="I4194" s="16"/>
      <c r="J4194" s="15"/>
      <c r="K4194" s="15"/>
    </row>
    <row r="4195" ht="22.5" customHeight="1">
      <c r="H4195" s="15"/>
      <c r="I4195" s="16"/>
      <c r="J4195" s="15"/>
      <c r="K4195" s="15"/>
    </row>
    <row r="4196" ht="22.5" customHeight="1">
      <c r="H4196" s="15"/>
      <c r="I4196" s="16"/>
      <c r="J4196" s="15"/>
      <c r="K4196" s="15"/>
    </row>
    <row r="4197" ht="22.5" customHeight="1">
      <c r="H4197" s="15"/>
      <c r="I4197" s="16"/>
      <c r="J4197" s="15"/>
      <c r="K4197" s="15"/>
    </row>
    <row r="4198" ht="22.5" customHeight="1">
      <c r="H4198" s="15"/>
      <c r="I4198" s="16"/>
      <c r="J4198" s="15"/>
      <c r="K4198" s="15"/>
    </row>
    <row r="4199" ht="22.5" customHeight="1">
      <c r="H4199" s="15"/>
      <c r="I4199" s="16"/>
      <c r="J4199" s="15"/>
      <c r="K4199" s="15"/>
    </row>
    <row r="4200" ht="22.5" customHeight="1">
      <c r="H4200" s="15"/>
      <c r="I4200" s="16"/>
      <c r="J4200" s="15"/>
      <c r="K4200" s="15"/>
    </row>
    <row r="4201" ht="22.5" customHeight="1">
      <c r="H4201" s="15"/>
      <c r="I4201" s="16"/>
      <c r="J4201" s="15"/>
      <c r="K4201" s="15"/>
    </row>
    <row r="4202" ht="22.5" customHeight="1">
      <c r="H4202" s="15"/>
      <c r="I4202" s="16"/>
      <c r="J4202" s="15"/>
      <c r="K4202" s="15"/>
    </row>
    <row r="4203" ht="22.5" customHeight="1">
      <c r="H4203" s="15"/>
      <c r="I4203" s="16"/>
      <c r="J4203" s="15"/>
      <c r="K4203" s="15"/>
    </row>
    <row r="4204" ht="22.5" customHeight="1">
      <c r="H4204" s="15"/>
      <c r="I4204" s="16"/>
      <c r="J4204" s="15"/>
      <c r="K4204" s="15"/>
    </row>
    <row r="4205" ht="22.5" customHeight="1">
      <c r="H4205" s="15"/>
      <c r="I4205" s="16"/>
      <c r="J4205" s="15"/>
      <c r="K4205" s="15"/>
    </row>
    <row r="4206" ht="22.5" customHeight="1">
      <c r="H4206" s="15"/>
      <c r="I4206" s="16"/>
      <c r="J4206" s="15"/>
      <c r="K4206" s="15"/>
    </row>
    <row r="4207" ht="22.5" customHeight="1">
      <c r="H4207" s="15"/>
      <c r="I4207" s="16"/>
      <c r="J4207" s="15"/>
      <c r="K4207" s="15"/>
    </row>
    <row r="4208" ht="22.5" customHeight="1">
      <c r="H4208" s="15"/>
      <c r="I4208" s="16"/>
      <c r="J4208" s="15"/>
      <c r="K4208" s="15"/>
    </row>
    <row r="4209" ht="22.5" customHeight="1">
      <c r="H4209" s="15"/>
      <c r="I4209" s="16"/>
      <c r="J4209" s="15"/>
      <c r="K4209" s="15"/>
    </row>
    <row r="4210" ht="22.5" customHeight="1">
      <c r="H4210" s="15"/>
      <c r="I4210" s="16"/>
      <c r="J4210" s="15"/>
      <c r="K4210" s="15"/>
    </row>
    <row r="4211" ht="22.5" customHeight="1">
      <c r="H4211" s="15"/>
      <c r="I4211" s="16"/>
      <c r="J4211" s="15"/>
      <c r="K4211" s="15"/>
    </row>
    <row r="4212" ht="22.5" customHeight="1">
      <c r="H4212" s="15"/>
      <c r="I4212" s="16"/>
      <c r="J4212" s="15"/>
      <c r="K4212" s="15"/>
    </row>
    <row r="4213" ht="22.5" customHeight="1">
      <c r="H4213" s="15"/>
      <c r="I4213" s="16"/>
      <c r="J4213" s="15"/>
      <c r="K4213" s="15"/>
    </row>
    <row r="4214" ht="22.5" customHeight="1">
      <c r="H4214" s="15"/>
      <c r="I4214" s="16"/>
      <c r="J4214" s="15"/>
      <c r="K4214" s="15"/>
    </row>
    <row r="4215" ht="22.5" customHeight="1">
      <c r="H4215" s="15"/>
      <c r="I4215" s="16"/>
      <c r="J4215" s="15"/>
      <c r="K4215" s="15"/>
    </row>
    <row r="4216" ht="22.5" customHeight="1">
      <c r="H4216" s="15"/>
      <c r="I4216" s="16"/>
      <c r="J4216" s="15"/>
      <c r="K4216" s="15"/>
    </row>
    <row r="4217" ht="22.5" customHeight="1">
      <c r="H4217" s="15"/>
      <c r="I4217" s="16"/>
      <c r="J4217" s="15"/>
      <c r="K4217" s="15"/>
    </row>
    <row r="4218" ht="22.5" customHeight="1">
      <c r="H4218" s="15"/>
      <c r="I4218" s="16"/>
      <c r="J4218" s="15"/>
      <c r="K4218" s="15"/>
    </row>
    <row r="4219" ht="22.5" customHeight="1">
      <c r="H4219" s="15"/>
      <c r="I4219" s="16"/>
      <c r="J4219" s="15"/>
      <c r="K4219" s="15"/>
    </row>
    <row r="4220" ht="22.5" customHeight="1">
      <c r="H4220" s="15"/>
      <c r="I4220" s="16"/>
      <c r="J4220" s="15"/>
      <c r="K4220" s="15"/>
    </row>
    <row r="4221" ht="22.5" customHeight="1">
      <c r="H4221" s="15"/>
      <c r="I4221" s="16"/>
      <c r="J4221" s="15"/>
      <c r="K4221" s="15"/>
    </row>
    <row r="4222" ht="22.5" customHeight="1">
      <c r="H4222" s="15"/>
      <c r="I4222" s="16"/>
      <c r="J4222" s="15"/>
      <c r="K4222" s="15"/>
    </row>
    <row r="4223" ht="22.5" customHeight="1">
      <c r="H4223" s="15"/>
      <c r="I4223" s="16"/>
      <c r="J4223" s="15"/>
      <c r="K4223" s="15"/>
    </row>
    <row r="4224" ht="22.5" customHeight="1">
      <c r="H4224" s="15"/>
      <c r="I4224" s="16"/>
      <c r="J4224" s="15"/>
      <c r="K4224" s="15"/>
    </row>
    <row r="4225" ht="22.5" customHeight="1">
      <c r="H4225" s="15"/>
      <c r="I4225" s="16"/>
      <c r="J4225" s="15"/>
      <c r="K4225" s="15"/>
    </row>
    <row r="4226" ht="22.5" customHeight="1">
      <c r="H4226" s="15"/>
      <c r="I4226" s="16"/>
      <c r="J4226" s="15"/>
      <c r="K4226" s="15"/>
    </row>
    <row r="4227" ht="22.5" customHeight="1">
      <c r="H4227" s="15"/>
      <c r="I4227" s="16"/>
      <c r="J4227" s="15"/>
      <c r="K4227" s="15"/>
    </row>
    <row r="4228" ht="22.5" customHeight="1">
      <c r="H4228" s="15"/>
      <c r="I4228" s="16"/>
      <c r="J4228" s="15"/>
      <c r="K4228" s="15"/>
    </row>
    <row r="4229" ht="22.5" customHeight="1">
      <c r="H4229" s="15"/>
      <c r="I4229" s="16"/>
      <c r="J4229" s="15"/>
      <c r="K4229" s="15"/>
    </row>
    <row r="4230" ht="22.5" customHeight="1">
      <c r="H4230" s="15"/>
      <c r="I4230" s="16"/>
      <c r="J4230" s="15"/>
      <c r="K4230" s="15"/>
    </row>
    <row r="4231" ht="22.5" customHeight="1">
      <c r="H4231" s="15"/>
      <c r="I4231" s="16"/>
      <c r="J4231" s="15"/>
      <c r="K4231" s="15"/>
    </row>
    <row r="4232" ht="22.5" customHeight="1">
      <c r="H4232" s="15"/>
      <c r="I4232" s="16"/>
      <c r="J4232" s="15"/>
      <c r="K4232" s="15"/>
    </row>
    <row r="4233" ht="22.5" customHeight="1">
      <c r="H4233" s="15"/>
      <c r="I4233" s="16"/>
      <c r="J4233" s="15"/>
      <c r="K4233" s="15"/>
    </row>
    <row r="4234" ht="22.5" customHeight="1">
      <c r="H4234" s="15"/>
      <c r="I4234" s="16"/>
      <c r="J4234" s="15"/>
      <c r="K4234" s="15"/>
    </row>
    <row r="4235" ht="22.5" customHeight="1">
      <c r="H4235" s="15"/>
      <c r="I4235" s="16"/>
      <c r="J4235" s="15"/>
      <c r="K4235" s="15"/>
    </row>
    <row r="4236" ht="22.5" customHeight="1">
      <c r="H4236" s="15"/>
      <c r="I4236" s="16"/>
      <c r="J4236" s="15"/>
      <c r="K4236" s="15"/>
    </row>
    <row r="4237" ht="22.5" customHeight="1">
      <c r="H4237" s="15"/>
      <c r="I4237" s="16"/>
      <c r="J4237" s="15"/>
      <c r="K4237" s="15"/>
    </row>
    <row r="4238" ht="22.5" customHeight="1">
      <c r="H4238" s="15"/>
      <c r="I4238" s="16"/>
      <c r="J4238" s="15"/>
      <c r="K4238" s="15"/>
    </row>
    <row r="4239" ht="22.5" customHeight="1">
      <c r="H4239" s="15"/>
      <c r="I4239" s="16"/>
      <c r="J4239" s="15"/>
      <c r="K4239" s="15"/>
    </row>
    <row r="4240" ht="22.5" customHeight="1">
      <c r="H4240" s="15"/>
      <c r="I4240" s="16"/>
      <c r="J4240" s="15"/>
      <c r="K4240" s="15"/>
    </row>
    <row r="4241" ht="22.5" customHeight="1">
      <c r="H4241" s="15"/>
      <c r="I4241" s="16"/>
      <c r="J4241" s="15"/>
      <c r="K4241" s="15"/>
    </row>
    <row r="4242" ht="22.5" customHeight="1">
      <c r="H4242" s="15"/>
      <c r="I4242" s="16"/>
      <c r="J4242" s="15"/>
      <c r="K4242" s="15"/>
    </row>
    <row r="4243" ht="22.5" customHeight="1">
      <c r="H4243" s="15"/>
      <c r="I4243" s="16"/>
      <c r="J4243" s="15"/>
      <c r="K4243" s="15"/>
    </row>
    <row r="4244" ht="22.5" customHeight="1">
      <c r="H4244" s="15"/>
      <c r="I4244" s="16"/>
      <c r="J4244" s="15"/>
      <c r="K4244" s="15"/>
    </row>
    <row r="4245" ht="22.5" customHeight="1">
      <c r="H4245" s="15"/>
      <c r="I4245" s="16"/>
      <c r="J4245" s="15"/>
      <c r="K4245" s="15"/>
    </row>
    <row r="4246" ht="22.5" customHeight="1">
      <c r="H4246" s="15"/>
      <c r="I4246" s="16"/>
      <c r="J4246" s="15"/>
      <c r="K4246" s="15"/>
    </row>
    <row r="4247" ht="22.5" customHeight="1">
      <c r="H4247" s="15"/>
      <c r="I4247" s="16"/>
      <c r="J4247" s="15"/>
      <c r="K4247" s="15"/>
    </row>
    <row r="4248" ht="22.5" customHeight="1">
      <c r="H4248" s="15"/>
      <c r="I4248" s="16"/>
      <c r="J4248" s="15"/>
      <c r="K4248" s="15"/>
    </row>
    <row r="4249" ht="22.5" customHeight="1">
      <c r="H4249" s="15"/>
      <c r="I4249" s="16"/>
      <c r="J4249" s="15"/>
      <c r="K4249" s="15"/>
    </row>
    <row r="4250" ht="22.5" customHeight="1">
      <c r="H4250" s="15"/>
      <c r="I4250" s="16"/>
      <c r="J4250" s="15"/>
      <c r="K4250" s="15"/>
    </row>
    <row r="4251" ht="22.5" customHeight="1">
      <c r="H4251" s="15"/>
      <c r="I4251" s="16"/>
      <c r="J4251" s="15"/>
      <c r="K4251" s="15"/>
    </row>
    <row r="4252" ht="22.5" customHeight="1">
      <c r="H4252" s="15"/>
      <c r="I4252" s="16"/>
      <c r="J4252" s="15"/>
      <c r="K4252" s="15"/>
    </row>
    <row r="4253" ht="22.5" customHeight="1">
      <c r="H4253" s="15"/>
      <c r="I4253" s="16"/>
      <c r="J4253" s="15"/>
      <c r="K4253" s="15"/>
    </row>
    <row r="4254" ht="22.5" customHeight="1">
      <c r="H4254" s="15"/>
      <c r="I4254" s="16"/>
      <c r="J4254" s="15"/>
      <c r="K4254" s="15"/>
    </row>
    <row r="4255" ht="22.5" customHeight="1">
      <c r="H4255" s="15"/>
      <c r="I4255" s="16"/>
      <c r="J4255" s="15"/>
      <c r="K4255" s="15"/>
    </row>
    <row r="4256" ht="22.5" customHeight="1">
      <c r="H4256" s="15"/>
      <c r="I4256" s="16"/>
      <c r="J4256" s="15"/>
      <c r="K4256" s="15"/>
    </row>
    <row r="4257" ht="22.5" customHeight="1">
      <c r="H4257" s="15"/>
      <c r="I4257" s="16"/>
      <c r="J4257" s="15"/>
      <c r="K4257" s="15"/>
    </row>
    <row r="4258" ht="22.5" customHeight="1">
      <c r="H4258" s="15"/>
      <c r="I4258" s="16"/>
      <c r="J4258" s="15"/>
      <c r="K4258" s="15"/>
    </row>
    <row r="4259" ht="22.5" customHeight="1">
      <c r="H4259" s="15"/>
      <c r="I4259" s="16"/>
      <c r="J4259" s="15"/>
      <c r="K4259" s="15"/>
    </row>
    <row r="4260" ht="22.5" customHeight="1">
      <c r="H4260" s="15"/>
      <c r="I4260" s="16"/>
      <c r="J4260" s="15"/>
      <c r="K4260" s="15"/>
    </row>
    <row r="4261" ht="22.5" customHeight="1">
      <c r="H4261" s="15"/>
      <c r="I4261" s="16"/>
      <c r="J4261" s="15"/>
      <c r="K4261" s="15"/>
    </row>
    <row r="4262" ht="22.5" customHeight="1">
      <c r="H4262" s="15"/>
      <c r="I4262" s="16"/>
      <c r="J4262" s="15"/>
      <c r="K4262" s="15"/>
    </row>
    <row r="4263" ht="22.5" customHeight="1">
      <c r="H4263" s="15"/>
      <c r="I4263" s="16"/>
      <c r="J4263" s="15"/>
      <c r="K4263" s="15"/>
    </row>
    <row r="4264" ht="22.5" customHeight="1">
      <c r="H4264" s="15"/>
      <c r="I4264" s="16"/>
      <c r="J4264" s="15"/>
      <c r="K4264" s="15"/>
    </row>
    <row r="4265" ht="22.5" customHeight="1">
      <c r="H4265" s="15"/>
      <c r="I4265" s="16"/>
      <c r="J4265" s="15"/>
      <c r="K4265" s="15"/>
    </row>
    <row r="4266" ht="22.5" customHeight="1">
      <c r="H4266" s="15"/>
      <c r="I4266" s="16"/>
      <c r="J4266" s="15"/>
      <c r="K4266" s="15"/>
    </row>
    <row r="4267" ht="22.5" customHeight="1">
      <c r="H4267" s="15"/>
      <c r="I4267" s="16"/>
      <c r="J4267" s="15"/>
      <c r="K4267" s="15"/>
    </row>
    <row r="4268" ht="22.5" customHeight="1">
      <c r="H4268" s="15"/>
      <c r="I4268" s="16"/>
      <c r="J4268" s="15"/>
      <c r="K4268" s="15"/>
    </row>
    <row r="4269" ht="22.5" customHeight="1">
      <c r="H4269" s="15"/>
      <c r="I4269" s="16"/>
      <c r="J4269" s="15"/>
      <c r="K4269" s="15"/>
    </row>
    <row r="4270" ht="22.5" customHeight="1">
      <c r="H4270" s="15"/>
      <c r="I4270" s="16"/>
      <c r="J4270" s="15"/>
      <c r="K4270" s="15"/>
    </row>
    <row r="4271" ht="22.5" customHeight="1">
      <c r="H4271" s="15"/>
      <c r="I4271" s="16"/>
      <c r="J4271" s="15"/>
      <c r="K4271" s="15"/>
    </row>
    <row r="4272" ht="22.5" customHeight="1">
      <c r="H4272" s="15"/>
      <c r="I4272" s="16"/>
      <c r="J4272" s="15"/>
      <c r="K4272" s="15"/>
    </row>
    <row r="4273" ht="22.5" customHeight="1">
      <c r="H4273" s="15"/>
      <c r="I4273" s="16"/>
      <c r="J4273" s="15"/>
      <c r="K4273" s="15"/>
    </row>
    <row r="4274" ht="22.5" customHeight="1">
      <c r="H4274" s="15"/>
      <c r="I4274" s="16"/>
      <c r="J4274" s="15"/>
      <c r="K4274" s="15"/>
    </row>
    <row r="4275" ht="22.5" customHeight="1">
      <c r="H4275" s="15"/>
      <c r="I4275" s="16"/>
      <c r="J4275" s="15"/>
      <c r="K4275" s="15"/>
    </row>
    <row r="4276" ht="22.5" customHeight="1">
      <c r="H4276" s="15"/>
      <c r="I4276" s="16"/>
      <c r="J4276" s="15"/>
      <c r="K4276" s="15"/>
    </row>
    <row r="4277" ht="22.5" customHeight="1">
      <c r="H4277" s="15"/>
      <c r="I4277" s="16"/>
      <c r="J4277" s="15"/>
      <c r="K4277" s="15"/>
    </row>
    <row r="4278" ht="22.5" customHeight="1">
      <c r="H4278" s="15"/>
      <c r="I4278" s="16"/>
      <c r="J4278" s="15"/>
      <c r="K4278" s="15"/>
    </row>
    <row r="4279" ht="22.5" customHeight="1">
      <c r="H4279" s="15"/>
      <c r="I4279" s="16"/>
      <c r="J4279" s="15"/>
      <c r="K4279" s="15"/>
    </row>
    <row r="4280" ht="22.5" customHeight="1">
      <c r="H4280" s="15"/>
      <c r="I4280" s="16"/>
      <c r="J4280" s="15"/>
      <c r="K4280" s="15"/>
    </row>
    <row r="4281" ht="22.5" customHeight="1">
      <c r="H4281" s="15"/>
      <c r="I4281" s="16"/>
      <c r="J4281" s="15"/>
      <c r="K4281" s="15"/>
    </row>
    <row r="4282" ht="22.5" customHeight="1">
      <c r="H4282" s="15"/>
      <c r="I4282" s="16"/>
      <c r="J4282" s="15"/>
      <c r="K4282" s="15"/>
    </row>
    <row r="4283" ht="22.5" customHeight="1">
      <c r="H4283" s="15"/>
      <c r="I4283" s="16"/>
      <c r="J4283" s="15"/>
      <c r="K4283" s="15"/>
    </row>
    <row r="4284" ht="22.5" customHeight="1">
      <c r="H4284" s="15"/>
      <c r="I4284" s="16"/>
      <c r="J4284" s="15"/>
      <c r="K4284" s="15"/>
    </row>
    <row r="4285" ht="22.5" customHeight="1">
      <c r="H4285" s="15"/>
      <c r="I4285" s="16"/>
      <c r="J4285" s="15"/>
      <c r="K4285" s="15"/>
    </row>
    <row r="4286" ht="22.5" customHeight="1">
      <c r="H4286" s="15"/>
      <c r="I4286" s="16"/>
      <c r="J4286" s="15"/>
      <c r="K4286" s="15"/>
    </row>
    <row r="4287" ht="22.5" customHeight="1">
      <c r="H4287" s="15"/>
      <c r="I4287" s="16"/>
      <c r="J4287" s="15"/>
      <c r="K4287" s="15"/>
    </row>
    <row r="4288" ht="22.5" customHeight="1">
      <c r="H4288" s="15"/>
      <c r="I4288" s="16"/>
      <c r="J4288" s="15"/>
      <c r="K4288" s="15"/>
    </row>
    <row r="4289" ht="22.5" customHeight="1">
      <c r="H4289" s="15"/>
      <c r="I4289" s="16"/>
      <c r="J4289" s="15"/>
      <c r="K4289" s="15"/>
    </row>
    <row r="4290" ht="22.5" customHeight="1">
      <c r="H4290" s="15"/>
      <c r="I4290" s="16"/>
      <c r="J4290" s="15"/>
      <c r="K4290" s="15"/>
    </row>
    <row r="4291" ht="22.5" customHeight="1">
      <c r="H4291" s="15"/>
      <c r="I4291" s="16"/>
      <c r="J4291" s="15"/>
      <c r="K4291" s="15"/>
    </row>
    <row r="4292" ht="22.5" customHeight="1">
      <c r="H4292" s="15"/>
      <c r="I4292" s="16"/>
      <c r="J4292" s="15"/>
      <c r="K4292" s="15"/>
    </row>
    <row r="4293" ht="22.5" customHeight="1">
      <c r="H4293" s="15"/>
      <c r="I4293" s="16"/>
      <c r="J4293" s="15"/>
      <c r="K4293" s="15"/>
    </row>
    <row r="4294" ht="22.5" customHeight="1">
      <c r="H4294" s="15"/>
      <c r="I4294" s="16"/>
      <c r="J4294" s="15"/>
      <c r="K4294" s="15"/>
    </row>
    <row r="4295" ht="22.5" customHeight="1">
      <c r="H4295" s="15"/>
      <c r="I4295" s="16"/>
      <c r="J4295" s="15"/>
      <c r="K4295" s="15"/>
    </row>
    <row r="4296" ht="22.5" customHeight="1">
      <c r="H4296" s="15"/>
      <c r="I4296" s="16"/>
      <c r="J4296" s="15"/>
      <c r="K4296" s="15"/>
    </row>
    <row r="4297" ht="22.5" customHeight="1">
      <c r="H4297" s="15"/>
      <c r="I4297" s="16"/>
      <c r="J4297" s="15"/>
      <c r="K4297" s="15"/>
    </row>
    <row r="4298" ht="22.5" customHeight="1">
      <c r="H4298" s="15"/>
      <c r="I4298" s="16"/>
      <c r="J4298" s="15"/>
      <c r="K4298" s="15"/>
    </row>
    <row r="4299" ht="22.5" customHeight="1">
      <c r="H4299" s="15"/>
      <c r="I4299" s="16"/>
      <c r="J4299" s="15"/>
      <c r="K4299" s="15"/>
    </row>
    <row r="4300" ht="22.5" customHeight="1">
      <c r="H4300" s="15"/>
      <c r="I4300" s="16"/>
      <c r="J4300" s="15"/>
      <c r="K4300" s="15"/>
    </row>
    <row r="4301" ht="22.5" customHeight="1">
      <c r="H4301" s="15"/>
      <c r="I4301" s="16"/>
      <c r="J4301" s="15"/>
      <c r="K4301" s="15"/>
    </row>
    <row r="4302" ht="22.5" customHeight="1">
      <c r="H4302" s="15"/>
      <c r="I4302" s="16"/>
      <c r="J4302" s="15"/>
      <c r="K4302" s="15"/>
    </row>
    <row r="4303" ht="22.5" customHeight="1">
      <c r="H4303" s="15"/>
      <c r="I4303" s="16"/>
      <c r="J4303" s="15"/>
      <c r="K4303" s="15"/>
    </row>
    <row r="4304" ht="22.5" customHeight="1">
      <c r="H4304" s="15"/>
      <c r="I4304" s="16"/>
      <c r="J4304" s="15"/>
      <c r="K4304" s="15"/>
    </row>
    <row r="4305" ht="22.5" customHeight="1">
      <c r="H4305" s="15"/>
      <c r="I4305" s="16"/>
      <c r="J4305" s="15"/>
      <c r="K4305" s="15"/>
    </row>
    <row r="4306" ht="22.5" customHeight="1">
      <c r="H4306" s="15"/>
      <c r="I4306" s="16"/>
      <c r="J4306" s="15"/>
      <c r="K4306" s="15"/>
    </row>
    <row r="4307" ht="22.5" customHeight="1">
      <c r="H4307" s="15"/>
      <c r="I4307" s="16"/>
      <c r="J4307" s="15"/>
      <c r="K4307" s="15"/>
    </row>
    <row r="4308" ht="22.5" customHeight="1">
      <c r="H4308" s="15"/>
      <c r="I4308" s="16"/>
      <c r="J4308" s="15"/>
      <c r="K4308" s="15"/>
    </row>
    <row r="4309" ht="22.5" customHeight="1">
      <c r="H4309" s="15"/>
      <c r="I4309" s="16"/>
      <c r="J4309" s="15"/>
      <c r="K4309" s="15"/>
    </row>
    <row r="4310" ht="22.5" customHeight="1">
      <c r="H4310" s="15"/>
      <c r="I4310" s="16"/>
      <c r="J4310" s="15"/>
      <c r="K4310" s="15"/>
    </row>
    <row r="4311" ht="22.5" customHeight="1">
      <c r="H4311" s="15"/>
      <c r="I4311" s="16"/>
      <c r="J4311" s="15"/>
      <c r="K4311" s="15"/>
    </row>
    <row r="4312" ht="22.5" customHeight="1">
      <c r="H4312" s="15"/>
      <c r="I4312" s="16"/>
      <c r="J4312" s="15"/>
      <c r="K4312" s="15"/>
    </row>
    <row r="4313" ht="22.5" customHeight="1">
      <c r="H4313" s="15"/>
      <c r="I4313" s="16"/>
      <c r="J4313" s="15"/>
      <c r="K4313" s="15"/>
    </row>
    <row r="4314" ht="22.5" customHeight="1">
      <c r="H4314" s="15"/>
      <c r="I4314" s="16"/>
      <c r="J4314" s="15"/>
      <c r="K4314" s="15"/>
    </row>
    <row r="4315" ht="22.5" customHeight="1">
      <c r="H4315" s="15"/>
      <c r="I4315" s="16"/>
      <c r="J4315" s="15"/>
      <c r="K4315" s="15"/>
    </row>
    <row r="4316" ht="22.5" customHeight="1">
      <c r="H4316" s="15"/>
      <c r="I4316" s="16"/>
      <c r="J4316" s="15"/>
      <c r="K4316" s="15"/>
    </row>
    <row r="4317" ht="22.5" customHeight="1">
      <c r="H4317" s="15"/>
      <c r="I4317" s="16"/>
      <c r="J4317" s="15"/>
      <c r="K4317" s="15"/>
    </row>
    <row r="4318" ht="22.5" customHeight="1">
      <c r="H4318" s="15"/>
      <c r="I4318" s="16"/>
      <c r="J4318" s="15"/>
      <c r="K4318" s="15"/>
    </row>
    <row r="4319" ht="22.5" customHeight="1">
      <c r="H4319" s="15"/>
      <c r="I4319" s="16"/>
      <c r="J4319" s="15"/>
      <c r="K4319" s="15"/>
    </row>
    <row r="4320" ht="22.5" customHeight="1">
      <c r="H4320" s="15"/>
      <c r="I4320" s="16"/>
      <c r="J4320" s="15"/>
      <c r="K4320" s="15"/>
    </row>
    <row r="4321" ht="22.5" customHeight="1">
      <c r="H4321" s="15"/>
      <c r="I4321" s="16"/>
      <c r="J4321" s="15"/>
      <c r="K4321" s="15"/>
    </row>
    <row r="4322" ht="22.5" customHeight="1">
      <c r="H4322" s="15"/>
      <c r="I4322" s="16"/>
      <c r="J4322" s="15"/>
      <c r="K4322" s="15"/>
    </row>
    <row r="4323" ht="22.5" customHeight="1">
      <c r="H4323" s="15"/>
      <c r="I4323" s="16"/>
      <c r="J4323" s="15"/>
      <c r="K4323" s="15"/>
    </row>
    <row r="4324" ht="22.5" customHeight="1">
      <c r="H4324" s="15"/>
      <c r="I4324" s="16"/>
      <c r="J4324" s="15"/>
      <c r="K4324" s="15"/>
    </row>
    <row r="4325" ht="22.5" customHeight="1">
      <c r="H4325" s="15"/>
      <c r="I4325" s="16"/>
      <c r="J4325" s="15"/>
      <c r="K4325" s="15"/>
    </row>
    <row r="4326" ht="22.5" customHeight="1">
      <c r="H4326" s="15"/>
      <c r="I4326" s="16"/>
      <c r="J4326" s="15"/>
      <c r="K4326" s="15"/>
    </row>
    <row r="4327" ht="22.5" customHeight="1">
      <c r="H4327" s="15"/>
      <c r="I4327" s="16"/>
      <c r="J4327" s="15"/>
      <c r="K4327" s="15"/>
    </row>
    <row r="4328" ht="22.5" customHeight="1">
      <c r="H4328" s="15"/>
      <c r="I4328" s="16"/>
      <c r="J4328" s="15"/>
      <c r="K4328" s="15"/>
    </row>
    <row r="4329" ht="22.5" customHeight="1">
      <c r="H4329" s="15"/>
      <c r="I4329" s="16"/>
      <c r="J4329" s="15"/>
      <c r="K4329" s="15"/>
    </row>
    <row r="4330" ht="22.5" customHeight="1">
      <c r="H4330" s="15"/>
      <c r="I4330" s="16"/>
      <c r="J4330" s="15"/>
      <c r="K4330" s="15"/>
    </row>
    <row r="4331" ht="22.5" customHeight="1">
      <c r="H4331" s="15"/>
      <c r="I4331" s="16"/>
      <c r="J4331" s="15"/>
      <c r="K4331" s="15"/>
    </row>
    <row r="4332" ht="22.5" customHeight="1">
      <c r="H4332" s="15"/>
      <c r="I4332" s="16"/>
      <c r="J4332" s="15"/>
      <c r="K4332" s="15"/>
    </row>
    <row r="4333" ht="22.5" customHeight="1">
      <c r="H4333" s="15"/>
      <c r="I4333" s="16"/>
      <c r="J4333" s="15"/>
      <c r="K4333" s="15"/>
    </row>
    <row r="4334" ht="22.5" customHeight="1">
      <c r="H4334" s="15"/>
      <c r="I4334" s="16"/>
      <c r="J4334" s="15"/>
      <c r="K4334" s="15"/>
    </row>
    <row r="4335" ht="22.5" customHeight="1">
      <c r="H4335" s="15"/>
      <c r="I4335" s="16"/>
      <c r="J4335" s="15"/>
      <c r="K4335" s="15"/>
    </row>
    <row r="4336" ht="22.5" customHeight="1">
      <c r="H4336" s="15"/>
      <c r="I4336" s="16"/>
      <c r="J4336" s="15"/>
      <c r="K4336" s="15"/>
    </row>
    <row r="4337" ht="22.5" customHeight="1">
      <c r="H4337" s="15"/>
      <c r="I4337" s="16"/>
      <c r="J4337" s="15"/>
      <c r="K4337" s="15"/>
    </row>
    <row r="4338" ht="22.5" customHeight="1">
      <c r="H4338" s="15"/>
      <c r="I4338" s="16"/>
      <c r="J4338" s="15"/>
      <c r="K4338" s="15"/>
    </row>
    <row r="4339" ht="22.5" customHeight="1">
      <c r="H4339" s="15"/>
      <c r="I4339" s="16"/>
      <c r="J4339" s="15"/>
      <c r="K4339" s="15"/>
    </row>
    <row r="4340" ht="22.5" customHeight="1">
      <c r="H4340" s="15"/>
      <c r="I4340" s="16"/>
      <c r="J4340" s="15"/>
      <c r="K4340" s="15"/>
    </row>
    <row r="4341" ht="22.5" customHeight="1">
      <c r="H4341" s="15"/>
      <c r="I4341" s="16"/>
      <c r="J4341" s="15"/>
      <c r="K4341" s="15"/>
    </row>
    <row r="4342" ht="22.5" customHeight="1">
      <c r="H4342" s="15"/>
      <c r="I4342" s="16"/>
      <c r="J4342" s="15"/>
      <c r="K4342" s="15"/>
    </row>
    <row r="4343" ht="22.5" customHeight="1">
      <c r="H4343" s="15"/>
      <c r="I4343" s="16"/>
      <c r="J4343" s="15"/>
      <c r="K4343" s="15"/>
    </row>
    <row r="4344" ht="22.5" customHeight="1">
      <c r="H4344" s="15"/>
      <c r="I4344" s="16"/>
      <c r="J4344" s="15"/>
      <c r="K4344" s="15"/>
    </row>
    <row r="4345" ht="22.5" customHeight="1">
      <c r="H4345" s="15"/>
      <c r="I4345" s="16"/>
      <c r="J4345" s="15"/>
      <c r="K4345" s="15"/>
    </row>
    <row r="4346" ht="22.5" customHeight="1">
      <c r="H4346" s="15"/>
      <c r="I4346" s="16"/>
      <c r="J4346" s="15"/>
      <c r="K4346" s="15"/>
    </row>
    <row r="4347" ht="22.5" customHeight="1">
      <c r="H4347" s="15"/>
      <c r="I4347" s="16"/>
      <c r="J4347" s="15"/>
      <c r="K4347" s="15"/>
    </row>
    <row r="4348" ht="22.5" customHeight="1">
      <c r="H4348" s="15"/>
      <c r="I4348" s="16"/>
      <c r="J4348" s="15"/>
      <c r="K4348" s="15"/>
    </row>
    <row r="4349" ht="22.5" customHeight="1">
      <c r="H4349" s="15"/>
      <c r="I4349" s="16"/>
      <c r="J4349" s="15"/>
      <c r="K4349" s="15"/>
    </row>
    <row r="4350" ht="22.5" customHeight="1">
      <c r="H4350" s="15"/>
      <c r="I4350" s="16"/>
      <c r="J4350" s="15"/>
      <c r="K4350" s="15"/>
    </row>
    <row r="4351" ht="22.5" customHeight="1">
      <c r="H4351" s="15"/>
      <c r="I4351" s="16"/>
      <c r="J4351" s="15"/>
      <c r="K4351" s="15"/>
    </row>
    <row r="4352" ht="22.5" customHeight="1">
      <c r="H4352" s="15"/>
      <c r="I4352" s="16"/>
      <c r="J4352" s="15"/>
      <c r="K4352" s="15"/>
    </row>
    <row r="4353" ht="22.5" customHeight="1">
      <c r="H4353" s="15"/>
      <c r="I4353" s="16"/>
      <c r="J4353" s="15"/>
      <c r="K4353" s="15"/>
    </row>
    <row r="4354" ht="22.5" customHeight="1">
      <c r="H4354" s="15"/>
      <c r="I4354" s="16"/>
      <c r="J4354" s="15"/>
      <c r="K4354" s="15"/>
    </row>
    <row r="4355" ht="22.5" customHeight="1">
      <c r="H4355" s="15"/>
      <c r="I4355" s="16"/>
      <c r="J4355" s="15"/>
      <c r="K4355" s="15"/>
    </row>
    <row r="4356" ht="22.5" customHeight="1">
      <c r="H4356" s="15"/>
      <c r="I4356" s="16"/>
      <c r="J4356" s="15"/>
      <c r="K4356" s="15"/>
    </row>
    <row r="4357" ht="22.5" customHeight="1">
      <c r="H4357" s="15"/>
      <c r="I4357" s="16"/>
      <c r="J4357" s="15"/>
      <c r="K4357" s="15"/>
    </row>
    <row r="4358" ht="22.5" customHeight="1">
      <c r="H4358" s="15"/>
      <c r="I4358" s="16"/>
      <c r="J4358" s="15"/>
      <c r="K4358" s="15"/>
    </row>
    <row r="4359" ht="22.5" customHeight="1">
      <c r="H4359" s="15"/>
      <c r="I4359" s="16"/>
      <c r="J4359" s="15"/>
      <c r="K4359" s="15"/>
    </row>
    <row r="4360" ht="22.5" customHeight="1">
      <c r="H4360" s="15"/>
      <c r="I4360" s="16"/>
      <c r="J4360" s="15"/>
      <c r="K4360" s="15"/>
    </row>
    <row r="4361" ht="22.5" customHeight="1">
      <c r="H4361" s="15"/>
      <c r="I4361" s="16"/>
      <c r="J4361" s="15"/>
      <c r="K4361" s="15"/>
    </row>
    <row r="4362" ht="22.5" customHeight="1">
      <c r="H4362" s="15"/>
      <c r="I4362" s="16"/>
      <c r="J4362" s="15"/>
      <c r="K4362" s="15"/>
    </row>
    <row r="4363" ht="22.5" customHeight="1">
      <c r="H4363" s="15"/>
      <c r="I4363" s="16"/>
      <c r="J4363" s="15"/>
      <c r="K4363" s="15"/>
    </row>
    <row r="4364" ht="22.5" customHeight="1">
      <c r="H4364" s="15"/>
      <c r="I4364" s="16"/>
      <c r="J4364" s="15"/>
      <c r="K4364" s="15"/>
    </row>
    <row r="4365" ht="22.5" customHeight="1">
      <c r="H4365" s="15"/>
      <c r="I4365" s="16"/>
      <c r="J4365" s="15"/>
      <c r="K4365" s="15"/>
    </row>
    <row r="4366" ht="22.5" customHeight="1">
      <c r="H4366" s="15"/>
      <c r="I4366" s="16"/>
      <c r="J4366" s="15"/>
      <c r="K4366" s="15"/>
    </row>
    <row r="4367" ht="22.5" customHeight="1">
      <c r="H4367" s="15"/>
      <c r="I4367" s="16"/>
      <c r="J4367" s="15"/>
      <c r="K4367" s="15"/>
    </row>
    <row r="4368" ht="22.5" customHeight="1">
      <c r="H4368" s="15"/>
      <c r="I4368" s="16"/>
      <c r="J4368" s="15"/>
      <c r="K4368" s="15"/>
    </row>
    <row r="4369" ht="22.5" customHeight="1">
      <c r="H4369" s="15"/>
      <c r="I4369" s="16"/>
      <c r="J4369" s="15"/>
      <c r="K4369" s="15"/>
    </row>
    <row r="4370" ht="22.5" customHeight="1">
      <c r="H4370" s="15"/>
      <c r="I4370" s="16"/>
      <c r="J4370" s="15"/>
      <c r="K4370" s="15"/>
    </row>
    <row r="4371" ht="22.5" customHeight="1">
      <c r="H4371" s="15"/>
      <c r="I4371" s="16"/>
      <c r="J4371" s="15"/>
      <c r="K4371" s="15"/>
    </row>
    <row r="4372" ht="22.5" customHeight="1">
      <c r="H4372" s="15"/>
      <c r="I4372" s="16"/>
      <c r="J4372" s="15"/>
      <c r="K4372" s="15"/>
    </row>
    <row r="4373" ht="22.5" customHeight="1">
      <c r="H4373" s="15"/>
      <c r="I4373" s="16"/>
      <c r="J4373" s="15"/>
      <c r="K4373" s="15"/>
    </row>
    <row r="4374" ht="22.5" customHeight="1">
      <c r="H4374" s="15"/>
      <c r="I4374" s="16"/>
      <c r="J4374" s="15"/>
      <c r="K4374" s="15"/>
    </row>
    <row r="4375" ht="22.5" customHeight="1">
      <c r="H4375" s="15"/>
      <c r="I4375" s="16"/>
      <c r="J4375" s="15"/>
      <c r="K4375" s="15"/>
    </row>
    <row r="4376" ht="22.5" customHeight="1">
      <c r="H4376" s="15"/>
      <c r="I4376" s="16"/>
      <c r="J4376" s="15"/>
      <c r="K4376" s="15"/>
    </row>
    <row r="4377" ht="22.5" customHeight="1">
      <c r="H4377" s="15"/>
      <c r="I4377" s="16"/>
      <c r="J4377" s="15"/>
      <c r="K4377" s="15"/>
    </row>
    <row r="4378" ht="22.5" customHeight="1">
      <c r="H4378" s="15"/>
      <c r="I4378" s="16"/>
      <c r="J4378" s="15"/>
      <c r="K4378" s="15"/>
    </row>
    <row r="4379" ht="22.5" customHeight="1">
      <c r="H4379" s="15"/>
      <c r="I4379" s="16"/>
      <c r="J4379" s="15"/>
      <c r="K4379" s="15"/>
    </row>
    <row r="4380" ht="22.5" customHeight="1">
      <c r="H4380" s="15"/>
      <c r="I4380" s="16"/>
      <c r="J4380" s="15"/>
      <c r="K4380" s="15"/>
    </row>
    <row r="4381" ht="22.5" customHeight="1">
      <c r="H4381" s="15"/>
      <c r="I4381" s="16"/>
      <c r="J4381" s="15"/>
      <c r="K4381" s="15"/>
    </row>
    <row r="4382" ht="22.5" customHeight="1">
      <c r="H4382" s="15"/>
      <c r="I4382" s="16"/>
      <c r="J4382" s="15"/>
      <c r="K4382" s="15"/>
    </row>
    <row r="4383" ht="22.5" customHeight="1">
      <c r="H4383" s="15"/>
      <c r="I4383" s="16"/>
      <c r="J4383" s="15"/>
      <c r="K4383" s="15"/>
    </row>
    <row r="4384" ht="22.5" customHeight="1">
      <c r="H4384" s="15"/>
      <c r="I4384" s="16"/>
      <c r="J4384" s="15"/>
      <c r="K4384" s="15"/>
    </row>
    <row r="4385" ht="22.5" customHeight="1">
      <c r="H4385" s="15"/>
      <c r="I4385" s="16"/>
      <c r="J4385" s="15"/>
      <c r="K4385" s="15"/>
    </row>
    <row r="4386" ht="22.5" customHeight="1">
      <c r="H4386" s="15"/>
      <c r="I4386" s="16"/>
      <c r="J4386" s="15"/>
      <c r="K4386" s="15"/>
    </row>
    <row r="4387" ht="22.5" customHeight="1">
      <c r="H4387" s="15"/>
      <c r="I4387" s="16"/>
      <c r="J4387" s="15"/>
      <c r="K4387" s="15"/>
    </row>
    <row r="4388" ht="22.5" customHeight="1">
      <c r="H4388" s="15"/>
      <c r="I4388" s="16"/>
      <c r="J4388" s="15"/>
      <c r="K4388" s="15"/>
    </row>
    <row r="4389" ht="22.5" customHeight="1">
      <c r="H4389" s="15"/>
      <c r="I4389" s="16"/>
      <c r="J4389" s="15"/>
      <c r="K4389" s="15"/>
    </row>
    <row r="4390" ht="22.5" customHeight="1">
      <c r="H4390" s="15"/>
      <c r="I4390" s="16"/>
      <c r="J4390" s="15"/>
      <c r="K4390" s="15"/>
    </row>
    <row r="4391" ht="22.5" customHeight="1">
      <c r="H4391" s="15"/>
      <c r="I4391" s="16"/>
      <c r="J4391" s="15"/>
      <c r="K4391" s="15"/>
    </row>
    <row r="4392" ht="22.5" customHeight="1">
      <c r="H4392" s="15"/>
      <c r="I4392" s="16"/>
      <c r="J4392" s="15"/>
      <c r="K4392" s="15"/>
    </row>
    <row r="4393" ht="22.5" customHeight="1">
      <c r="H4393" s="15"/>
      <c r="I4393" s="16"/>
      <c r="J4393" s="15"/>
      <c r="K4393" s="15"/>
    </row>
    <row r="4394" ht="22.5" customHeight="1">
      <c r="H4394" s="15"/>
      <c r="I4394" s="16"/>
      <c r="J4394" s="15"/>
      <c r="K4394" s="15"/>
    </row>
    <row r="4395" ht="22.5" customHeight="1">
      <c r="H4395" s="15"/>
      <c r="I4395" s="16"/>
      <c r="J4395" s="15"/>
      <c r="K4395" s="15"/>
    </row>
    <row r="4396" ht="22.5" customHeight="1">
      <c r="H4396" s="15"/>
      <c r="I4396" s="16"/>
      <c r="J4396" s="15"/>
      <c r="K4396" s="15"/>
    </row>
    <row r="4397" ht="22.5" customHeight="1">
      <c r="H4397" s="15"/>
      <c r="I4397" s="16"/>
      <c r="J4397" s="15"/>
      <c r="K4397" s="15"/>
    </row>
    <row r="4398" ht="22.5" customHeight="1">
      <c r="H4398" s="15"/>
      <c r="I4398" s="16"/>
      <c r="J4398" s="15"/>
      <c r="K4398" s="15"/>
    </row>
    <row r="4399" ht="22.5" customHeight="1">
      <c r="H4399" s="15"/>
      <c r="I4399" s="16"/>
      <c r="J4399" s="15"/>
      <c r="K4399" s="15"/>
    </row>
    <row r="4400" ht="22.5" customHeight="1">
      <c r="H4400" s="15"/>
      <c r="I4400" s="16"/>
      <c r="J4400" s="15"/>
      <c r="K4400" s="15"/>
    </row>
    <row r="4401" ht="22.5" customHeight="1">
      <c r="H4401" s="15"/>
      <c r="I4401" s="16"/>
      <c r="J4401" s="15"/>
      <c r="K4401" s="15"/>
    </row>
    <row r="4402" ht="22.5" customHeight="1">
      <c r="H4402" s="15"/>
      <c r="I4402" s="16"/>
      <c r="J4402" s="15"/>
      <c r="K4402" s="15"/>
    </row>
    <row r="4403" ht="22.5" customHeight="1">
      <c r="H4403" s="15"/>
      <c r="I4403" s="16"/>
      <c r="J4403" s="15"/>
      <c r="K4403" s="15"/>
    </row>
    <row r="4404" ht="22.5" customHeight="1">
      <c r="H4404" s="15"/>
      <c r="I4404" s="16"/>
      <c r="J4404" s="15"/>
      <c r="K4404" s="15"/>
    </row>
    <row r="4405" ht="22.5" customHeight="1">
      <c r="H4405" s="15"/>
      <c r="I4405" s="16"/>
      <c r="J4405" s="15"/>
      <c r="K4405" s="15"/>
    </row>
    <row r="4406" ht="22.5" customHeight="1">
      <c r="H4406" s="15"/>
      <c r="I4406" s="16"/>
      <c r="J4406" s="15"/>
      <c r="K4406" s="15"/>
    </row>
    <row r="4407" ht="22.5" customHeight="1">
      <c r="H4407" s="15"/>
      <c r="I4407" s="16"/>
      <c r="J4407" s="15"/>
      <c r="K4407" s="15"/>
    </row>
    <row r="4408" ht="22.5" customHeight="1">
      <c r="H4408" s="15"/>
      <c r="I4408" s="16"/>
      <c r="J4408" s="15"/>
      <c r="K4408" s="15"/>
    </row>
    <row r="4409" ht="22.5" customHeight="1">
      <c r="H4409" s="15"/>
      <c r="I4409" s="16"/>
      <c r="J4409" s="15"/>
      <c r="K4409" s="15"/>
    </row>
    <row r="4410" ht="22.5" customHeight="1">
      <c r="H4410" s="15"/>
      <c r="I4410" s="16"/>
      <c r="J4410" s="15"/>
      <c r="K4410" s="15"/>
    </row>
    <row r="4411" ht="22.5" customHeight="1">
      <c r="H4411" s="15"/>
      <c r="I4411" s="16"/>
      <c r="J4411" s="15"/>
      <c r="K4411" s="15"/>
    </row>
    <row r="4412" ht="22.5" customHeight="1">
      <c r="H4412" s="15"/>
      <c r="I4412" s="16"/>
      <c r="J4412" s="15"/>
      <c r="K4412" s="15"/>
    </row>
    <row r="4413" ht="22.5" customHeight="1">
      <c r="H4413" s="15"/>
      <c r="I4413" s="16"/>
      <c r="J4413" s="15"/>
      <c r="K4413" s="15"/>
    </row>
    <row r="4414" ht="22.5" customHeight="1">
      <c r="H4414" s="15"/>
      <c r="I4414" s="16"/>
      <c r="J4414" s="15"/>
      <c r="K4414" s="15"/>
    </row>
    <row r="4415" ht="22.5" customHeight="1">
      <c r="H4415" s="15"/>
      <c r="I4415" s="16"/>
      <c r="J4415" s="15"/>
      <c r="K4415" s="15"/>
    </row>
    <row r="4416" ht="22.5" customHeight="1">
      <c r="H4416" s="15"/>
      <c r="I4416" s="16"/>
      <c r="J4416" s="15"/>
      <c r="K4416" s="15"/>
    </row>
    <row r="4417" ht="22.5" customHeight="1">
      <c r="H4417" s="15"/>
      <c r="I4417" s="16"/>
      <c r="J4417" s="15"/>
      <c r="K4417" s="15"/>
    </row>
    <row r="4418" ht="22.5" customHeight="1">
      <c r="H4418" s="15"/>
      <c r="I4418" s="16"/>
      <c r="J4418" s="15"/>
      <c r="K4418" s="15"/>
    </row>
    <row r="4419" ht="22.5" customHeight="1">
      <c r="H4419" s="15"/>
      <c r="I4419" s="16"/>
      <c r="J4419" s="15"/>
      <c r="K4419" s="15"/>
    </row>
    <row r="4420" ht="22.5" customHeight="1">
      <c r="H4420" s="15"/>
      <c r="I4420" s="16"/>
      <c r="J4420" s="15"/>
      <c r="K4420" s="15"/>
    </row>
    <row r="4421" ht="22.5" customHeight="1">
      <c r="H4421" s="15"/>
      <c r="I4421" s="16"/>
      <c r="J4421" s="15"/>
      <c r="K4421" s="15"/>
    </row>
    <row r="4422" ht="22.5" customHeight="1">
      <c r="H4422" s="15"/>
      <c r="I4422" s="16"/>
      <c r="J4422" s="15"/>
      <c r="K4422" s="15"/>
    </row>
    <row r="4423" ht="22.5" customHeight="1">
      <c r="H4423" s="15"/>
      <c r="I4423" s="16"/>
      <c r="J4423" s="15"/>
      <c r="K4423" s="15"/>
    </row>
    <row r="4424" ht="22.5" customHeight="1">
      <c r="H4424" s="15"/>
      <c r="I4424" s="16"/>
      <c r="J4424" s="15"/>
      <c r="K4424" s="15"/>
    </row>
    <row r="4425" ht="22.5" customHeight="1">
      <c r="H4425" s="15"/>
      <c r="I4425" s="16"/>
      <c r="J4425" s="15"/>
      <c r="K4425" s="15"/>
    </row>
    <row r="4426" ht="22.5" customHeight="1">
      <c r="H4426" s="15"/>
      <c r="I4426" s="16"/>
      <c r="J4426" s="15"/>
      <c r="K4426" s="15"/>
    </row>
    <row r="4427" ht="22.5" customHeight="1">
      <c r="H4427" s="15"/>
      <c r="I4427" s="16"/>
      <c r="J4427" s="15"/>
      <c r="K4427" s="15"/>
    </row>
    <row r="4428" ht="22.5" customHeight="1">
      <c r="H4428" s="15"/>
      <c r="I4428" s="16"/>
      <c r="J4428" s="15"/>
      <c r="K4428" s="15"/>
    </row>
    <row r="4429" ht="22.5" customHeight="1">
      <c r="H4429" s="15"/>
      <c r="I4429" s="16"/>
      <c r="J4429" s="15"/>
      <c r="K4429" s="15"/>
    </row>
    <row r="4430" ht="22.5" customHeight="1">
      <c r="H4430" s="15"/>
      <c r="I4430" s="16"/>
      <c r="J4430" s="15"/>
      <c r="K4430" s="15"/>
    </row>
    <row r="4431" ht="22.5" customHeight="1">
      <c r="H4431" s="15"/>
      <c r="I4431" s="16"/>
      <c r="J4431" s="15"/>
      <c r="K4431" s="15"/>
    </row>
    <row r="4432" ht="22.5" customHeight="1">
      <c r="H4432" s="15"/>
      <c r="I4432" s="16"/>
      <c r="J4432" s="15"/>
      <c r="K4432" s="15"/>
    </row>
    <row r="4433" ht="22.5" customHeight="1">
      <c r="H4433" s="15"/>
      <c r="I4433" s="16"/>
      <c r="J4433" s="15"/>
      <c r="K4433" s="15"/>
    </row>
    <row r="4434" ht="22.5" customHeight="1">
      <c r="H4434" s="15"/>
      <c r="I4434" s="16"/>
      <c r="J4434" s="15"/>
      <c r="K4434" s="15"/>
    </row>
    <row r="4435" ht="22.5" customHeight="1">
      <c r="H4435" s="15"/>
      <c r="I4435" s="16"/>
      <c r="J4435" s="15"/>
      <c r="K4435" s="15"/>
    </row>
    <row r="4436" ht="22.5" customHeight="1">
      <c r="H4436" s="15"/>
      <c r="I4436" s="16"/>
      <c r="J4436" s="15"/>
      <c r="K4436" s="15"/>
    </row>
    <row r="4437" ht="22.5" customHeight="1">
      <c r="H4437" s="15"/>
      <c r="I4437" s="16"/>
      <c r="J4437" s="15"/>
      <c r="K4437" s="15"/>
    </row>
    <row r="4438" ht="22.5" customHeight="1">
      <c r="H4438" s="15"/>
      <c r="I4438" s="16"/>
      <c r="J4438" s="15"/>
      <c r="K4438" s="15"/>
    </row>
    <row r="4439" ht="22.5" customHeight="1">
      <c r="H4439" s="15"/>
      <c r="I4439" s="16"/>
      <c r="J4439" s="15"/>
      <c r="K4439" s="15"/>
    </row>
    <row r="4440" ht="22.5" customHeight="1">
      <c r="H4440" s="15"/>
      <c r="I4440" s="16"/>
      <c r="J4440" s="15"/>
      <c r="K4440" s="15"/>
    </row>
    <row r="4441" ht="22.5" customHeight="1">
      <c r="H4441" s="15"/>
      <c r="I4441" s="16"/>
      <c r="J4441" s="15"/>
      <c r="K4441" s="15"/>
    </row>
    <row r="4442" ht="22.5" customHeight="1">
      <c r="H4442" s="15"/>
      <c r="I4442" s="16"/>
      <c r="J4442" s="15"/>
      <c r="K4442" s="15"/>
    </row>
    <row r="4443" ht="22.5" customHeight="1">
      <c r="H4443" s="15"/>
      <c r="I4443" s="16"/>
      <c r="J4443" s="15"/>
      <c r="K4443" s="15"/>
    </row>
    <row r="4444" ht="22.5" customHeight="1">
      <c r="H4444" s="15"/>
      <c r="I4444" s="16"/>
      <c r="J4444" s="15"/>
      <c r="K4444" s="15"/>
    </row>
    <row r="4445" ht="22.5" customHeight="1">
      <c r="H4445" s="15"/>
      <c r="I4445" s="16"/>
      <c r="J4445" s="15"/>
      <c r="K4445" s="15"/>
    </row>
    <row r="4446" ht="22.5" customHeight="1">
      <c r="H4446" s="15"/>
      <c r="I4446" s="16"/>
      <c r="J4446" s="15"/>
      <c r="K4446" s="15"/>
    </row>
    <row r="4447" ht="22.5" customHeight="1">
      <c r="H4447" s="15"/>
      <c r="I4447" s="16"/>
      <c r="J4447" s="15"/>
      <c r="K4447" s="15"/>
    </row>
    <row r="4448" ht="22.5" customHeight="1">
      <c r="H4448" s="15"/>
      <c r="I4448" s="16"/>
      <c r="J4448" s="15"/>
      <c r="K4448" s="15"/>
    </row>
    <row r="4449" ht="22.5" customHeight="1">
      <c r="H4449" s="15"/>
      <c r="I4449" s="16"/>
      <c r="J4449" s="15"/>
      <c r="K4449" s="15"/>
    </row>
    <row r="4450" ht="22.5" customHeight="1">
      <c r="H4450" s="15"/>
      <c r="I4450" s="16"/>
      <c r="J4450" s="15"/>
      <c r="K4450" s="15"/>
    </row>
    <row r="4451" ht="22.5" customHeight="1">
      <c r="H4451" s="15"/>
      <c r="I4451" s="16"/>
      <c r="J4451" s="15"/>
      <c r="K4451" s="15"/>
    </row>
    <row r="4452" ht="22.5" customHeight="1">
      <c r="H4452" s="15"/>
      <c r="I4452" s="16"/>
      <c r="J4452" s="15"/>
      <c r="K4452" s="15"/>
    </row>
    <row r="4453" ht="22.5" customHeight="1">
      <c r="H4453" s="15"/>
      <c r="I4453" s="16"/>
      <c r="J4453" s="15"/>
      <c r="K4453" s="15"/>
    </row>
    <row r="4454" ht="22.5" customHeight="1">
      <c r="H4454" s="15"/>
      <c r="I4454" s="16"/>
      <c r="J4454" s="15"/>
      <c r="K4454" s="15"/>
    </row>
    <row r="4455" ht="22.5" customHeight="1">
      <c r="H4455" s="15"/>
      <c r="I4455" s="16"/>
      <c r="J4455" s="15"/>
      <c r="K4455" s="15"/>
    </row>
    <row r="4456" ht="22.5" customHeight="1">
      <c r="H4456" s="15"/>
      <c r="I4456" s="16"/>
      <c r="J4456" s="15"/>
      <c r="K4456" s="15"/>
    </row>
    <row r="4457" ht="22.5" customHeight="1">
      <c r="H4457" s="15"/>
      <c r="I4457" s="16"/>
      <c r="J4457" s="15"/>
      <c r="K4457" s="15"/>
    </row>
    <row r="4458" ht="22.5" customHeight="1">
      <c r="H4458" s="15"/>
      <c r="I4458" s="16"/>
      <c r="J4458" s="15"/>
      <c r="K4458" s="15"/>
    </row>
    <row r="4459" ht="22.5" customHeight="1">
      <c r="H4459" s="15"/>
      <c r="I4459" s="16"/>
      <c r="J4459" s="15"/>
      <c r="K4459" s="15"/>
    </row>
    <row r="4460" ht="22.5" customHeight="1">
      <c r="H4460" s="15"/>
      <c r="I4460" s="16"/>
      <c r="J4460" s="15"/>
      <c r="K4460" s="15"/>
    </row>
    <row r="4461" ht="22.5" customHeight="1">
      <c r="H4461" s="15"/>
      <c r="I4461" s="16"/>
      <c r="J4461" s="15"/>
      <c r="K4461" s="15"/>
    </row>
    <row r="4462" ht="22.5" customHeight="1">
      <c r="H4462" s="15"/>
      <c r="I4462" s="16"/>
      <c r="J4462" s="15"/>
      <c r="K4462" s="15"/>
    </row>
    <row r="4463" ht="22.5" customHeight="1">
      <c r="H4463" s="15"/>
      <c r="I4463" s="16"/>
      <c r="J4463" s="15"/>
      <c r="K4463" s="15"/>
    </row>
    <row r="4464" ht="22.5" customHeight="1">
      <c r="H4464" s="15"/>
      <c r="I4464" s="16"/>
      <c r="J4464" s="15"/>
      <c r="K4464" s="15"/>
    </row>
    <row r="4465" ht="22.5" customHeight="1">
      <c r="H4465" s="15"/>
      <c r="I4465" s="16"/>
      <c r="J4465" s="15"/>
      <c r="K4465" s="15"/>
    </row>
    <row r="4466" ht="22.5" customHeight="1">
      <c r="H4466" s="15"/>
      <c r="I4466" s="16"/>
      <c r="J4466" s="15"/>
      <c r="K4466" s="15"/>
    </row>
    <row r="4467" ht="22.5" customHeight="1">
      <c r="H4467" s="15"/>
      <c r="I4467" s="16"/>
      <c r="J4467" s="15"/>
      <c r="K4467" s="15"/>
    </row>
    <row r="4468" ht="22.5" customHeight="1">
      <c r="H4468" s="15"/>
      <c r="I4468" s="16"/>
      <c r="J4468" s="15"/>
      <c r="K4468" s="15"/>
    </row>
    <row r="4469" ht="22.5" customHeight="1">
      <c r="H4469" s="15"/>
      <c r="I4469" s="16"/>
      <c r="J4469" s="15"/>
      <c r="K4469" s="15"/>
    </row>
    <row r="4470" ht="22.5" customHeight="1">
      <c r="H4470" s="15"/>
      <c r="I4470" s="16"/>
      <c r="J4470" s="15"/>
      <c r="K4470" s="15"/>
    </row>
    <row r="4471" ht="22.5" customHeight="1">
      <c r="H4471" s="15"/>
      <c r="I4471" s="16"/>
      <c r="J4471" s="15"/>
      <c r="K4471" s="15"/>
    </row>
    <row r="4472" ht="22.5" customHeight="1">
      <c r="H4472" s="15"/>
      <c r="I4472" s="16"/>
      <c r="J4472" s="15"/>
      <c r="K4472" s="15"/>
    </row>
    <row r="4473" ht="22.5" customHeight="1">
      <c r="H4473" s="15"/>
      <c r="I4473" s="16"/>
      <c r="J4473" s="15"/>
      <c r="K4473" s="15"/>
    </row>
    <row r="4474" ht="22.5" customHeight="1">
      <c r="H4474" s="15"/>
      <c r="I4474" s="16"/>
      <c r="J4474" s="15"/>
      <c r="K4474" s="15"/>
    </row>
    <row r="4475" ht="22.5" customHeight="1">
      <c r="H4475" s="15"/>
      <c r="I4475" s="16"/>
      <c r="J4475" s="15"/>
      <c r="K4475" s="15"/>
    </row>
    <row r="4476" ht="22.5" customHeight="1">
      <c r="H4476" s="15"/>
      <c r="I4476" s="16"/>
      <c r="J4476" s="15"/>
      <c r="K4476" s="15"/>
    </row>
    <row r="4477" ht="22.5" customHeight="1">
      <c r="H4477" s="15"/>
      <c r="I4477" s="16"/>
      <c r="J4477" s="15"/>
      <c r="K4477" s="15"/>
    </row>
    <row r="4478" ht="22.5" customHeight="1">
      <c r="H4478" s="15"/>
      <c r="I4478" s="16"/>
      <c r="J4478" s="15"/>
      <c r="K4478" s="15"/>
    </row>
    <row r="4479" ht="22.5" customHeight="1">
      <c r="H4479" s="15"/>
      <c r="I4479" s="16"/>
      <c r="J4479" s="15"/>
      <c r="K4479" s="15"/>
    </row>
    <row r="4480" ht="22.5" customHeight="1">
      <c r="H4480" s="15"/>
      <c r="I4480" s="16"/>
      <c r="J4480" s="15"/>
      <c r="K4480" s="15"/>
    </row>
    <row r="4481" ht="22.5" customHeight="1">
      <c r="H4481" s="15"/>
      <c r="I4481" s="16"/>
      <c r="J4481" s="15"/>
      <c r="K4481" s="15"/>
    </row>
    <row r="4482" ht="22.5" customHeight="1">
      <c r="H4482" s="15"/>
      <c r="I4482" s="16"/>
      <c r="J4482" s="15"/>
      <c r="K4482" s="15"/>
    </row>
    <row r="4483" ht="22.5" customHeight="1">
      <c r="H4483" s="15"/>
      <c r="I4483" s="16"/>
      <c r="J4483" s="15"/>
      <c r="K4483" s="15"/>
    </row>
    <row r="4484" ht="22.5" customHeight="1">
      <c r="H4484" s="15"/>
      <c r="I4484" s="16"/>
      <c r="J4484" s="15"/>
      <c r="K4484" s="15"/>
    </row>
    <row r="4485" ht="22.5" customHeight="1">
      <c r="H4485" s="15"/>
      <c r="I4485" s="16"/>
      <c r="J4485" s="15"/>
      <c r="K4485" s="15"/>
    </row>
    <row r="4486" ht="22.5" customHeight="1">
      <c r="H4486" s="15"/>
      <c r="I4486" s="16"/>
      <c r="J4486" s="15"/>
      <c r="K4486" s="15"/>
    </row>
    <row r="4487" ht="22.5" customHeight="1">
      <c r="H4487" s="15"/>
      <c r="I4487" s="16"/>
      <c r="J4487" s="15"/>
      <c r="K4487" s="15"/>
    </row>
    <row r="4488" ht="22.5" customHeight="1">
      <c r="H4488" s="15"/>
      <c r="I4488" s="16"/>
      <c r="J4488" s="15"/>
      <c r="K4488" s="15"/>
    </row>
    <row r="4489" ht="22.5" customHeight="1">
      <c r="H4489" s="15"/>
      <c r="I4489" s="16"/>
      <c r="J4489" s="15"/>
      <c r="K4489" s="15"/>
    </row>
    <row r="4490" ht="22.5" customHeight="1">
      <c r="H4490" s="15"/>
      <c r="I4490" s="16"/>
      <c r="J4490" s="15"/>
      <c r="K4490" s="15"/>
    </row>
    <row r="4491" ht="22.5" customHeight="1">
      <c r="H4491" s="15"/>
      <c r="I4491" s="16"/>
      <c r="J4491" s="15"/>
      <c r="K4491" s="15"/>
    </row>
    <row r="4492" ht="22.5" customHeight="1">
      <c r="H4492" s="15"/>
      <c r="I4492" s="16"/>
      <c r="J4492" s="15"/>
      <c r="K4492" s="15"/>
    </row>
    <row r="4493" ht="22.5" customHeight="1">
      <c r="H4493" s="15"/>
      <c r="I4493" s="16"/>
      <c r="J4493" s="15"/>
      <c r="K4493" s="15"/>
    </row>
    <row r="4494" ht="22.5" customHeight="1">
      <c r="H4494" s="15"/>
      <c r="I4494" s="16"/>
      <c r="J4494" s="15"/>
      <c r="K4494" s="15"/>
    </row>
    <row r="4495" ht="22.5" customHeight="1">
      <c r="H4495" s="15"/>
      <c r="I4495" s="16"/>
      <c r="J4495" s="15"/>
      <c r="K4495" s="15"/>
    </row>
    <row r="4496" ht="22.5" customHeight="1">
      <c r="H4496" s="15"/>
      <c r="I4496" s="16"/>
      <c r="J4496" s="15"/>
      <c r="K4496" s="15"/>
    </row>
    <row r="4497" ht="22.5" customHeight="1">
      <c r="H4497" s="15"/>
      <c r="I4497" s="16"/>
      <c r="J4497" s="15"/>
      <c r="K4497" s="15"/>
    </row>
    <row r="4498" ht="22.5" customHeight="1">
      <c r="H4498" s="15"/>
      <c r="I4498" s="16"/>
      <c r="J4498" s="15"/>
      <c r="K4498" s="15"/>
    </row>
    <row r="4499" ht="22.5" customHeight="1">
      <c r="H4499" s="15"/>
      <c r="I4499" s="16"/>
      <c r="J4499" s="15"/>
      <c r="K4499" s="15"/>
    </row>
    <row r="4500" ht="22.5" customHeight="1">
      <c r="H4500" s="15"/>
      <c r="I4500" s="16"/>
      <c r="J4500" s="15"/>
      <c r="K4500" s="15"/>
    </row>
    <row r="4501" ht="22.5" customHeight="1">
      <c r="H4501" s="15"/>
      <c r="I4501" s="16"/>
      <c r="J4501" s="15"/>
      <c r="K4501" s="15"/>
    </row>
    <row r="4502" ht="22.5" customHeight="1">
      <c r="H4502" s="15"/>
      <c r="I4502" s="16"/>
      <c r="J4502" s="15"/>
      <c r="K4502" s="15"/>
    </row>
    <row r="4503" ht="22.5" customHeight="1">
      <c r="H4503" s="15"/>
      <c r="I4503" s="16"/>
      <c r="J4503" s="15"/>
      <c r="K4503" s="15"/>
    </row>
    <row r="4504" ht="22.5" customHeight="1">
      <c r="H4504" s="15"/>
      <c r="I4504" s="16"/>
      <c r="J4504" s="15"/>
      <c r="K4504" s="15"/>
    </row>
    <row r="4505" ht="22.5" customHeight="1">
      <c r="H4505" s="15"/>
      <c r="I4505" s="16"/>
      <c r="J4505" s="15"/>
      <c r="K4505" s="15"/>
    </row>
    <row r="4506" ht="22.5" customHeight="1">
      <c r="H4506" s="15"/>
      <c r="I4506" s="16"/>
      <c r="J4506" s="15"/>
      <c r="K4506" s="15"/>
    </row>
    <row r="4507" ht="22.5" customHeight="1">
      <c r="H4507" s="15"/>
      <c r="I4507" s="16"/>
      <c r="J4507" s="15"/>
      <c r="K4507" s="15"/>
    </row>
    <row r="4508" ht="22.5" customHeight="1">
      <c r="H4508" s="15"/>
      <c r="I4508" s="16"/>
      <c r="J4508" s="15"/>
      <c r="K4508" s="15"/>
    </row>
    <row r="4509" ht="22.5" customHeight="1">
      <c r="H4509" s="15"/>
      <c r="I4509" s="16"/>
      <c r="J4509" s="15"/>
      <c r="K4509" s="15"/>
    </row>
    <row r="4510" ht="22.5" customHeight="1">
      <c r="H4510" s="15"/>
      <c r="I4510" s="16"/>
      <c r="J4510" s="15"/>
      <c r="K4510" s="15"/>
    </row>
    <row r="4511" ht="22.5" customHeight="1">
      <c r="H4511" s="15"/>
      <c r="I4511" s="16"/>
      <c r="J4511" s="15"/>
      <c r="K4511" s="15"/>
    </row>
    <row r="4512" ht="22.5" customHeight="1">
      <c r="H4512" s="15"/>
      <c r="I4512" s="16"/>
      <c r="J4512" s="15"/>
      <c r="K4512" s="15"/>
    </row>
    <row r="4513" ht="22.5" customHeight="1">
      <c r="H4513" s="15"/>
      <c r="I4513" s="16"/>
      <c r="J4513" s="15"/>
      <c r="K4513" s="15"/>
    </row>
    <row r="4514" ht="22.5" customHeight="1">
      <c r="H4514" s="15"/>
      <c r="I4514" s="16"/>
      <c r="J4514" s="15"/>
      <c r="K4514" s="15"/>
    </row>
    <row r="4515" ht="22.5" customHeight="1">
      <c r="H4515" s="15"/>
      <c r="I4515" s="16"/>
      <c r="J4515" s="15"/>
      <c r="K4515" s="15"/>
    </row>
    <row r="4516" ht="22.5" customHeight="1">
      <c r="H4516" s="15"/>
      <c r="I4516" s="16"/>
      <c r="J4516" s="15"/>
      <c r="K4516" s="15"/>
    </row>
    <row r="4517" ht="22.5" customHeight="1">
      <c r="H4517" s="15"/>
      <c r="I4517" s="16"/>
      <c r="J4517" s="15"/>
      <c r="K4517" s="15"/>
    </row>
    <row r="4518" ht="22.5" customHeight="1">
      <c r="H4518" s="15"/>
      <c r="I4518" s="16"/>
      <c r="J4518" s="15"/>
      <c r="K4518" s="15"/>
    </row>
    <row r="4519" ht="22.5" customHeight="1">
      <c r="H4519" s="15"/>
      <c r="I4519" s="16"/>
      <c r="J4519" s="15"/>
      <c r="K4519" s="15"/>
    </row>
    <row r="4520" ht="22.5" customHeight="1">
      <c r="H4520" s="15"/>
      <c r="I4520" s="16"/>
      <c r="J4520" s="15"/>
      <c r="K4520" s="15"/>
    </row>
    <row r="4521" ht="22.5" customHeight="1">
      <c r="H4521" s="15"/>
      <c r="I4521" s="16"/>
      <c r="J4521" s="15"/>
      <c r="K4521" s="15"/>
    </row>
    <row r="4522" ht="22.5" customHeight="1">
      <c r="H4522" s="15"/>
      <c r="I4522" s="16"/>
      <c r="J4522" s="15"/>
      <c r="K4522" s="15"/>
    </row>
    <row r="4523" ht="22.5" customHeight="1">
      <c r="H4523" s="15"/>
      <c r="I4523" s="16"/>
      <c r="J4523" s="15"/>
      <c r="K4523" s="15"/>
    </row>
    <row r="4524" ht="22.5" customHeight="1">
      <c r="H4524" s="15"/>
      <c r="I4524" s="16"/>
      <c r="J4524" s="15"/>
      <c r="K4524" s="15"/>
    </row>
    <row r="4525" ht="22.5" customHeight="1">
      <c r="H4525" s="15"/>
      <c r="I4525" s="16"/>
      <c r="J4525" s="15"/>
      <c r="K4525" s="15"/>
    </row>
    <row r="4526" ht="22.5" customHeight="1">
      <c r="H4526" s="15"/>
      <c r="I4526" s="16"/>
      <c r="J4526" s="15"/>
      <c r="K4526" s="15"/>
    </row>
    <row r="4527" ht="22.5" customHeight="1">
      <c r="H4527" s="15"/>
      <c r="I4527" s="16"/>
      <c r="J4527" s="15"/>
      <c r="K4527" s="15"/>
    </row>
    <row r="4528" ht="22.5" customHeight="1">
      <c r="H4528" s="15"/>
      <c r="I4528" s="16"/>
      <c r="J4528" s="15"/>
      <c r="K4528" s="15"/>
    </row>
    <row r="4529" ht="22.5" customHeight="1">
      <c r="H4529" s="15"/>
      <c r="I4529" s="16"/>
      <c r="J4529" s="15"/>
      <c r="K4529" s="15"/>
    </row>
    <row r="4530" ht="22.5" customHeight="1">
      <c r="H4530" s="15"/>
      <c r="I4530" s="16"/>
      <c r="J4530" s="15"/>
      <c r="K4530" s="15"/>
    </row>
    <row r="4531" ht="22.5" customHeight="1">
      <c r="H4531" s="15"/>
      <c r="I4531" s="16"/>
      <c r="J4531" s="15"/>
      <c r="K4531" s="15"/>
    </row>
    <row r="4532" ht="22.5" customHeight="1">
      <c r="H4532" s="15"/>
      <c r="I4532" s="16"/>
      <c r="J4532" s="15"/>
      <c r="K4532" s="15"/>
    </row>
    <row r="4533" ht="22.5" customHeight="1">
      <c r="H4533" s="15"/>
      <c r="I4533" s="16"/>
      <c r="J4533" s="15"/>
      <c r="K4533" s="15"/>
    </row>
    <row r="4534" ht="22.5" customHeight="1">
      <c r="H4534" s="15"/>
      <c r="I4534" s="16"/>
      <c r="J4534" s="15"/>
      <c r="K4534" s="15"/>
    </row>
    <row r="4535" ht="22.5" customHeight="1">
      <c r="H4535" s="15"/>
      <c r="I4535" s="16"/>
      <c r="J4535" s="15"/>
      <c r="K4535" s="15"/>
    </row>
    <row r="4536" ht="22.5" customHeight="1">
      <c r="H4536" s="15"/>
      <c r="I4536" s="16"/>
      <c r="J4536" s="15"/>
      <c r="K4536" s="15"/>
    </row>
    <row r="4537" ht="22.5" customHeight="1">
      <c r="H4537" s="15"/>
      <c r="I4537" s="16"/>
      <c r="J4537" s="15"/>
      <c r="K4537" s="15"/>
    </row>
    <row r="4538" ht="22.5" customHeight="1">
      <c r="H4538" s="15"/>
      <c r="I4538" s="16"/>
      <c r="J4538" s="15"/>
      <c r="K4538" s="15"/>
    </row>
    <row r="4539" ht="22.5" customHeight="1">
      <c r="H4539" s="15"/>
      <c r="I4539" s="16"/>
      <c r="J4539" s="15"/>
      <c r="K4539" s="15"/>
    </row>
    <row r="4540" ht="22.5" customHeight="1">
      <c r="H4540" s="15"/>
      <c r="I4540" s="16"/>
      <c r="J4540" s="15"/>
      <c r="K4540" s="15"/>
    </row>
    <row r="4541" ht="22.5" customHeight="1">
      <c r="H4541" s="15"/>
      <c r="I4541" s="16"/>
      <c r="J4541" s="15"/>
      <c r="K4541" s="15"/>
    </row>
    <row r="4542" ht="22.5" customHeight="1">
      <c r="H4542" s="15"/>
      <c r="I4542" s="16"/>
      <c r="J4542" s="15"/>
      <c r="K4542" s="15"/>
    </row>
    <row r="4543" ht="22.5" customHeight="1">
      <c r="H4543" s="15"/>
      <c r="I4543" s="16"/>
      <c r="J4543" s="15"/>
      <c r="K4543" s="15"/>
    </row>
    <row r="4544" ht="22.5" customHeight="1">
      <c r="H4544" s="15"/>
      <c r="I4544" s="16"/>
      <c r="J4544" s="15"/>
      <c r="K4544" s="15"/>
    </row>
    <row r="4545" ht="22.5" customHeight="1">
      <c r="H4545" s="15"/>
      <c r="I4545" s="16"/>
      <c r="J4545" s="15"/>
      <c r="K4545" s="15"/>
    </row>
    <row r="4546" ht="22.5" customHeight="1">
      <c r="H4546" s="15"/>
      <c r="I4546" s="16"/>
      <c r="J4546" s="15"/>
      <c r="K4546" s="15"/>
    </row>
    <row r="4547" ht="22.5" customHeight="1">
      <c r="H4547" s="15"/>
      <c r="I4547" s="16"/>
      <c r="J4547" s="15"/>
      <c r="K4547" s="15"/>
    </row>
    <row r="4548" ht="22.5" customHeight="1">
      <c r="H4548" s="15"/>
      <c r="I4548" s="16"/>
      <c r="J4548" s="15"/>
      <c r="K4548" s="15"/>
    </row>
    <row r="4549" ht="22.5" customHeight="1">
      <c r="H4549" s="15"/>
      <c r="I4549" s="16"/>
      <c r="J4549" s="15"/>
      <c r="K4549" s="15"/>
    </row>
    <row r="4550" ht="22.5" customHeight="1">
      <c r="H4550" s="15"/>
      <c r="I4550" s="16"/>
      <c r="J4550" s="15"/>
      <c r="K4550" s="15"/>
    </row>
    <row r="4551" ht="22.5" customHeight="1">
      <c r="H4551" s="15"/>
      <c r="I4551" s="16"/>
      <c r="J4551" s="15"/>
      <c r="K4551" s="15"/>
    </row>
    <row r="4552" ht="22.5" customHeight="1">
      <c r="H4552" s="15"/>
      <c r="I4552" s="16"/>
      <c r="J4552" s="15"/>
      <c r="K4552" s="15"/>
    </row>
    <row r="4553" ht="22.5" customHeight="1">
      <c r="H4553" s="15"/>
      <c r="I4553" s="16"/>
      <c r="J4553" s="15"/>
      <c r="K4553" s="15"/>
    </row>
    <row r="4554" ht="22.5" customHeight="1">
      <c r="H4554" s="15"/>
      <c r="I4554" s="16"/>
      <c r="J4554" s="15"/>
      <c r="K4554" s="15"/>
    </row>
    <row r="4555" ht="22.5" customHeight="1">
      <c r="H4555" s="15"/>
      <c r="I4555" s="16"/>
      <c r="J4555" s="15"/>
      <c r="K4555" s="15"/>
    </row>
    <row r="4556" ht="22.5" customHeight="1">
      <c r="H4556" s="15"/>
      <c r="I4556" s="16"/>
      <c r="J4556" s="15"/>
      <c r="K4556" s="15"/>
    </row>
    <row r="4557" ht="22.5" customHeight="1">
      <c r="H4557" s="15"/>
      <c r="I4557" s="16"/>
      <c r="J4557" s="15"/>
      <c r="K4557" s="15"/>
    </row>
    <row r="4558" ht="22.5" customHeight="1">
      <c r="H4558" s="15"/>
      <c r="I4558" s="16"/>
      <c r="J4558" s="15"/>
      <c r="K4558" s="15"/>
    </row>
    <row r="4559" ht="22.5" customHeight="1">
      <c r="H4559" s="15"/>
      <c r="I4559" s="16"/>
      <c r="J4559" s="15"/>
      <c r="K4559" s="15"/>
    </row>
    <row r="4560" ht="22.5" customHeight="1">
      <c r="H4560" s="15"/>
      <c r="I4560" s="16"/>
      <c r="J4560" s="15"/>
      <c r="K4560" s="15"/>
    </row>
    <row r="4561" ht="22.5" customHeight="1">
      <c r="H4561" s="15"/>
      <c r="I4561" s="16"/>
      <c r="J4561" s="15"/>
      <c r="K4561" s="15"/>
    </row>
    <row r="4562" ht="22.5" customHeight="1">
      <c r="H4562" s="15"/>
      <c r="I4562" s="16"/>
      <c r="J4562" s="15"/>
      <c r="K4562" s="15"/>
    </row>
    <row r="4563" ht="22.5" customHeight="1">
      <c r="H4563" s="15"/>
      <c r="I4563" s="16"/>
      <c r="J4563" s="15"/>
      <c r="K4563" s="15"/>
    </row>
    <row r="4564" ht="22.5" customHeight="1">
      <c r="H4564" s="15"/>
      <c r="I4564" s="16"/>
      <c r="J4564" s="15"/>
      <c r="K4564" s="15"/>
    </row>
    <row r="4565" ht="22.5" customHeight="1">
      <c r="H4565" s="15"/>
      <c r="I4565" s="16"/>
      <c r="J4565" s="15"/>
      <c r="K4565" s="15"/>
    </row>
    <row r="4566" ht="22.5" customHeight="1">
      <c r="H4566" s="15"/>
      <c r="I4566" s="16"/>
      <c r="J4566" s="15"/>
      <c r="K4566" s="15"/>
    </row>
    <row r="4567" ht="22.5" customHeight="1">
      <c r="H4567" s="15"/>
      <c r="I4567" s="16"/>
      <c r="J4567" s="15"/>
      <c r="K4567" s="15"/>
    </row>
    <row r="4568" ht="22.5" customHeight="1">
      <c r="H4568" s="15"/>
      <c r="I4568" s="16"/>
      <c r="J4568" s="15"/>
      <c r="K4568" s="15"/>
    </row>
    <row r="4569" ht="22.5" customHeight="1">
      <c r="H4569" s="15"/>
      <c r="I4569" s="16"/>
      <c r="J4569" s="15"/>
      <c r="K4569" s="15"/>
    </row>
    <row r="4570" ht="22.5" customHeight="1">
      <c r="H4570" s="15"/>
      <c r="I4570" s="16"/>
      <c r="J4570" s="15"/>
      <c r="K4570" s="15"/>
    </row>
    <row r="4571" ht="22.5" customHeight="1">
      <c r="H4571" s="15"/>
      <c r="I4571" s="16"/>
      <c r="J4571" s="15"/>
      <c r="K4571" s="15"/>
    </row>
    <row r="4572" ht="22.5" customHeight="1">
      <c r="H4572" s="15"/>
      <c r="I4572" s="16"/>
      <c r="J4572" s="15"/>
      <c r="K4572" s="15"/>
    </row>
    <row r="4573" ht="22.5" customHeight="1">
      <c r="H4573" s="15"/>
      <c r="I4573" s="16"/>
      <c r="J4573" s="15"/>
      <c r="K4573" s="15"/>
    </row>
    <row r="4574" ht="22.5" customHeight="1">
      <c r="H4574" s="15"/>
      <c r="I4574" s="16"/>
      <c r="J4574" s="15"/>
      <c r="K4574" s="15"/>
    </row>
    <row r="4575" ht="22.5" customHeight="1">
      <c r="H4575" s="15"/>
      <c r="I4575" s="16"/>
      <c r="J4575" s="15"/>
      <c r="K4575" s="15"/>
    </row>
    <row r="4576" ht="22.5" customHeight="1">
      <c r="H4576" s="15"/>
      <c r="I4576" s="16"/>
      <c r="J4576" s="15"/>
      <c r="K4576" s="15"/>
    </row>
    <row r="4577" ht="22.5" customHeight="1">
      <c r="H4577" s="15"/>
      <c r="I4577" s="16"/>
      <c r="J4577" s="15"/>
      <c r="K4577" s="15"/>
    </row>
    <row r="4578" ht="22.5" customHeight="1">
      <c r="H4578" s="15"/>
      <c r="I4578" s="16"/>
      <c r="J4578" s="15"/>
      <c r="K4578" s="15"/>
    </row>
    <row r="4579" ht="22.5" customHeight="1">
      <c r="H4579" s="15"/>
      <c r="I4579" s="16"/>
      <c r="J4579" s="15"/>
      <c r="K4579" s="15"/>
    </row>
    <row r="4580" ht="22.5" customHeight="1">
      <c r="H4580" s="15"/>
      <c r="I4580" s="16"/>
      <c r="J4580" s="15"/>
      <c r="K4580" s="15"/>
    </row>
    <row r="4581" ht="22.5" customHeight="1">
      <c r="H4581" s="15"/>
      <c r="I4581" s="16"/>
      <c r="J4581" s="15"/>
      <c r="K4581" s="15"/>
    </row>
    <row r="4582" ht="22.5" customHeight="1">
      <c r="H4582" s="15"/>
      <c r="I4582" s="16"/>
      <c r="J4582" s="15"/>
      <c r="K4582" s="15"/>
    </row>
    <row r="4583" ht="22.5" customHeight="1">
      <c r="H4583" s="15"/>
      <c r="I4583" s="16"/>
      <c r="J4583" s="15"/>
      <c r="K4583" s="15"/>
    </row>
    <row r="4584" ht="22.5" customHeight="1">
      <c r="H4584" s="15"/>
      <c r="I4584" s="16"/>
      <c r="J4584" s="15"/>
      <c r="K4584" s="15"/>
    </row>
    <row r="4585" ht="22.5" customHeight="1">
      <c r="H4585" s="15"/>
      <c r="I4585" s="16"/>
      <c r="J4585" s="15"/>
      <c r="K4585" s="15"/>
    </row>
    <row r="4586" ht="22.5" customHeight="1">
      <c r="H4586" s="15"/>
      <c r="I4586" s="16"/>
      <c r="J4586" s="15"/>
      <c r="K4586" s="15"/>
    </row>
    <row r="4587" ht="22.5" customHeight="1">
      <c r="H4587" s="15"/>
      <c r="I4587" s="16"/>
      <c r="J4587" s="15"/>
      <c r="K4587" s="15"/>
    </row>
    <row r="4588" ht="22.5" customHeight="1">
      <c r="H4588" s="15"/>
      <c r="I4588" s="16"/>
      <c r="J4588" s="15"/>
      <c r="K4588" s="15"/>
    </row>
    <row r="4589" ht="22.5" customHeight="1">
      <c r="H4589" s="15"/>
      <c r="I4589" s="16"/>
      <c r="J4589" s="15"/>
      <c r="K4589" s="15"/>
    </row>
    <row r="4590" ht="22.5" customHeight="1">
      <c r="H4590" s="15"/>
      <c r="I4590" s="16"/>
      <c r="J4590" s="15"/>
      <c r="K4590" s="15"/>
    </row>
    <row r="4591" ht="22.5" customHeight="1">
      <c r="H4591" s="15"/>
      <c r="I4591" s="16"/>
      <c r="J4591" s="15"/>
      <c r="K4591" s="15"/>
    </row>
    <row r="4592" ht="22.5" customHeight="1">
      <c r="H4592" s="15"/>
      <c r="I4592" s="16"/>
      <c r="J4592" s="15"/>
      <c r="K4592" s="15"/>
    </row>
    <row r="4593" ht="22.5" customHeight="1">
      <c r="H4593" s="15"/>
      <c r="I4593" s="16"/>
      <c r="J4593" s="15"/>
      <c r="K4593" s="15"/>
    </row>
    <row r="4594" ht="22.5" customHeight="1">
      <c r="H4594" s="15"/>
      <c r="I4594" s="16"/>
      <c r="J4594" s="15"/>
      <c r="K4594" s="15"/>
    </row>
    <row r="4595" ht="22.5" customHeight="1">
      <c r="H4595" s="15"/>
      <c r="I4595" s="16"/>
      <c r="J4595" s="15"/>
      <c r="K4595" s="15"/>
    </row>
    <row r="4596" ht="22.5" customHeight="1">
      <c r="H4596" s="15"/>
      <c r="I4596" s="16"/>
      <c r="J4596" s="15"/>
      <c r="K4596" s="15"/>
    </row>
    <row r="4597" ht="22.5" customHeight="1">
      <c r="H4597" s="15"/>
      <c r="I4597" s="16"/>
      <c r="J4597" s="15"/>
      <c r="K4597" s="15"/>
    </row>
    <row r="4598" ht="22.5" customHeight="1">
      <c r="H4598" s="15"/>
      <c r="I4598" s="16"/>
      <c r="J4598" s="15"/>
      <c r="K4598" s="15"/>
    </row>
    <row r="4599" ht="22.5" customHeight="1">
      <c r="H4599" s="15"/>
      <c r="I4599" s="16"/>
      <c r="J4599" s="15"/>
      <c r="K4599" s="15"/>
    </row>
    <row r="4600" ht="22.5" customHeight="1">
      <c r="H4600" s="15"/>
      <c r="I4600" s="16"/>
      <c r="J4600" s="15"/>
      <c r="K4600" s="15"/>
    </row>
    <row r="4601" ht="22.5" customHeight="1">
      <c r="H4601" s="15"/>
      <c r="I4601" s="16"/>
      <c r="J4601" s="15"/>
      <c r="K4601" s="15"/>
    </row>
    <row r="4602" ht="22.5" customHeight="1">
      <c r="H4602" s="15"/>
      <c r="I4602" s="16"/>
      <c r="J4602" s="15"/>
      <c r="K4602" s="15"/>
    </row>
    <row r="4603" ht="22.5" customHeight="1">
      <c r="H4603" s="15"/>
      <c r="I4603" s="16"/>
      <c r="J4603" s="15"/>
      <c r="K4603" s="15"/>
    </row>
    <row r="4604" ht="22.5" customHeight="1">
      <c r="H4604" s="15"/>
      <c r="I4604" s="16"/>
      <c r="J4604" s="15"/>
      <c r="K4604" s="15"/>
    </row>
    <row r="4605" ht="22.5" customHeight="1">
      <c r="H4605" s="15"/>
      <c r="I4605" s="16"/>
      <c r="J4605" s="15"/>
      <c r="K4605" s="15"/>
    </row>
    <row r="4606" ht="22.5" customHeight="1">
      <c r="H4606" s="15"/>
      <c r="I4606" s="16"/>
      <c r="J4606" s="15"/>
      <c r="K4606" s="15"/>
    </row>
    <row r="4607" ht="22.5" customHeight="1">
      <c r="H4607" s="15"/>
      <c r="I4607" s="16"/>
      <c r="J4607" s="15"/>
      <c r="K4607" s="15"/>
    </row>
    <row r="4608" ht="22.5" customHeight="1">
      <c r="H4608" s="15"/>
      <c r="I4608" s="16"/>
      <c r="J4608" s="15"/>
      <c r="K4608" s="15"/>
    </row>
    <row r="4609" ht="22.5" customHeight="1">
      <c r="H4609" s="15"/>
      <c r="I4609" s="16"/>
      <c r="J4609" s="15"/>
      <c r="K4609" s="15"/>
    </row>
    <row r="4610" ht="22.5" customHeight="1">
      <c r="H4610" s="15"/>
      <c r="I4610" s="16"/>
      <c r="J4610" s="15"/>
      <c r="K4610" s="15"/>
    </row>
    <row r="4611" ht="22.5" customHeight="1">
      <c r="H4611" s="15"/>
      <c r="I4611" s="16"/>
      <c r="J4611" s="15"/>
      <c r="K4611" s="15"/>
    </row>
    <row r="4612" ht="22.5" customHeight="1">
      <c r="H4612" s="15"/>
      <c r="I4612" s="16"/>
      <c r="J4612" s="15"/>
      <c r="K4612" s="15"/>
    </row>
    <row r="4613" ht="22.5" customHeight="1">
      <c r="H4613" s="15"/>
      <c r="I4613" s="16"/>
      <c r="J4613" s="15"/>
      <c r="K4613" s="15"/>
    </row>
    <row r="4614" ht="22.5" customHeight="1">
      <c r="H4614" s="15"/>
      <c r="I4614" s="16"/>
      <c r="J4614" s="15"/>
      <c r="K4614" s="15"/>
    </row>
    <row r="4615" ht="22.5" customHeight="1">
      <c r="H4615" s="15"/>
      <c r="I4615" s="16"/>
      <c r="J4615" s="15"/>
      <c r="K4615" s="15"/>
    </row>
    <row r="4616" ht="22.5" customHeight="1">
      <c r="H4616" s="15"/>
      <c r="I4616" s="16"/>
      <c r="J4616" s="15"/>
      <c r="K4616" s="15"/>
    </row>
    <row r="4617" ht="22.5" customHeight="1">
      <c r="H4617" s="15"/>
      <c r="I4617" s="16"/>
      <c r="J4617" s="15"/>
      <c r="K4617" s="15"/>
    </row>
    <row r="4618" ht="22.5" customHeight="1">
      <c r="H4618" s="15"/>
      <c r="I4618" s="16"/>
      <c r="J4618" s="15"/>
      <c r="K4618" s="15"/>
    </row>
    <row r="4619" ht="22.5" customHeight="1">
      <c r="H4619" s="15"/>
      <c r="I4619" s="16"/>
      <c r="J4619" s="15"/>
      <c r="K4619" s="15"/>
    </row>
    <row r="4620" ht="22.5" customHeight="1">
      <c r="H4620" s="15"/>
      <c r="I4620" s="16"/>
      <c r="J4620" s="15"/>
      <c r="K4620" s="15"/>
    </row>
    <row r="4621" ht="22.5" customHeight="1">
      <c r="H4621" s="15"/>
      <c r="I4621" s="16"/>
      <c r="J4621" s="15"/>
      <c r="K4621" s="15"/>
    </row>
    <row r="4622" ht="22.5" customHeight="1">
      <c r="H4622" s="15"/>
      <c r="I4622" s="16"/>
      <c r="J4622" s="15"/>
      <c r="K4622" s="15"/>
    </row>
    <row r="4623" ht="22.5" customHeight="1">
      <c r="H4623" s="15"/>
      <c r="I4623" s="16"/>
      <c r="J4623" s="15"/>
      <c r="K4623" s="15"/>
    </row>
    <row r="4624" ht="22.5" customHeight="1">
      <c r="H4624" s="15"/>
      <c r="I4624" s="16"/>
      <c r="J4624" s="15"/>
      <c r="K4624" s="15"/>
    </row>
    <row r="4625" ht="22.5" customHeight="1">
      <c r="H4625" s="15"/>
      <c r="I4625" s="16"/>
      <c r="J4625" s="15"/>
      <c r="K4625" s="15"/>
    </row>
    <row r="4626" ht="22.5" customHeight="1">
      <c r="H4626" s="15"/>
      <c r="I4626" s="16"/>
      <c r="J4626" s="15"/>
      <c r="K4626" s="15"/>
    </row>
    <row r="4627" ht="22.5" customHeight="1">
      <c r="H4627" s="15"/>
      <c r="I4627" s="16"/>
      <c r="J4627" s="15"/>
      <c r="K4627" s="15"/>
    </row>
    <row r="4628" ht="22.5" customHeight="1">
      <c r="H4628" s="15"/>
      <c r="I4628" s="16"/>
      <c r="J4628" s="15"/>
      <c r="K4628" s="15"/>
    </row>
    <row r="4629" ht="22.5" customHeight="1">
      <c r="H4629" s="15"/>
      <c r="I4629" s="16"/>
      <c r="J4629" s="15"/>
      <c r="K4629" s="15"/>
    </row>
    <row r="4630" ht="22.5" customHeight="1">
      <c r="H4630" s="15"/>
      <c r="I4630" s="16"/>
      <c r="J4630" s="15"/>
      <c r="K4630" s="15"/>
    </row>
    <row r="4631" ht="22.5" customHeight="1">
      <c r="H4631" s="15"/>
      <c r="I4631" s="16"/>
      <c r="J4631" s="15"/>
      <c r="K4631" s="15"/>
    </row>
    <row r="4632" ht="22.5" customHeight="1">
      <c r="H4632" s="15"/>
      <c r="I4632" s="16"/>
      <c r="J4632" s="15"/>
      <c r="K4632" s="15"/>
    </row>
    <row r="4633" ht="22.5" customHeight="1">
      <c r="H4633" s="15"/>
      <c r="I4633" s="16"/>
      <c r="J4633" s="15"/>
      <c r="K4633" s="15"/>
    </row>
    <row r="4634" ht="22.5" customHeight="1">
      <c r="H4634" s="15"/>
      <c r="I4634" s="16"/>
      <c r="J4634" s="15"/>
      <c r="K4634" s="15"/>
    </row>
    <row r="4635" ht="22.5" customHeight="1">
      <c r="H4635" s="15"/>
      <c r="I4635" s="16"/>
      <c r="J4635" s="15"/>
      <c r="K4635" s="15"/>
    </row>
  </sheetData>
  <autoFilter ref="$A$1:$L$4635"/>
  <hyperlinks>
    <hyperlink r:id="rId4" ref="K18"/>
    <hyperlink r:id="rId5" ref="K91"/>
    <hyperlink r:id="rId6" ref="K97"/>
    <hyperlink r:id="rId7" ref="K99"/>
    <hyperlink r:id="rId8" ref="K110"/>
    <hyperlink r:id="rId9" ref="K132"/>
    <hyperlink r:id="rId10" ref="K150"/>
    <hyperlink r:id="rId11" ref="K156"/>
    <hyperlink r:id="rId12" ref="K164"/>
    <hyperlink r:id="rId13" ref="K173"/>
    <hyperlink r:id="rId14" ref="K181"/>
    <hyperlink r:id="rId15" ref="K191"/>
    <hyperlink r:id="rId16" ref="K204"/>
    <hyperlink r:id="rId17" ref="K231"/>
    <hyperlink r:id="rId18" ref="K249"/>
    <hyperlink r:id="rId19" ref="K267"/>
    <hyperlink r:id="rId20" ref="K276"/>
    <hyperlink r:id="rId21" ref="K285"/>
    <hyperlink r:id="rId22" ref="K315"/>
    <hyperlink r:id="rId23" ref="K323"/>
    <hyperlink r:id="rId24" ref="K335"/>
    <hyperlink r:id="rId25" ref="K343"/>
    <hyperlink r:id="rId26" ref="K353"/>
    <hyperlink r:id="rId27" ref="K360"/>
    <hyperlink r:id="rId28" ref="K365"/>
    <hyperlink r:id="rId29" ref="K372"/>
    <hyperlink r:id="rId30" ref="K382"/>
    <hyperlink r:id="rId31" ref="K387"/>
    <hyperlink r:id="rId32" ref="K402"/>
    <hyperlink r:id="rId33" ref="K443"/>
    <hyperlink r:id="rId34" ref="K447"/>
    <hyperlink r:id="rId35" ref="K459"/>
    <hyperlink r:id="rId36" ref="K470"/>
    <hyperlink r:id="rId37" ref="K482"/>
    <hyperlink r:id="rId38" ref="K485"/>
    <hyperlink r:id="rId39" ref="K495"/>
    <hyperlink r:id="rId40" ref="K523"/>
    <hyperlink r:id="rId41" ref="K536"/>
    <hyperlink r:id="rId42" ref="K575"/>
    <hyperlink r:id="rId43" ref="K593"/>
    <hyperlink r:id="rId44" ref="K622"/>
    <hyperlink r:id="rId45" ref="K648"/>
    <hyperlink r:id="rId46" ref="K702"/>
    <hyperlink r:id="rId47" ref="K722"/>
    <hyperlink r:id="rId48" ref="K748"/>
    <hyperlink r:id="rId49" ref="K776"/>
    <hyperlink r:id="rId50" ref="K788"/>
    <hyperlink r:id="rId51" ref="K820"/>
    <hyperlink r:id="rId52" ref="K825"/>
    <hyperlink r:id="rId53" ref="K861"/>
    <hyperlink r:id="rId54" ref="K881"/>
    <hyperlink r:id="rId55" ref="K954"/>
    <hyperlink r:id="rId56" ref="K980"/>
    <hyperlink r:id="rId57" ref="K1048"/>
    <hyperlink r:id="rId58" ref="K1088"/>
    <hyperlink r:id="rId59" ref="K1128"/>
    <hyperlink r:id="rId60" ref="K1135"/>
    <hyperlink r:id="rId61" ref="K1186"/>
    <hyperlink r:id="rId62" ref="K1241"/>
    <hyperlink r:id="rId63" ref="K1272"/>
    <hyperlink r:id="rId64" ref="K1276"/>
    <hyperlink r:id="rId65" ref="K1281"/>
    <hyperlink r:id="rId66" ref="K1296"/>
    <hyperlink r:id="rId67" ref="K1336"/>
    <hyperlink r:id="rId68" ref="K1361"/>
    <hyperlink r:id="rId69" ref="K1380"/>
    <hyperlink r:id="rId70" ref="K1389"/>
    <hyperlink r:id="rId71" ref="K1397"/>
    <hyperlink r:id="rId72" ref="K1398"/>
    <hyperlink r:id="rId73" ref="K1410"/>
    <hyperlink r:id="rId74" ref="K1446"/>
    <hyperlink r:id="rId75" ref="K1450"/>
    <hyperlink r:id="rId76" ref="K1451"/>
    <hyperlink r:id="rId77" ref="K1489"/>
    <hyperlink r:id="rId78" ref="K1515"/>
    <hyperlink r:id="rId79" ref="K1553"/>
    <hyperlink r:id="rId80" ref="K1570"/>
    <hyperlink r:id="rId81" ref="K1600"/>
    <hyperlink r:id="rId82" ref="K1601"/>
    <hyperlink r:id="rId83" ref="K1619"/>
    <hyperlink r:id="rId84" ref="K1621"/>
    <hyperlink r:id="rId85" ref="K1661"/>
    <hyperlink r:id="rId86" ref="K1674"/>
    <hyperlink r:id="rId87" ref="K1706"/>
    <hyperlink r:id="rId88" ref="K1717"/>
    <hyperlink r:id="rId89" ref="K1729"/>
    <hyperlink r:id="rId90" ref="K1730"/>
    <hyperlink r:id="rId91" ref="K1749"/>
    <hyperlink r:id="rId92" ref="K1774"/>
    <hyperlink r:id="rId93" ref="K1804"/>
    <hyperlink r:id="rId94" ref="K1859"/>
    <hyperlink r:id="rId95" ref="K1874"/>
    <hyperlink r:id="rId96" ref="K1883"/>
    <hyperlink r:id="rId97" ref="K1908"/>
    <hyperlink r:id="rId98" ref="K1975"/>
    <hyperlink r:id="rId99" ref="K2051"/>
    <hyperlink r:id="rId100" ref="K2141"/>
    <hyperlink r:id="rId101" ref="K2156"/>
    <hyperlink r:id="rId102" ref="K2168"/>
    <hyperlink r:id="rId103" ref="K2280"/>
    <hyperlink r:id="rId104" ref="K2286"/>
    <hyperlink r:id="rId105" ref="K2296"/>
    <hyperlink r:id="rId106" ref="K2304"/>
    <hyperlink r:id="rId107" ref="K2309"/>
    <hyperlink r:id="rId108" ref="K2349"/>
    <hyperlink r:id="rId109" ref="K2360"/>
    <hyperlink r:id="rId110" ref="K2461"/>
    <hyperlink r:id="rId111" ref="K2477"/>
    <hyperlink r:id="rId112" ref="K2560"/>
    <hyperlink r:id="rId113" ref="K2595"/>
    <hyperlink r:id="rId114" ref="K2607"/>
    <hyperlink r:id="rId115" ref="K2634"/>
    <hyperlink r:id="rId116" ref="K2639"/>
    <hyperlink r:id="rId117" ref="K2655"/>
    <hyperlink r:id="rId118" ref="K2734"/>
    <hyperlink r:id="rId119" ref="K2756"/>
    <hyperlink r:id="rId120" ref="K2762"/>
    <hyperlink r:id="rId121" ref="K2766"/>
    <hyperlink r:id="rId122" ref="K2790"/>
    <hyperlink r:id="rId123" ref="K2843"/>
    <hyperlink r:id="rId124" ref="K2865"/>
    <hyperlink r:id="rId125" ref="K2870"/>
    <hyperlink r:id="rId126" ref="K2874"/>
    <hyperlink r:id="rId127" ref="K2886"/>
    <hyperlink r:id="rId128" ref="K2910"/>
    <hyperlink r:id="rId129" ref="K2921"/>
    <hyperlink r:id="rId130" ref="K2959"/>
    <hyperlink r:id="rId131" ref="K2961"/>
    <hyperlink r:id="rId132" ref="K2984"/>
    <hyperlink r:id="rId133" ref="K3038"/>
    <hyperlink r:id="rId134" ref="K3045"/>
    <hyperlink r:id="rId135" ref="K3046"/>
    <hyperlink r:id="rId136" ref="K3127"/>
    <hyperlink r:id="rId137" ref="K3203"/>
    <hyperlink r:id="rId138" ref="K3265"/>
    <hyperlink r:id="rId139" ref="K3311"/>
    <hyperlink r:id="rId140" ref="K3315"/>
    <hyperlink r:id="rId141" ref="K3364"/>
    <hyperlink r:id="rId142" ref="K3384"/>
    <hyperlink r:id="rId143" ref="K3478"/>
    <hyperlink r:id="rId144" ref="K3495"/>
    <hyperlink r:id="rId145" ref="K3506"/>
  </hyperlinks>
  <drawing r:id="rId146"/>
  <legacyDrawing r:id="rId1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hyperlinks>
    <hyperlink r:id="rId5" ref="B52"/>
    <hyperlink r:id="rId6" ref="B53"/>
  </hyperlinks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hyperlinks>
    <hyperlink r:id="rId2" ref="B14"/>
    <hyperlink r:id="rId3" ref="B15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25.63"/>
    <col customWidth="1" min="2" max="2" width="13.63"/>
    <col customWidth="1" min="3" max="6" width="12.63"/>
  </cols>
  <sheetData>
    <row r="1">
      <c r="A1" s="19" t="s">
        <v>3360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>
      <c r="A2" s="21" t="s">
        <v>3361</v>
      </c>
      <c r="B2" s="22" t="s">
        <v>20</v>
      </c>
    </row>
    <row r="3">
      <c r="A3" s="21" t="s">
        <v>3362</v>
      </c>
      <c r="B3" s="23">
        <f>IFERROR(VLOOKUP(B2,AUX!B:C,2,0),0)</f>
        <v>28</v>
      </c>
      <c r="C3" s="23"/>
    </row>
    <row r="4">
      <c r="A4" s="21" t="s">
        <v>3363</v>
      </c>
      <c r="B4" s="24">
        <f>today()</f>
        <v>46092</v>
      </c>
      <c r="C4" s="23"/>
    </row>
    <row r="5">
      <c r="A5" s="25"/>
      <c r="B5" s="25"/>
    </row>
    <row r="6">
      <c r="A6" s="25"/>
      <c r="B6" s="26" t="s">
        <v>3364</v>
      </c>
      <c r="C6" s="26" t="s">
        <v>3365</v>
      </c>
      <c r="F6" s="27"/>
      <c r="G6" s="28" t="s">
        <v>3366</v>
      </c>
    </row>
    <row r="7">
      <c r="A7" s="21" t="s">
        <v>3367</v>
      </c>
      <c r="B7" s="29">
        <v>1530.0</v>
      </c>
      <c r="C7" s="29">
        <v>400.0</v>
      </c>
      <c r="F7" s="27" t="s">
        <v>3368</v>
      </c>
      <c r="G7" s="28">
        <v>1.22937812E8</v>
      </c>
      <c r="J7" s="30"/>
      <c r="K7" s="30"/>
    </row>
    <row r="8">
      <c r="A8" s="21" t="s">
        <v>3369</v>
      </c>
      <c r="B8" s="31">
        <f t="shared" ref="B8:C8" si="1">B7*0.45</f>
        <v>688.5</v>
      </c>
      <c r="C8" s="31">
        <f t="shared" si="1"/>
        <v>180</v>
      </c>
      <c r="F8" s="27" t="s">
        <v>3370</v>
      </c>
      <c r="G8" s="28">
        <v>8.5569856E7</v>
      </c>
      <c r="J8" s="30"/>
      <c r="K8" s="30"/>
    </row>
    <row r="9">
      <c r="A9" s="21" t="s">
        <v>3371</v>
      </c>
      <c r="B9" s="32">
        <f t="shared" ref="B9:C9" si="2">(B7/$B$3)*day($B$4)</f>
        <v>601.0714286</v>
      </c>
      <c r="C9" s="32">
        <f t="shared" si="2"/>
        <v>157.1428571</v>
      </c>
      <c r="F9" s="27" t="s">
        <v>3372</v>
      </c>
      <c r="G9" s="28">
        <v>8.0566583E7</v>
      </c>
      <c r="J9" s="30"/>
      <c r="K9" s="30"/>
    </row>
    <row r="10">
      <c r="A10" s="21" t="s">
        <v>3373</v>
      </c>
      <c r="B10" s="32">
        <f t="shared" ref="B10:C10" si="3">(B8/$B$3)*day($B$4)</f>
        <v>270.4821429</v>
      </c>
      <c r="C10" s="32">
        <f t="shared" si="3"/>
        <v>70.71428571</v>
      </c>
      <c r="F10" s="27" t="s">
        <v>3374</v>
      </c>
      <c r="G10" s="28">
        <v>7.9360573E7</v>
      </c>
      <c r="I10" s="33"/>
      <c r="J10" s="34"/>
      <c r="K10" s="34"/>
    </row>
    <row r="11">
      <c r="A11" s="25"/>
      <c r="B11" s="25"/>
      <c r="F11" s="27" t="s">
        <v>3375</v>
      </c>
      <c r="G11" s="28">
        <v>1.660577231E9</v>
      </c>
    </row>
    <row r="12">
      <c r="A12" s="21" t="s">
        <v>3376</v>
      </c>
      <c r="B12" s="31">
        <f>COUNTIFS(BD!E:E,"&lt;&gt;79360573",BD!E:E,"&lt;&gt;Rafaela Garrido")</f>
        <v>2663</v>
      </c>
      <c r="C12" s="31">
        <f>COUNTIF(BD!E:E,"79360573") + COUNTIF(BD!E:E,"Rafaela Garrido")</f>
        <v>753</v>
      </c>
      <c r="F12" s="27" t="s">
        <v>3377</v>
      </c>
      <c r="G12" s="28">
        <v>1.626259938E9</v>
      </c>
    </row>
    <row r="13">
      <c r="A13" s="21" t="s">
        <v>3378</v>
      </c>
      <c r="B13" s="31">
        <f>COUNTIFS(BD!D:D,"ALTA",BD!E:E,"&lt;&gt;79360573")+COUNTIFS(BD!D:D,"MEDIA",BD!E:E,"&lt;&gt;79360573")</f>
        <v>386</v>
      </c>
      <c r="C13" s="31">
        <f>COUNTIFS(BD!D:D,"ALTA",BD!E:E,"79360573")+COUNTIFS(BD!D:D,"MEDIA",BD!E:E,"79360573") + COUNTIFS(BD!D:D,"ALTA",BD!E:E,"Rafaela Garrido")+COUNTIFS(BD!D:D,"MEDIA",BD!E:E,"Rafaela Garrido")</f>
        <v>189</v>
      </c>
    </row>
    <row r="14">
      <c r="A14" s="21" t="s">
        <v>3379</v>
      </c>
      <c r="B14" s="35">
        <f t="shared" ref="B14:C14" si="4">B12/B7</f>
        <v>1.740522876</v>
      </c>
      <c r="C14" s="35">
        <f t="shared" si="4"/>
        <v>1.8825</v>
      </c>
      <c r="D14" s="36"/>
    </row>
    <row r="15">
      <c r="A15" s="21" t="s">
        <v>3380</v>
      </c>
      <c r="B15" s="35">
        <f t="shared" ref="B15:C15" si="5">B12/B9</f>
        <v>4.430421866</v>
      </c>
      <c r="C15" s="35">
        <f t="shared" si="5"/>
        <v>4.791818182</v>
      </c>
    </row>
    <row r="16">
      <c r="A16" s="21" t="s">
        <v>3381</v>
      </c>
      <c r="B16" s="35">
        <f t="shared" ref="B16:C16" si="6">B13/B8</f>
        <v>0.5606390704</v>
      </c>
      <c r="C16" s="35">
        <f t="shared" si="6"/>
        <v>1.05</v>
      </c>
    </row>
    <row r="17">
      <c r="A17" s="21" t="s">
        <v>3382</v>
      </c>
      <c r="B17" s="35">
        <f t="shared" ref="B17:C17" si="7">B13/B10</f>
        <v>1.42708127</v>
      </c>
      <c r="C17" s="35">
        <f t="shared" si="7"/>
        <v>2.672727273</v>
      </c>
    </row>
    <row r="18">
      <c r="A18" s="25"/>
      <c r="B18" s="25"/>
      <c r="H18" s="37"/>
    </row>
    <row r="19" ht="502.5" customHeight="1">
      <c r="A19" s="38" t="str">
        <f>"Resumen Diario Marketing Metrics - "&amp;B2&amp;" al "&amp;TEXT(TODAY(),"dd/mm/yyyy")&amp;"
Latam
- Sign Ups (Real-Meta): "&amp;B12&amp;" de "&amp;B7&amp;" ("&amp;TEXT(B14,"0.0%")&amp;")
  → Meta To Date: "&amp;TEXT(B9,"0")&amp;" ("&amp;TEXT(B15,"0.0%")&amp;")
- PQLs (Real-Meta): "&amp;B13&amp;" de "&amp;B8&amp;" ("&amp;TEXT(B16,"0.0%")&amp;")
  → Meta To Date: "&amp;TEXT(B10,"0")&amp;" ("&amp;TEXT(B17,"0.0%")&amp;")
Sources: "&amp;CHAR(10)&amp;AUX!K2&amp;"
Brasil
- Sign Ups (Real-Meta): "&amp;C12&amp;" de "&amp;C7&amp;" ("&amp;TEXT(C14,"0.0%")&amp;")
  → Meta To Date: "&amp;TEXT(C9,"0")&amp;" ("&amp;TEXT(C15,"0.0%")&amp;")
- PQLs (Real-Meta): "&amp;C13&amp;" de "&amp;C8&amp;" ("&amp;TEXT(C16,"0.0%")&amp;")
  → Meta To Date: "&amp;TEXT(C10,"0")&amp;" ("&amp;TEXT(C17,"0.0%")&amp;")
Sources: "&amp;CHAR(10)&amp;AUX!L2&amp;"
More details in: https://bit.ly/3YrchkM
PQL's sources: https://bit.ly/44YJVSJ"</f>
        <v>Resumen Diario Marketing Metrics - February al 11/03/2026
Latam
- Sign Ups (Real-Meta): 2663 de 1530 (174.1%)
  → Meta To Date: 601 (443.0%)
- PQLs (Real-Meta): 386 de 688.5 (56.1%)
  → Meta To Date: 270 (142.7%)
Sources: 
  - PAID_SOCIAL: 1598
  - SOCIAL_MEDIA: 141
  - DIRECT_TRAFFIC: 722
  - REFERRALS: 96
  - OTHER_CAMPAIGNS: 74
  - ORGANIC_SEARCH: 18
  - OFFLINE: 5
  - Sin fuente: 8
Brasil
- Sign Ups (Real-Meta): 753 de 400 (188.3%)
  → Meta To Date: 157 (479.2%)
- PQLs (Real-Meta): 189 de 180 (105.0%)
  → Meta To Date: 71 (267.3%)
Sources: 
  - PAID_SOCIAL: 23
  - SOCIAL_MEDIA: 2
  - DIRECT_TRAFFIC: 565
  - REFERRALS: 38
  - OTHER_CAMPAIGNS: 116
  - ORGANIC_SEARCH: 7
  - OFFLINE: 1
  - PAID_SEARCH: 1
More details in: https://bit.ly/3YrchkM
PQL's sources: https://bit.ly/44YJVSJ</v>
      </c>
      <c r="B19" s="25"/>
    </row>
    <row r="20">
      <c r="A20" s="25"/>
      <c r="B20" s="25"/>
    </row>
    <row r="21">
      <c r="A21" s="25"/>
      <c r="B21" s="25"/>
    </row>
    <row r="22">
      <c r="A22" s="25"/>
      <c r="B22" s="25"/>
    </row>
    <row r="23">
      <c r="A23" s="25"/>
      <c r="B23" s="25"/>
    </row>
    <row r="24">
      <c r="A24" s="25"/>
      <c r="B24" s="25"/>
    </row>
    <row r="25">
      <c r="A25" s="25"/>
      <c r="B25" s="25"/>
    </row>
    <row r="26">
      <c r="A26" s="25"/>
      <c r="B26" s="25"/>
    </row>
    <row r="27">
      <c r="A27" s="25"/>
      <c r="B27" s="25"/>
    </row>
    <row r="28">
      <c r="A28" s="25"/>
      <c r="B28" s="25"/>
    </row>
    <row r="29">
      <c r="A29" s="25"/>
      <c r="B29" s="25"/>
    </row>
    <row r="30">
      <c r="A30" s="25"/>
      <c r="B30" s="25"/>
    </row>
    <row r="31">
      <c r="A31" s="25"/>
      <c r="B31" s="25"/>
    </row>
    <row r="32">
      <c r="A32" s="25"/>
      <c r="B32" s="25"/>
    </row>
    <row r="33">
      <c r="A33" s="25"/>
      <c r="B33" s="25"/>
    </row>
    <row r="34">
      <c r="A34" s="25"/>
      <c r="B34" s="25"/>
    </row>
    <row r="35">
      <c r="A35" s="25"/>
      <c r="B35" s="25"/>
    </row>
    <row r="36">
      <c r="A36" s="25"/>
      <c r="B36" s="25"/>
    </row>
    <row r="37">
      <c r="A37" s="25"/>
      <c r="B37" s="25"/>
    </row>
    <row r="38">
      <c r="A38" s="25"/>
      <c r="B38" s="25"/>
    </row>
    <row r="39">
      <c r="A39" s="25"/>
      <c r="B39" s="25"/>
    </row>
    <row r="40">
      <c r="A40" s="25"/>
      <c r="B40" s="25"/>
    </row>
    <row r="41">
      <c r="A41" s="25"/>
      <c r="B41" s="25"/>
    </row>
    <row r="42">
      <c r="A42" s="25"/>
      <c r="B42" s="25"/>
    </row>
    <row r="43">
      <c r="A43" s="25"/>
      <c r="B43" s="25"/>
    </row>
    <row r="44">
      <c r="A44" s="25"/>
      <c r="B44" s="25"/>
    </row>
    <row r="45">
      <c r="A45" s="25"/>
      <c r="B45" s="25"/>
    </row>
    <row r="46">
      <c r="A46" s="25"/>
      <c r="B46" s="25"/>
    </row>
    <row r="47">
      <c r="A47" s="25"/>
      <c r="B47" s="25"/>
    </row>
    <row r="48">
      <c r="A48" s="25"/>
      <c r="B48" s="25"/>
    </row>
    <row r="49">
      <c r="A49" s="25"/>
      <c r="B49" s="25"/>
    </row>
    <row r="50">
      <c r="A50" s="25"/>
      <c r="B50" s="25"/>
    </row>
    <row r="51">
      <c r="A51" s="25"/>
      <c r="B51" s="25"/>
    </row>
    <row r="52">
      <c r="A52" s="25"/>
      <c r="B52" s="25"/>
    </row>
    <row r="53">
      <c r="A53" s="25"/>
      <c r="B53" s="25"/>
    </row>
    <row r="54">
      <c r="A54" s="25"/>
      <c r="B54" s="25"/>
    </row>
    <row r="55">
      <c r="A55" s="25"/>
      <c r="B55" s="25"/>
    </row>
    <row r="56">
      <c r="A56" s="25"/>
      <c r="B56" s="25"/>
    </row>
    <row r="57">
      <c r="A57" s="25"/>
      <c r="B57" s="25"/>
    </row>
    <row r="58">
      <c r="A58" s="25"/>
      <c r="B58" s="25"/>
    </row>
    <row r="59">
      <c r="A59" s="25"/>
      <c r="B59" s="25"/>
    </row>
    <row r="60">
      <c r="A60" s="25"/>
      <c r="B60" s="25"/>
    </row>
    <row r="61">
      <c r="A61" s="25"/>
      <c r="B61" s="25"/>
    </row>
    <row r="62">
      <c r="A62" s="25"/>
      <c r="B62" s="25"/>
    </row>
    <row r="63">
      <c r="A63" s="25"/>
      <c r="B63" s="25"/>
    </row>
    <row r="64">
      <c r="A64" s="25"/>
      <c r="B64" s="25"/>
    </row>
    <row r="65">
      <c r="A65" s="25"/>
      <c r="B65" s="25"/>
    </row>
    <row r="66">
      <c r="A66" s="25"/>
      <c r="B66" s="25"/>
    </row>
    <row r="67">
      <c r="A67" s="25"/>
      <c r="B67" s="25"/>
    </row>
    <row r="68">
      <c r="A68" s="25"/>
      <c r="B68" s="25"/>
    </row>
    <row r="69">
      <c r="A69" s="25"/>
      <c r="B69" s="25"/>
    </row>
    <row r="70">
      <c r="A70" s="25"/>
      <c r="B70" s="25"/>
    </row>
    <row r="71">
      <c r="A71" s="25"/>
      <c r="B71" s="25"/>
    </row>
    <row r="72">
      <c r="A72" s="25"/>
      <c r="B72" s="25"/>
    </row>
    <row r="73">
      <c r="A73" s="25"/>
      <c r="B73" s="25"/>
    </row>
    <row r="74">
      <c r="A74" s="25"/>
      <c r="B74" s="25"/>
    </row>
    <row r="75">
      <c r="A75" s="25"/>
      <c r="B75" s="25"/>
    </row>
    <row r="76">
      <c r="A76" s="25"/>
      <c r="B76" s="25"/>
    </row>
    <row r="77">
      <c r="A77" s="25"/>
      <c r="B77" s="25"/>
    </row>
    <row r="78">
      <c r="A78" s="25"/>
      <c r="B78" s="25"/>
    </row>
    <row r="79">
      <c r="A79" s="25"/>
      <c r="B79" s="25"/>
    </row>
    <row r="80">
      <c r="A80" s="25"/>
      <c r="B80" s="25"/>
    </row>
    <row r="81">
      <c r="A81" s="25"/>
      <c r="B81" s="25"/>
    </row>
    <row r="82">
      <c r="A82" s="25"/>
      <c r="B82" s="25"/>
    </row>
    <row r="83">
      <c r="A83" s="25"/>
      <c r="B83" s="25"/>
    </row>
    <row r="84">
      <c r="A84" s="25"/>
      <c r="B84" s="25"/>
    </row>
    <row r="85">
      <c r="A85" s="25"/>
      <c r="B85" s="25"/>
    </row>
    <row r="86">
      <c r="A86" s="25"/>
      <c r="B86" s="25"/>
    </row>
    <row r="87">
      <c r="A87" s="25"/>
      <c r="B87" s="25"/>
    </row>
    <row r="88">
      <c r="A88" s="25"/>
      <c r="B88" s="25"/>
    </row>
    <row r="89">
      <c r="A89" s="25"/>
      <c r="B89" s="25"/>
    </row>
    <row r="90">
      <c r="A90" s="25"/>
      <c r="B90" s="25"/>
    </row>
    <row r="91">
      <c r="A91" s="25"/>
      <c r="B91" s="25"/>
    </row>
    <row r="92">
      <c r="A92" s="25"/>
      <c r="B92" s="25"/>
    </row>
    <row r="93">
      <c r="A93" s="25"/>
      <c r="B93" s="25"/>
    </row>
    <row r="94">
      <c r="A94" s="25"/>
      <c r="B94" s="25"/>
    </row>
    <row r="95">
      <c r="A95" s="25"/>
      <c r="B95" s="25"/>
    </row>
    <row r="96">
      <c r="A96" s="25"/>
      <c r="B96" s="25"/>
    </row>
    <row r="97">
      <c r="A97" s="25"/>
      <c r="B97" s="25"/>
    </row>
    <row r="98">
      <c r="A98" s="25"/>
      <c r="B98" s="25"/>
    </row>
    <row r="99">
      <c r="A99" s="25"/>
      <c r="B99" s="25"/>
    </row>
    <row r="100">
      <c r="A100" s="25"/>
      <c r="B100" s="25"/>
    </row>
    <row r="101">
      <c r="A101" s="25"/>
      <c r="B101" s="25"/>
    </row>
    <row r="102">
      <c r="A102" s="25"/>
      <c r="B102" s="25"/>
    </row>
    <row r="103">
      <c r="A103" s="25"/>
      <c r="B103" s="25"/>
    </row>
    <row r="104">
      <c r="A104" s="25"/>
      <c r="B104" s="25"/>
    </row>
    <row r="105">
      <c r="A105" s="25"/>
      <c r="B105" s="25"/>
    </row>
    <row r="106">
      <c r="A106" s="25"/>
      <c r="B106" s="25"/>
    </row>
    <row r="107">
      <c r="A107" s="25"/>
      <c r="B107" s="25"/>
    </row>
    <row r="108">
      <c r="A108" s="25"/>
      <c r="B108" s="25"/>
    </row>
    <row r="109">
      <c r="A109" s="25"/>
      <c r="B109" s="25"/>
    </row>
    <row r="110">
      <c r="A110" s="25"/>
      <c r="B110" s="25"/>
    </row>
    <row r="111">
      <c r="A111" s="25"/>
      <c r="B111" s="25"/>
    </row>
    <row r="112">
      <c r="A112" s="25"/>
      <c r="B112" s="25"/>
    </row>
    <row r="113">
      <c r="A113" s="25"/>
      <c r="B113" s="25"/>
    </row>
    <row r="114">
      <c r="A114" s="25"/>
      <c r="B114" s="25"/>
    </row>
    <row r="115">
      <c r="A115" s="25"/>
      <c r="B115" s="25"/>
    </row>
    <row r="116">
      <c r="A116" s="25"/>
      <c r="B116" s="25"/>
    </row>
    <row r="117">
      <c r="A117" s="25"/>
      <c r="B117" s="25"/>
    </row>
    <row r="118">
      <c r="A118" s="25"/>
      <c r="B118" s="25"/>
    </row>
    <row r="119">
      <c r="A119" s="25"/>
      <c r="B119" s="25"/>
    </row>
    <row r="120">
      <c r="A120" s="25"/>
      <c r="B120" s="25"/>
    </row>
    <row r="121">
      <c r="A121" s="25"/>
      <c r="B121" s="25"/>
    </row>
    <row r="122">
      <c r="A122" s="25"/>
      <c r="B122" s="25"/>
    </row>
    <row r="123">
      <c r="A123" s="25"/>
      <c r="B123" s="25"/>
    </row>
    <row r="124">
      <c r="A124" s="25"/>
      <c r="B124" s="25"/>
    </row>
    <row r="125">
      <c r="A125" s="25"/>
      <c r="B125" s="25"/>
    </row>
    <row r="126">
      <c r="A126" s="25"/>
      <c r="B126" s="25"/>
    </row>
    <row r="127">
      <c r="A127" s="25"/>
      <c r="B127" s="25"/>
    </row>
    <row r="128">
      <c r="A128" s="25"/>
      <c r="B128" s="25"/>
    </row>
    <row r="129">
      <c r="A129" s="25"/>
      <c r="B129" s="25"/>
    </row>
    <row r="130">
      <c r="A130" s="25"/>
      <c r="B130" s="25"/>
    </row>
    <row r="131">
      <c r="A131" s="25"/>
      <c r="B131" s="25"/>
    </row>
    <row r="132">
      <c r="A132" s="25"/>
      <c r="B132" s="25"/>
    </row>
    <row r="133">
      <c r="A133" s="25"/>
      <c r="B133" s="25"/>
    </row>
    <row r="134">
      <c r="A134" s="25"/>
      <c r="B134" s="25"/>
    </row>
    <row r="135">
      <c r="A135" s="25"/>
      <c r="B135" s="25"/>
    </row>
    <row r="136">
      <c r="A136" s="25"/>
      <c r="B136" s="25"/>
    </row>
    <row r="137">
      <c r="A137" s="25"/>
      <c r="B137" s="25"/>
    </row>
    <row r="138">
      <c r="A138" s="25"/>
      <c r="B138" s="25"/>
    </row>
    <row r="139">
      <c r="A139" s="25"/>
      <c r="B139" s="25"/>
    </row>
    <row r="140">
      <c r="A140" s="25"/>
      <c r="B140" s="25"/>
    </row>
    <row r="141">
      <c r="A141" s="25"/>
      <c r="B141" s="25"/>
    </row>
    <row r="142">
      <c r="A142" s="25"/>
      <c r="B142" s="25"/>
    </row>
    <row r="143">
      <c r="A143" s="25"/>
      <c r="B143" s="25"/>
    </row>
    <row r="144">
      <c r="A144" s="25"/>
      <c r="B144" s="25"/>
    </row>
    <row r="145">
      <c r="A145" s="25"/>
      <c r="B145" s="25"/>
    </row>
    <row r="146">
      <c r="A146" s="25"/>
      <c r="B146" s="25"/>
    </row>
    <row r="147">
      <c r="A147" s="25"/>
      <c r="B147" s="25"/>
    </row>
    <row r="148">
      <c r="A148" s="25"/>
      <c r="B148" s="25"/>
    </row>
    <row r="149">
      <c r="A149" s="25"/>
      <c r="B149" s="25"/>
    </row>
    <row r="150">
      <c r="A150" s="25"/>
      <c r="B150" s="25"/>
    </row>
    <row r="151">
      <c r="A151" s="25"/>
      <c r="B151" s="25"/>
    </row>
    <row r="152">
      <c r="A152" s="25"/>
      <c r="B152" s="25"/>
    </row>
    <row r="153">
      <c r="A153" s="25"/>
      <c r="B153" s="25"/>
    </row>
    <row r="154">
      <c r="A154" s="25"/>
      <c r="B154" s="25"/>
    </row>
    <row r="155">
      <c r="A155" s="25"/>
      <c r="B155" s="25"/>
    </row>
    <row r="156">
      <c r="A156" s="25"/>
      <c r="B156" s="25"/>
    </row>
    <row r="157">
      <c r="A157" s="25"/>
      <c r="B157" s="25"/>
    </row>
    <row r="158">
      <c r="A158" s="25"/>
      <c r="B158" s="25"/>
    </row>
    <row r="159">
      <c r="A159" s="25"/>
      <c r="B159" s="25"/>
    </row>
    <row r="160">
      <c r="A160" s="25"/>
      <c r="B160" s="25"/>
    </row>
    <row r="161">
      <c r="A161" s="25"/>
      <c r="B161" s="25"/>
    </row>
    <row r="162">
      <c r="A162" s="25"/>
      <c r="B162" s="25"/>
    </row>
    <row r="163">
      <c r="A163" s="25"/>
      <c r="B163" s="25"/>
    </row>
    <row r="164">
      <c r="A164" s="25"/>
      <c r="B164" s="25"/>
    </row>
    <row r="165">
      <c r="A165" s="25"/>
      <c r="B165" s="25"/>
    </row>
    <row r="166">
      <c r="A166" s="25"/>
      <c r="B166" s="25"/>
    </row>
    <row r="167">
      <c r="A167" s="25"/>
      <c r="B167" s="25"/>
    </row>
    <row r="168">
      <c r="A168" s="25"/>
      <c r="B168" s="25"/>
    </row>
    <row r="169">
      <c r="A169" s="25"/>
      <c r="B169" s="25"/>
    </row>
    <row r="170">
      <c r="A170" s="25"/>
      <c r="B170" s="25"/>
    </row>
    <row r="171">
      <c r="A171" s="25"/>
      <c r="B171" s="25"/>
    </row>
    <row r="172">
      <c r="A172" s="25"/>
      <c r="B172" s="25"/>
    </row>
    <row r="173">
      <c r="A173" s="25"/>
      <c r="B173" s="25"/>
    </row>
    <row r="174">
      <c r="A174" s="25"/>
      <c r="B174" s="25"/>
    </row>
    <row r="175">
      <c r="A175" s="25"/>
      <c r="B175" s="25"/>
    </row>
    <row r="176">
      <c r="A176" s="25"/>
      <c r="B176" s="25"/>
    </row>
    <row r="177">
      <c r="A177" s="25"/>
      <c r="B177" s="25"/>
    </row>
    <row r="178">
      <c r="A178" s="25"/>
      <c r="B178" s="25"/>
    </row>
    <row r="179">
      <c r="A179" s="25"/>
      <c r="B179" s="25"/>
    </row>
    <row r="180">
      <c r="A180" s="25"/>
      <c r="B180" s="25"/>
    </row>
    <row r="181">
      <c r="A181" s="25"/>
      <c r="B181" s="25"/>
    </row>
    <row r="182">
      <c r="A182" s="25"/>
      <c r="B182" s="25"/>
    </row>
    <row r="183">
      <c r="A183" s="25"/>
      <c r="B183" s="25"/>
    </row>
    <row r="184">
      <c r="A184" s="25"/>
      <c r="B184" s="25"/>
    </row>
    <row r="185">
      <c r="A185" s="25"/>
      <c r="B185" s="25"/>
    </row>
    <row r="186">
      <c r="A186" s="25"/>
      <c r="B186" s="25"/>
    </row>
    <row r="187">
      <c r="A187" s="25"/>
      <c r="B187" s="25"/>
    </row>
    <row r="188">
      <c r="A188" s="25"/>
      <c r="B188" s="25"/>
    </row>
    <row r="189">
      <c r="A189" s="25"/>
      <c r="B189" s="25"/>
    </row>
    <row r="190">
      <c r="A190" s="25"/>
      <c r="B190" s="25"/>
    </row>
    <row r="191">
      <c r="A191" s="25"/>
      <c r="B191" s="25"/>
    </row>
    <row r="192">
      <c r="A192" s="25"/>
      <c r="B192" s="25"/>
    </row>
    <row r="193">
      <c r="A193" s="25"/>
      <c r="B193" s="25"/>
    </row>
    <row r="194">
      <c r="A194" s="25"/>
      <c r="B194" s="25"/>
    </row>
    <row r="195">
      <c r="A195" s="25"/>
      <c r="B195" s="25"/>
    </row>
    <row r="196">
      <c r="A196" s="25"/>
      <c r="B196" s="25"/>
    </row>
    <row r="197">
      <c r="A197" s="25"/>
      <c r="B197" s="25"/>
    </row>
    <row r="198">
      <c r="A198" s="25"/>
      <c r="B198" s="25"/>
    </row>
    <row r="199">
      <c r="A199" s="25"/>
      <c r="B199" s="25"/>
    </row>
    <row r="200">
      <c r="A200" s="25"/>
      <c r="B200" s="25"/>
    </row>
    <row r="201">
      <c r="A201" s="25"/>
      <c r="B201" s="25"/>
    </row>
    <row r="202">
      <c r="A202" s="25"/>
      <c r="B202" s="25"/>
    </row>
    <row r="203">
      <c r="A203" s="25"/>
      <c r="B203" s="25"/>
    </row>
    <row r="204">
      <c r="A204" s="25"/>
      <c r="B204" s="25"/>
    </row>
    <row r="205">
      <c r="A205" s="25"/>
      <c r="B205" s="25"/>
    </row>
    <row r="206">
      <c r="A206" s="25"/>
      <c r="B206" s="25"/>
    </row>
    <row r="207">
      <c r="A207" s="25"/>
      <c r="B207" s="25"/>
    </row>
    <row r="208">
      <c r="A208" s="25"/>
      <c r="B208" s="25"/>
    </row>
    <row r="209">
      <c r="A209" s="25"/>
      <c r="B209" s="25"/>
    </row>
    <row r="210">
      <c r="A210" s="25"/>
      <c r="B210" s="25"/>
    </row>
    <row r="211">
      <c r="A211" s="25"/>
      <c r="B211" s="25"/>
    </row>
    <row r="212">
      <c r="A212" s="25"/>
      <c r="B212" s="25"/>
    </row>
    <row r="213">
      <c r="A213" s="25"/>
      <c r="B213" s="25"/>
    </row>
    <row r="214">
      <c r="A214" s="25"/>
      <c r="B214" s="25"/>
    </row>
    <row r="215">
      <c r="A215" s="25"/>
      <c r="B215" s="25"/>
    </row>
    <row r="216">
      <c r="A216" s="25"/>
      <c r="B216" s="25"/>
    </row>
    <row r="217">
      <c r="A217" s="25"/>
      <c r="B217" s="25"/>
    </row>
    <row r="218">
      <c r="A218" s="25"/>
      <c r="B218" s="25"/>
    </row>
    <row r="219">
      <c r="A219" s="25"/>
      <c r="B219" s="25"/>
    </row>
    <row r="220">
      <c r="A220" s="25"/>
      <c r="B220" s="25"/>
    </row>
    <row r="221">
      <c r="A221" s="25"/>
      <c r="B221" s="25"/>
    </row>
    <row r="222">
      <c r="A222" s="25"/>
      <c r="B222" s="25"/>
    </row>
    <row r="223">
      <c r="A223" s="25"/>
      <c r="B223" s="25"/>
    </row>
    <row r="224">
      <c r="A224" s="25"/>
      <c r="B224" s="25"/>
    </row>
    <row r="225">
      <c r="A225" s="25"/>
      <c r="B225" s="25"/>
    </row>
    <row r="226">
      <c r="A226" s="25"/>
      <c r="B226" s="25"/>
    </row>
    <row r="227">
      <c r="A227" s="25"/>
      <c r="B227" s="25"/>
    </row>
    <row r="228">
      <c r="A228" s="25"/>
      <c r="B228" s="25"/>
    </row>
    <row r="229">
      <c r="A229" s="25"/>
      <c r="B229" s="25"/>
    </row>
    <row r="230">
      <c r="A230" s="25"/>
      <c r="B230" s="25"/>
    </row>
    <row r="231">
      <c r="A231" s="25"/>
      <c r="B231" s="25"/>
    </row>
    <row r="232">
      <c r="A232" s="25"/>
      <c r="B232" s="25"/>
    </row>
    <row r="233">
      <c r="A233" s="25"/>
      <c r="B233" s="25"/>
    </row>
    <row r="234">
      <c r="A234" s="25"/>
      <c r="B234" s="25"/>
    </row>
    <row r="235">
      <c r="A235" s="25"/>
      <c r="B235" s="25"/>
    </row>
    <row r="236">
      <c r="A236" s="25"/>
      <c r="B236" s="25"/>
    </row>
    <row r="237">
      <c r="A237" s="25"/>
      <c r="B237" s="25"/>
    </row>
    <row r="238">
      <c r="A238" s="25"/>
      <c r="B238" s="25"/>
    </row>
    <row r="239">
      <c r="A239" s="25"/>
      <c r="B239" s="25"/>
    </row>
    <row r="240">
      <c r="A240" s="25"/>
      <c r="B240" s="25"/>
    </row>
    <row r="241">
      <c r="A241" s="25"/>
      <c r="B241" s="25"/>
    </row>
    <row r="242">
      <c r="A242" s="25"/>
      <c r="B242" s="25"/>
    </row>
    <row r="243">
      <c r="A243" s="25"/>
      <c r="B243" s="25"/>
    </row>
    <row r="244">
      <c r="A244" s="25"/>
      <c r="B244" s="25"/>
    </row>
    <row r="245">
      <c r="A245" s="25"/>
      <c r="B245" s="25"/>
    </row>
    <row r="246">
      <c r="A246" s="25"/>
      <c r="B246" s="25"/>
    </row>
    <row r="247">
      <c r="A247" s="25"/>
      <c r="B247" s="25"/>
    </row>
    <row r="248">
      <c r="A248" s="25"/>
      <c r="B248" s="25"/>
    </row>
    <row r="249">
      <c r="A249" s="25"/>
      <c r="B249" s="25"/>
    </row>
    <row r="250">
      <c r="A250" s="25"/>
      <c r="B250" s="25"/>
    </row>
    <row r="251">
      <c r="A251" s="25"/>
      <c r="B251" s="25"/>
    </row>
    <row r="252">
      <c r="A252" s="25"/>
      <c r="B252" s="25"/>
    </row>
    <row r="253">
      <c r="A253" s="25"/>
      <c r="B253" s="25"/>
    </row>
    <row r="254">
      <c r="A254" s="25"/>
      <c r="B254" s="25"/>
    </row>
    <row r="255">
      <c r="A255" s="25"/>
      <c r="B255" s="25"/>
    </row>
    <row r="256">
      <c r="A256" s="25"/>
      <c r="B256" s="25"/>
    </row>
    <row r="257">
      <c r="A257" s="25"/>
      <c r="B257" s="25"/>
    </row>
    <row r="258">
      <c r="A258" s="25"/>
      <c r="B258" s="25"/>
    </row>
    <row r="259">
      <c r="A259" s="25"/>
      <c r="B259" s="25"/>
    </row>
    <row r="260">
      <c r="A260" s="25"/>
      <c r="B260" s="25"/>
    </row>
    <row r="261">
      <c r="A261" s="25"/>
      <c r="B261" s="25"/>
    </row>
    <row r="262">
      <c r="A262" s="25"/>
      <c r="B262" s="25"/>
    </row>
    <row r="263">
      <c r="A263" s="25"/>
      <c r="B263" s="25"/>
    </row>
    <row r="264">
      <c r="A264" s="25"/>
      <c r="B264" s="25"/>
    </row>
    <row r="265">
      <c r="A265" s="25"/>
      <c r="B265" s="25"/>
    </row>
    <row r="266">
      <c r="A266" s="25"/>
      <c r="B266" s="25"/>
    </row>
    <row r="267">
      <c r="A267" s="25"/>
      <c r="B267" s="25"/>
    </row>
    <row r="268">
      <c r="A268" s="25"/>
      <c r="B268" s="25"/>
    </row>
    <row r="269">
      <c r="A269" s="25"/>
      <c r="B269" s="25"/>
    </row>
    <row r="270">
      <c r="A270" s="25"/>
      <c r="B270" s="25"/>
    </row>
    <row r="271">
      <c r="A271" s="25"/>
      <c r="B271" s="25"/>
    </row>
    <row r="272">
      <c r="A272" s="25"/>
      <c r="B272" s="25"/>
    </row>
    <row r="273">
      <c r="A273" s="25"/>
      <c r="B273" s="25"/>
    </row>
    <row r="274">
      <c r="A274" s="25"/>
      <c r="B274" s="25"/>
    </row>
    <row r="275">
      <c r="A275" s="25"/>
      <c r="B275" s="25"/>
    </row>
    <row r="276">
      <c r="A276" s="25"/>
      <c r="B276" s="25"/>
    </row>
    <row r="277">
      <c r="A277" s="25"/>
      <c r="B277" s="25"/>
    </row>
    <row r="278">
      <c r="A278" s="25"/>
      <c r="B278" s="25"/>
    </row>
    <row r="279">
      <c r="A279" s="25"/>
      <c r="B279" s="25"/>
    </row>
    <row r="280">
      <c r="A280" s="25"/>
      <c r="B280" s="25"/>
    </row>
    <row r="281">
      <c r="A281" s="25"/>
      <c r="B281" s="25"/>
    </row>
    <row r="282">
      <c r="A282" s="25"/>
      <c r="B282" s="25"/>
    </row>
    <row r="283">
      <c r="A283" s="25"/>
      <c r="B283" s="25"/>
    </row>
    <row r="284">
      <c r="A284" s="25"/>
      <c r="B284" s="25"/>
    </row>
    <row r="285">
      <c r="A285" s="25"/>
      <c r="B285" s="25"/>
    </row>
    <row r="286">
      <c r="A286" s="25"/>
      <c r="B286" s="25"/>
    </row>
    <row r="287">
      <c r="A287" s="25"/>
      <c r="B287" s="25"/>
    </row>
    <row r="288">
      <c r="A288" s="25"/>
      <c r="B288" s="25"/>
    </row>
    <row r="289">
      <c r="A289" s="25"/>
      <c r="B289" s="25"/>
    </row>
    <row r="290">
      <c r="A290" s="25"/>
      <c r="B290" s="25"/>
    </row>
    <row r="291">
      <c r="A291" s="25"/>
      <c r="B291" s="25"/>
    </row>
    <row r="292">
      <c r="A292" s="25"/>
      <c r="B292" s="25"/>
    </row>
    <row r="293">
      <c r="A293" s="25"/>
      <c r="B293" s="25"/>
    </row>
    <row r="294">
      <c r="A294" s="25"/>
      <c r="B294" s="25"/>
    </row>
    <row r="295">
      <c r="A295" s="25"/>
      <c r="B295" s="25"/>
    </row>
    <row r="296">
      <c r="A296" s="25"/>
      <c r="B296" s="25"/>
    </row>
    <row r="297">
      <c r="A297" s="25"/>
      <c r="B297" s="25"/>
    </row>
    <row r="298">
      <c r="A298" s="25"/>
      <c r="B298" s="25"/>
    </row>
    <row r="299">
      <c r="A299" s="25"/>
      <c r="B299" s="25"/>
    </row>
    <row r="300">
      <c r="A300" s="25"/>
      <c r="B300" s="25"/>
    </row>
    <row r="301">
      <c r="A301" s="25"/>
      <c r="B301" s="25"/>
    </row>
    <row r="302">
      <c r="A302" s="25"/>
      <c r="B302" s="25"/>
    </row>
    <row r="303">
      <c r="A303" s="25"/>
      <c r="B303" s="25"/>
    </row>
    <row r="304">
      <c r="A304" s="25"/>
      <c r="B304" s="25"/>
    </row>
    <row r="305">
      <c r="A305" s="25"/>
      <c r="B305" s="25"/>
    </row>
    <row r="306">
      <c r="A306" s="25"/>
      <c r="B306" s="25"/>
    </row>
    <row r="307">
      <c r="A307" s="25"/>
      <c r="B307" s="25"/>
    </row>
    <row r="308">
      <c r="A308" s="25"/>
      <c r="B308" s="25"/>
    </row>
    <row r="309">
      <c r="A309" s="25"/>
      <c r="B309" s="25"/>
    </row>
    <row r="310">
      <c r="A310" s="25"/>
      <c r="B310" s="25"/>
    </row>
    <row r="311">
      <c r="A311" s="25"/>
      <c r="B311" s="25"/>
    </row>
    <row r="312">
      <c r="A312" s="25"/>
      <c r="B312" s="25"/>
    </row>
    <row r="313">
      <c r="A313" s="25"/>
      <c r="B313" s="25"/>
    </row>
    <row r="314">
      <c r="A314" s="25"/>
      <c r="B314" s="25"/>
    </row>
    <row r="315">
      <c r="A315" s="25"/>
      <c r="B315" s="25"/>
    </row>
    <row r="316">
      <c r="A316" s="25"/>
      <c r="B316" s="25"/>
    </row>
    <row r="317">
      <c r="A317" s="25"/>
      <c r="B317" s="25"/>
    </row>
    <row r="318">
      <c r="A318" s="25"/>
      <c r="B318" s="25"/>
    </row>
    <row r="319">
      <c r="A319" s="25"/>
      <c r="B319" s="25"/>
    </row>
    <row r="320">
      <c r="A320" s="25"/>
      <c r="B320" s="25"/>
    </row>
    <row r="321">
      <c r="A321" s="25"/>
      <c r="B321" s="25"/>
    </row>
    <row r="322">
      <c r="A322" s="25"/>
      <c r="B322" s="25"/>
    </row>
    <row r="323">
      <c r="A323" s="25"/>
      <c r="B323" s="25"/>
    </row>
    <row r="324">
      <c r="A324" s="25"/>
      <c r="B324" s="25"/>
    </row>
    <row r="325">
      <c r="A325" s="25"/>
      <c r="B325" s="25"/>
    </row>
    <row r="326">
      <c r="A326" s="25"/>
      <c r="B326" s="25"/>
    </row>
    <row r="327">
      <c r="A327" s="25"/>
      <c r="B327" s="25"/>
    </row>
    <row r="328">
      <c r="A328" s="25"/>
      <c r="B328" s="25"/>
    </row>
    <row r="329">
      <c r="A329" s="25"/>
      <c r="B329" s="25"/>
    </row>
    <row r="330">
      <c r="A330" s="25"/>
      <c r="B330" s="25"/>
    </row>
    <row r="331">
      <c r="A331" s="25"/>
      <c r="B331" s="25"/>
    </row>
    <row r="332">
      <c r="A332" s="25"/>
      <c r="B332" s="25"/>
    </row>
    <row r="333">
      <c r="A333" s="25"/>
      <c r="B333" s="25"/>
    </row>
    <row r="334">
      <c r="A334" s="25"/>
      <c r="B334" s="25"/>
    </row>
    <row r="335">
      <c r="A335" s="25"/>
      <c r="B335" s="25"/>
    </row>
    <row r="336">
      <c r="A336" s="25"/>
      <c r="B336" s="25"/>
    </row>
    <row r="337">
      <c r="A337" s="25"/>
      <c r="B337" s="25"/>
    </row>
    <row r="338">
      <c r="A338" s="25"/>
      <c r="B338" s="25"/>
    </row>
    <row r="339">
      <c r="A339" s="25"/>
      <c r="B339" s="25"/>
    </row>
    <row r="340">
      <c r="A340" s="25"/>
      <c r="B340" s="25"/>
    </row>
    <row r="341">
      <c r="A341" s="25"/>
      <c r="B341" s="25"/>
    </row>
    <row r="342">
      <c r="A342" s="25"/>
      <c r="B342" s="25"/>
    </row>
    <row r="343">
      <c r="A343" s="25"/>
      <c r="B343" s="25"/>
    </row>
    <row r="344">
      <c r="A344" s="25"/>
      <c r="B344" s="25"/>
    </row>
    <row r="345">
      <c r="A345" s="25"/>
      <c r="B345" s="25"/>
    </row>
    <row r="346">
      <c r="A346" s="25"/>
      <c r="B346" s="25"/>
    </row>
    <row r="347">
      <c r="A347" s="25"/>
      <c r="B347" s="25"/>
    </row>
    <row r="348">
      <c r="A348" s="25"/>
      <c r="B348" s="25"/>
    </row>
    <row r="349">
      <c r="A349" s="25"/>
      <c r="B349" s="25"/>
    </row>
    <row r="350">
      <c r="A350" s="25"/>
      <c r="B350" s="25"/>
    </row>
    <row r="351">
      <c r="A351" s="25"/>
      <c r="B351" s="25"/>
    </row>
    <row r="352">
      <c r="A352" s="25"/>
      <c r="B352" s="25"/>
    </row>
    <row r="353">
      <c r="A353" s="25"/>
      <c r="B353" s="25"/>
    </row>
    <row r="354">
      <c r="A354" s="25"/>
      <c r="B354" s="25"/>
    </row>
    <row r="355">
      <c r="A355" s="25"/>
      <c r="B355" s="25"/>
    </row>
    <row r="356">
      <c r="A356" s="25"/>
      <c r="B356" s="25"/>
    </row>
    <row r="357">
      <c r="A357" s="25"/>
      <c r="B357" s="25"/>
    </row>
    <row r="358">
      <c r="A358" s="25"/>
      <c r="B358" s="25"/>
    </row>
    <row r="359">
      <c r="A359" s="25"/>
      <c r="B359" s="25"/>
    </row>
    <row r="360">
      <c r="A360" s="25"/>
      <c r="B360" s="25"/>
    </row>
    <row r="361">
      <c r="A361" s="25"/>
      <c r="B361" s="25"/>
    </row>
    <row r="362">
      <c r="A362" s="25"/>
      <c r="B362" s="25"/>
    </row>
    <row r="363">
      <c r="A363" s="25"/>
      <c r="B363" s="25"/>
    </row>
    <row r="364">
      <c r="A364" s="25"/>
      <c r="B364" s="25"/>
    </row>
    <row r="365">
      <c r="A365" s="25"/>
      <c r="B365" s="25"/>
    </row>
    <row r="366">
      <c r="A366" s="25"/>
      <c r="B366" s="25"/>
    </row>
    <row r="367">
      <c r="A367" s="25"/>
      <c r="B367" s="25"/>
    </row>
    <row r="368">
      <c r="A368" s="25"/>
      <c r="B368" s="25"/>
    </row>
    <row r="369">
      <c r="A369" s="25"/>
      <c r="B369" s="25"/>
    </row>
    <row r="370">
      <c r="A370" s="25"/>
      <c r="B370" s="25"/>
    </row>
    <row r="371">
      <c r="A371" s="25"/>
      <c r="B371" s="25"/>
    </row>
    <row r="372">
      <c r="A372" s="25"/>
      <c r="B372" s="25"/>
    </row>
    <row r="373">
      <c r="A373" s="25"/>
      <c r="B373" s="25"/>
    </row>
    <row r="374">
      <c r="A374" s="25"/>
      <c r="B374" s="25"/>
    </row>
    <row r="375">
      <c r="A375" s="25"/>
      <c r="B375" s="25"/>
    </row>
    <row r="376">
      <c r="A376" s="25"/>
      <c r="B376" s="25"/>
    </row>
    <row r="377">
      <c r="A377" s="25"/>
      <c r="B377" s="25"/>
    </row>
    <row r="378">
      <c r="A378" s="25"/>
      <c r="B378" s="25"/>
    </row>
    <row r="379">
      <c r="A379" s="25"/>
      <c r="B379" s="25"/>
    </row>
    <row r="380">
      <c r="A380" s="25"/>
      <c r="B380" s="25"/>
    </row>
    <row r="381">
      <c r="A381" s="25"/>
      <c r="B381" s="25"/>
    </row>
    <row r="382">
      <c r="A382" s="25"/>
      <c r="B382" s="25"/>
    </row>
    <row r="383">
      <c r="A383" s="25"/>
      <c r="B383" s="25"/>
    </row>
    <row r="384">
      <c r="A384" s="25"/>
      <c r="B384" s="25"/>
    </row>
    <row r="385">
      <c r="A385" s="25"/>
      <c r="B385" s="25"/>
    </row>
    <row r="386">
      <c r="A386" s="25"/>
      <c r="B386" s="25"/>
    </row>
    <row r="387">
      <c r="A387" s="25"/>
      <c r="B387" s="25"/>
    </row>
    <row r="388">
      <c r="A388" s="25"/>
      <c r="B388" s="25"/>
    </row>
    <row r="389">
      <c r="A389" s="25"/>
      <c r="B389" s="25"/>
    </row>
    <row r="390">
      <c r="A390" s="25"/>
      <c r="B390" s="25"/>
    </row>
    <row r="391">
      <c r="A391" s="25"/>
      <c r="B391" s="25"/>
    </row>
    <row r="392">
      <c r="A392" s="25"/>
      <c r="B392" s="25"/>
    </row>
    <row r="393">
      <c r="A393" s="25"/>
      <c r="B393" s="25"/>
    </row>
    <row r="394">
      <c r="A394" s="25"/>
      <c r="B394" s="25"/>
    </row>
    <row r="395">
      <c r="A395" s="25"/>
      <c r="B395" s="25"/>
    </row>
    <row r="396">
      <c r="A396" s="25"/>
      <c r="B396" s="25"/>
    </row>
    <row r="397">
      <c r="A397" s="25"/>
      <c r="B397" s="25"/>
    </row>
    <row r="398">
      <c r="A398" s="25"/>
      <c r="B398" s="25"/>
    </row>
    <row r="399">
      <c r="A399" s="25"/>
      <c r="B399" s="25"/>
    </row>
    <row r="400">
      <c r="A400" s="25"/>
      <c r="B400" s="25"/>
    </row>
    <row r="401">
      <c r="A401" s="25"/>
      <c r="B401" s="25"/>
    </row>
    <row r="402">
      <c r="A402" s="25"/>
      <c r="B402" s="25"/>
    </row>
    <row r="403">
      <c r="A403" s="25"/>
      <c r="B403" s="25"/>
    </row>
    <row r="404">
      <c r="A404" s="25"/>
      <c r="B404" s="25"/>
    </row>
    <row r="405">
      <c r="A405" s="25"/>
      <c r="B405" s="25"/>
    </row>
    <row r="406">
      <c r="A406" s="25"/>
      <c r="B406" s="25"/>
    </row>
    <row r="407">
      <c r="A407" s="25"/>
      <c r="B407" s="25"/>
    </row>
    <row r="408">
      <c r="A408" s="25"/>
      <c r="B408" s="25"/>
    </row>
    <row r="409">
      <c r="A409" s="25"/>
      <c r="B409" s="25"/>
    </row>
    <row r="410">
      <c r="A410" s="25"/>
      <c r="B410" s="25"/>
    </row>
    <row r="411">
      <c r="A411" s="25"/>
      <c r="B411" s="25"/>
    </row>
    <row r="412">
      <c r="A412" s="25"/>
      <c r="B412" s="25"/>
    </row>
    <row r="413">
      <c r="A413" s="25"/>
      <c r="B413" s="25"/>
    </row>
    <row r="414">
      <c r="A414" s="25"/>
      <c r="B414" s="25"/>
    </row>
    <row r="415">
      <c r="A415" s="25"/>
      <c r="B415" s="25"/>
    </row>
    <row r="416">
      <c r="A416" s="25"/>
      <c r="B416" s="25"/>
    </row>
    <row r="417">
      <c r="A417" s="25"/>
      <c r="B417" s="25"/>
    </row>
    <row r="418">
      <c r="A418" s="25"/>
      <c r="B418" s="25"/>
    </row>
    <row r="419">
      <c r="A419" s="25"/>
      <c r="B419" s="25"/>
    </row>
    <row r="420">
      <c r="A420" s="25"/>
      <c r="B420" s="25"/>
    </row>
    <row r="421">
      <c r="A421" s="25"/>
      <c r="B421" s="25"/>
    </row>
    <row r="422">
      <c r="A422" s="25"/>
      <c r="B422" s="25"/>
    </row>
    <row r="423">
      <c r="A423" s="25"/>
      <c r="B423" s="25"/>
    </row>
    <row r="424">
      <c r="A424" s="25"/>
      <c r="B424" s="25"/>
    </row>
    <row r="425">
      <c r="A425" s="25"/>
      <c r="B425" s="25"/>
    </row>
    <row r="426">
      <c r="A426" s="25"/>
      <c r="B426" s="25"/>
    </row>
    <row r="427">
      <c r="A427" s="25"/>
      <c r="B427" s="25"/>
    </row>
    <row r="428">
      <c r="A428" s="25"/>
      <c r="B428" s="25"/>
    </row>
    <row r="429">
      <c r="A429" s="25"/>
      <c r="B429" s="25"/>
    </row>
    <row r="430">
      <c r="A430" s="25"/>
      <c r="B430" s="25"/>
    </row>
    <row r="431">
      <c r="A431" s="25"/>
      <c r="B431" s="25"/>
    </row>
    <row r="432">
      <c r="A432" s="25"/>
      <c r="B432" s="25"/>
    </row>
    <row r="433">
      <c r="A433" s="25"/>
      <c r="B433" s="25"/>
    </row>
    <row r="434">
      <c r="A434" s="25"/>
      <c r="B434" s="25"/>
    </row>
    <row r="435">
      <c r="A435" s="25"/>
      <c r="B435" s="25"/>
    </row>
    <row r="436">
      <c r="A436" s="25"/>
      <c r="B436" s="25"/>
    </row>
    <row r="437">
      <c r="A437" s="25"/>
      <c r="B437" s="25"/>
    </row>
    <row r="438">
      <c r="A438" s="25"/>
      <c r="B438" s="25"/>
    </row>
    <row r="439">
      <c r="A439" s="25"/>
      <c r="B439" s="25"/>
    </row>
    <row r="440">
      <c r="A440" s="25"/>
      <c r="B440" s="25"/>
    </row>
    <row r="441">
      <c r="A441" s="25"/>
      <c r="B441" s="25"/>
    </row>
    <row r="442">
      <c r="A442" s="25"/>
      <c r="B442" s="25"/>
    </row>
    <row r="443">
      <c r="A443" s="25"/>
      <c r="B443" s="25"/>
    </row>
    <row r="444">
      <c r="A444" s="25"/>
      <c r="B444" s="25"/>
    </row>
    <row r="445">
      <c r="A445" s="25"/>
      <c r="B445" s="25"/>
    </row>
    <row r="446">
      <c r="A446" s="25"/>
      <c r="B446" s="25"/>
    </row>
    <row r="447">
      <c r="A447" s="25"/>
      <c r="B447" s="25"/>
    </row>
    <row r="448">
      <c r="A448" s="25"/>
      <c r="B448" s="25"/>
    </row>
    <row r="449">
      <c r="A449" s="25"/>
      <c r="B449" s="25"/>
    </row>
    <row r="450">
      <c r="A450" s="25"/>
      <c r="B450" s="25"/>
    </row>
    <row r="451">
      <c r="A451" s="25"/>
      <c r="B451" s="25"/>
    </row>
    <row r="452">
      <c r="A452" s="25"/>
      <c r="B452" s="25"/>
    </row>
    <row r="453">
      <c r="A453" s="25"/>
      <c r="B453" s="25"/>
    </row>
    <row r="454">
      <c r="A454" s="25"/>
      <c r="B454" s="25"/>
    </row>
    <row r="455">
      <c r="A455" s="25"/>
      <c r="B455" s="25"/>
    </row>
    <row r="456">
      <c r="A456" s="25"/>
      <c r="B456" s="25"/>
    </row>
    <row r="457">
      <c r="A457" s="25"/>
      <c r="B457" s="25"/>
    </row>
    <row r="458">
      <c r="A458" s="25"/>
      <c r="B458" s="25"/>
    </row>
    <row r="459">
      <c r="A459" s="25"/>
      <c r="B459" s="25"/>
    </row>
    <row r="460">
      <c r="A460" s="25"/>
      <c r="B460" s="25"/>
    </row>
    <row r="461">
      <c r="A461" s="25"/>
      <c r="B461" s="25"/>
    </row>
    <row r="462">
      <c r="A462" s="25"/>
      <c r="B462" s="25"/>
    </row>
    <row r="463">
      <c r="A463" s="25"/>
      <c r="B463" s="25"/>
    </row>
    <row r="464">
      <c r="A464" s="25"/>
      <c r="B464" s="25"/>
    </row>
    <row r="465">
      <c r="A465" s="25"/>
      <c r="B465" s="25"/>
    </row>
    <row r="466">
      <c r="A466" s="25"/>
      <c r="B466" s="25"/>
    </row>
    <row r="467">
      <c r="A467" s="25"/>
      <c r="B467" s="25"/>
    </row>
    <row r="468">
      <c r="A468" s="25"/>
      <c r="B468" s="25"/>
    </row>
    <row r="469">
      <c r="A469" s="25"/>
      <c r="B469" s="25"/>
    </row>
    <row r="470">
      <c r="A470" s="25"/>
      <c r="B470" s="25"/>
    </row>
    <row r="471">
      <c r="A471" s="25"/>
      <c r="B471" s="25"/>
    </row>
    <row r="472">
      <c r="A472" s="25"/>
      <c r="B472" s="25"/>
    </row>
    <row r="473">
      <c r="A473" s="25"/>
      <c r="B473" s="25"/>
    </row>
    <row r="474">
      <c r="A474" s="25"/>
      <c r="B474" s="25"/>
    </row>
    <row r="475">
      <c r="A475" s="25"/>
      <c r="B475" s="25"/>
    </row>
    <row r="476">
      <c r="A476" s="25"/>
      <c r="B476" s="25"/>
    </row>
    <row r="477">
      <c r="A477" s="25"/>
      <c r="B477" s="25"/>
    </row>
    <row r="478">
      <c r="A478" s="25"/>
      <c r="B478" s="25"/>
    </row>
    <row r="479">
      <c r="A479" s="25"/>
      <c r="B479" s="25"/>
    </row>
    <row r="480">
      <c r="A480" s="25"/>
      <c r="B480" s="25"/>
    </row>
    <row r="481">
      <c r="A481" s="25"/>
      <c r="B481" s="25"/>
    </row>
    <row r="482">
      <c r="A482" s="25"/>
      <c r="B482" s="25"/>
    </row>
    <row r="483">
      <c r="A483" s="25"/>
      <c r="B483" s="25"/>
    </row>
    <row r="484">
      <c r="A484" s="25"/>
      <c r="B484" s="25"/>
    </row>
    <row r="485">
      <c r="A485" s="25"/>
      <c r="B485" s="25"/>
    </row>
    <row r="486">
      <c r="A486" s="25"/>
      <c r="B486" s="25"/>
    </row>
    <row r="487">
      <c r="A487" s="25"/>
      <c r="B487" s="25"/>
    </row>
    <row r="488">
      <c r="A488" s="25"/>
      <c r="B488" s="25"/>
    </row>
    <row r="489">
      <c r="A489" s="25"/>
      <c r="B489" s="25"/>
    </row>
    <row r="490">
      <c r="A490" s="25"/>
      <c r="B490" s="25"/>
    </row>
    <row r="491">
      <c r="A491" s="25"/>
      <c r="B491" s="25"/>
    </row>
    <row r="492">
      <c r="A492" s="25"/>
      <c r="B492" s="25"/>
    </row>
    <row r="493">
      <c r="A493" s="25"/>
      <c r="B493" s="25"/>
    </row>
    <row r="494">
      <c r="A494" s="25"/>
      <c r="B494" s="25"/>
    </row>
    <row r="495">
      <c r="A495" s="25"/>
      <c r="B495" s="25"/>
    </row>
    <row r="496">
      <c r="A496" s="25"/>
      <c r="B496" s="25"/>
    </row>
    <row r="497">
      <c r="A497" s="25"/>
      <c r="B497" s="25"/>
    </row>
    <row r="498">
      <c r="A498" s="25"/>
      <c r="B498" s="25"/>
    </row>
    <row r="499">
      <c r="A499" s="25"/>
      <c r="B499" s="25"/>
    </row>
    <row r="500">
      <c r="A500" s="25"/>
      <c r="B500" s="25"/>
    </row>
    <row r="501">
      <c r="A501" s="25"/>
      <c r="B501" s="25"/>
    </row>
    <row r="502">
      <c r="A502" s="25"/>
      <c r="B502" s="25"/>
    </row>
    <row r="503">
      <c r="A503" s="25"/>
      <c r="B503" s="25"/>
    </row>
    <row r="504">
      <c r="A504" s="25"/>
      <c r="B504" s="25"/>
    </row>
    <row r="505">
      <c r="A505" s="25"/>
      <c r="B505" s="25"/>
    </row>
    <row r="506">
      <c r="A506" s="25"/>
      <c r="B506" s="25"/>
    </row>
    <row r="507">
      <c r="A507" s="25"/>
      <c r="B507" s="25"/>
    </row>
    <row r="508">
      <c r="A508" s="25"/>
      <c r="B508" s="25"/>
    </row>
    <row r="509">
      <c r="A509" s="25"/>
      <c r="B509" s="25"/>
    </row>
    <row r="510">
      <c r="A510" s="25"/>
      <c r="B510" s="25"/>
    </row>
    <row r="511">
      <c r="A511" s="25"/>
      <c r="B511" s="25"/>
    </row>
    <row r="512">
      <c r="A512" s="25"/>
      <c r="B512" s="25"/>
    </row>
    <row r="513">
      <c r="A513" s="25"/>
      <c r="B513" s="25"/>
    </row>
    <row r="514">
      <c r="A514" s="25"/>
      <c r="B514" s="25"/>
    </row>
    <row r="515">
      <c r="A515" s="25"/>
      <c r="B515" s="25"/>
    </row>
    <row r="516">
      <c r="A516" s="25"/>
      <c r="B516" s="25"/>
    </row>
    <row r="517">
      <c r="A517" s="25"/>
      <c r="B517" s="25"/>
    </row>
    <row r="518">
      <c r="A518" s="25"/>
      <c r="B518" s="25"/>
    </row>
    <row r="519">
      <c r="A519" s="25"/>
      <c r="B519" s="25"/>
    </row>
    <row r="520">
      <c r="A520" s="25"/>
      <c r="B520" s="25"/>
    </row>
    <row r="521">
      <c r="A521" s="25"/>
      <c r="B521" s="25"/>
    </row>
    <row r="522">
      <c r="A522" s="25"/>
      <c r="B522" s="25"/>
    </row>
    <row r="523">
      <c r="A523" s="25"/>
      <c r="B523" s="25"/>
    </row>
    <row r="524">
      <c r="A524" s="25"/>
      <c r="B524" s="25"/>
    </row>
    <row r="525">
      <c r="A525" s="25"/>
      <c r="B525" s="25"/>
    </row>
    <row r="526">
      <c r="A526" s="25"/>
      <c r="B526" s="25"/>
    </row>
    <row r="527">
      <c r="A527" s="25"/>
      <c r="B527" s="25"/>
    </row>
    <row r="528">
      <c r="A528" s="25"/>
      <c r="B528" s="25"/>
    </row>
    <row r="529">
      <c r="A529" s="25"/>
      <c r="B529" s="25"/>
    </row>
    <row r="530">
      <c r="A530" s="25"/>
      <c r="B530" s="25"/>
    </row>
    <row r="531">
      <c r="A531" s="25"/>
      <c r="B531" s="25"/>
    </row>
    <row r="532">
      <c r="A532" s="25"/>
      <c r="B532" s="25"/>
    </row>
    <row r="533">
      <c r="A533" s="25"/>
      <c r="B533" s="25"/>
    </row>
    <row r="534">
      <c r="A534" s="25"/>
      <c r="B534" s="25"/>
    </row>
    <row r="535">
      <c r="A535" s="25"/>
      <c r="B535" s="25"/>
    </row>
    <row r="536">
      <c r="A536" s="25"/>
      <c r="B536" s="25"/>
    </row>
    <row r="537">
      <c r="A537" s="25"/>
      <c r="B537" s="25"/>
    </row>
    <row r="538">
      <c r="A538" s="25"/>
      <c r="B538" s="25"/>
    </row>
    <row r="539">
      <c r="A539" s="25"/>
      <c r="B539" s="25"/>
    </row>
    <row r="540">
      <c r="A540" s="25"/>
      <c r="B540" s="25"/>
    </row>
    <row r="541">
      <c r="A541" s="25"/>
      <c r="B541" s="25"/>
    </row>
    <row r="542">
      <c r="A542" s="25"/>
      <c r="B542" s="25"/>
    </row>
    <row r="543">
      <c r="A543" s="25"/>
      <c r="B543" s="25"/>
    </row>
    <row r="544">
      <c r="A544" s="25"/>
      <c r="B544" s="25"/>
    </row>
    <row r="545">
      <c r="A545" s="25"/>
      <c r="B545" s="25"/>
    </row>
    <row r="546">
      <c r="A546" s="25"/>
      <c r="B546" s="25"/>
    </row>
    <row r="547">
      <c r="A547" s="25"/>
      <c r="B547" s="25"/>
    </row>
    <row r="548">
      <c r="A548" s="25"/>
      <c r="B548" s="25"/>
    </row>
    <row r="549">
      <c r="A549" s="25"/>
      <c r="B549" s="25"/>
    </row>
    <row r="550">
      <c r="A550" s="25"/>
      <c r="B550" s="25"/>
    </row>
    <row r="551">
      <c r="A551" s="25"/>
      <c r="B551" s="25"/>
    </row>
    <row r="552">
      <c r="A552" s="25"/>
      <c r="B552" s="25"/>
    </row>
    <row r="553">
      <c r="A553" s="25"/>
      <c r="B553" s="25"/>
    </row>
    <row r="554">
      <c r="A554" s="25"/>
      <c r="B554" s="25"/>
    </row>
    <row r="555">
      <c r="A555" s="25"/>
      <c r="B555" s="25"/>
    </row>
    <row r="556">
      <c r="A556" s="25"/>
      <c r="B556" s="25"/>
    </row>
    <row r="557">
      <c r="A557" s="25"/>
      <c r="B557" s="25"/>
    </row>
    <row r="558">
      <c r="A558" s="25"/>
      <c r="B558" s="25"/>
    </row>
    <row r="559">
      <c r="A559" s="25"/>
      <c r="B559" s="25"/>
    </row>
    <row r="560">
      <c r="A560" s="25"/>
      <c r="B560" s="25"/>
    </row>
    <row r="561">
      <c r="A561" s="25"/>
      <c r="B561" s="25"/>
    </row>
    <row r="562">
      <c r="A562" s="25"/>
      <c r="B562" s="25"/>
    </row>
    <row r="563">
      <c r="A563" s="25"/>
      <c r="B563" s="25"/>
    </row>
    <row r="564">
      <c r="A564" s="25"/>
      <c r="B564" s="25"/>
    </row>
    <row r="565">
      <c r="A565" s="25"/>
      <c r="B565" s="25"/>
    </row>
    <row r="566">
      <c r="A566" s="25"/>
      <c r="B566" s="25"/>
    </row>
    <row r="567">
      <c r="A567" s="25"/>
      <c r="B567" s="25"/>
    </row>
    <row r="568">
      <c r="A568" s="25"/>
      <c r="B568" s="25"/>
    </row>
    <row r="569">
      <c r="A569" s="25"/>
      <c r="B569" s="25"/>
    </row>
    <row r="570">
      <c r="A570" s="25"/>
      <c r="B570" s="25"/>
    </row>
    <row r="571">
      <c r="A571" s="25"/>
      <c r="B571" s="25"/>
    </row>
    <row r="572">
      <c r="A572" s="25"/>
      <c r="B572" s="25"/>
    </row>
    <row r="573">
      <c r="A573" s="25"/>
      <c r="B573" s="25"/>
    </row>
    <row r="574">
      <c r="A574" s="25"/>
      <c r="B574" s="25"/>
    </row>
    <row r="575">
      <c r="A575" s="25"/>
      <c r="B575" s="25"/>
    </row>
    <row r="576">
      <c r="A576" s="25"/>
      <c r="B576" s="25"/>
    </row>
    <row r="577">
      <c r="A577" s="25"/>
      <c r="B577" s="25"/>
    </row>
    <row r="578">
      <c r="A578" s="25"/>
      <c r="B578" s="25"/>
    </row>
    <row r="579">
      <c r="A579" s="25"/>
      <c r="B579" s="25"/>
    </row>
    <row r="580">
      <c r="A580" s="25"/>
      <c r="B580" s="25"/>
    </row>
    <row r="581">
      <c r="A581" s="25"/>
      <c r="B581" s="25"/>
    </row>
    <row r="582">
      <c r="A582" s="25"/>
      <c r="B582" s="25"/>
    </row>
    <row r="583">
      <c r="A583" s="25"/>
      <c r="B583" s="25"/>
    </row>
    <row r="584">
      <c r="A584" s="25"/>
      <c r="B584" s="25"/>
    </row>
    <row r="585">
      <c r="A585" s="25"/>
      <c r="B585" s="25"/>
    </row>
    <row r="586">
      <c r="A586" s="25"/>
      <c r="B586" s="25"/>
    </row>
    <row r="587">
      <c r="A587" s="25"/>
      <c r="B587" s="25"/>
    </row>
    <row r="588">
      <c r="A588" s="25"/>
      <c r="B588" s="25"/>
    </row>
    <row r="589">
      <c r="A589" s="25"/>
      <c r="B589" s="25"/>
    </row>
    <row r="590">
      <c r="A590" s="25"/>
      <c r="B590" s="25"/>
    </row>
    <row r="591">
      <c r="A591" s="25"/>
      <c r="B591" s="25"/>
    </row>
    <row r="592">
      <c r="A592" s="25"/>
      <c r="B592" s="25"/>
    </row>
    <row r="593">
      <c r="A593" s="25"/>
      <c r="B593" s="25"/>
    </row>
    <row r="594">
      <c r="A594" s="25"/>
      <c r="B594" s="25"/>
    </row>
    <row r="595">
      <c r="A595" s="25"/>
      <c r="B595" s="25"/>
    </row>
    <row r="596">
      <c r="A596" s="25"/>
      <c r="B596" s="25"/>
    </row>
    <row r="597">
      <c r="A597" s="25"/>
      <c r="B597" s="25"/>
    </row>
    <row r="598">
      <c r="A598" s="25"/>
      <c r="B598" s="25"/>
    </row>
    <row r="599">
      <c r="A599" s="25"/>
      <c r="B599" s="25"/>
    </row>
    <row r="600">
      <c r="A600" s="25"/>
      <c r="B600" s="25"/>
    </row>
    <row r="601">
      <c r="A601" s="25"/>
      <c r="B601" s="25"/>
    </row>
    <row r="602">
      <c r="A602" s="25"/>
      <c r="B602" s="25"/>
    </row>
    <row r="603">
      <c r="A603" s="25"/>
      <c r="B603" s="25"/>
    </row>
    <row r="604">
      <c r="A604" s="25"/>
      <c r="B604" s="25"/>
    </row>
    <row r="605">
      <c r="A605" s="25"/>
      <c r="B605" s="25"/>
    </row>
    <row r="606">
      <c r="A606" s="25"/>
      <c r="B606" s="25"/>
    </row>
    <row r="607">
      <c r="A607" s="25"/>
      <c r="B607" s="25"/>
    </row>
    <row r="608">
      <c r="A608" s="25"/>
      <c r="B608" s="25"/>
    </row>
    <row r="609">
      <c r="A609" s="25"/>
      <c r="B609" s="25"/>
    </row>
    <row r="610">
      <c r="A610" s="25"/>
      <c r="B610" s="25"/>
    </row>
    <row r="611">
      <c r="A611" s="25"/>
      <c r="B611" s="25"/>
    </row>
    <row r="612">
      <c r="A612" s="25"/>
      <c r="B612" s="25"/>
    </row>
    <row r="613">
      <c r="A613" s="25"/>
      <c r="B613" s="25"/>
    </row>
    <row r="614">
      <c r="A614" s="25"/>
      <c r="B614" s="25"/>
    </row>
    <row r="615">
      <c r="A615" s="25"/>
      <c r="B615" s="25"/>
    </row>
    <row r="616">
      <c r="A616" s="25"/>
      <c r="B616" s="25"/>
    </row>
    <row r="617">
      <c r="A617" s="25"/>
      <c r="B617" s="25"/>
    </row>
    <row r="618">
      <c r="A618" s="25"/>
      <c r="B618" s="25"/>
    </row>
    <row r="619">
      <c r="A619" s="25"/>
      <c r="B619" s="25"/>
    </row>
    <row r="620">
      <c r="A620" s="25"/>
      <c r="B620" s="25"/>
    </row>
    <row r="621">
      <c r="A621" s="25"/>
      <c r="B621" s="25"/>
    </row>
    <row r="622">
      <c r="A622" s="25"/>
      <c r="B622" s="25"/>
    </row>
    <row r="623">
      <c r="A623" s="25"/>
      <c r="B623" s="25"/>
    </row>
    <row r="624">
      <c r="A624" s="25"/>
      <c r="B624" s="25"/>
    </row>
    <row r="625">
      <c r="A625" s="25"/>
      <c r="B625" s="25"/>
    </row>
    <row r="626">
      <c r="A626" s="25"/>
      <c r="B626" s="25"/>
    </row>
    <row r="627">
      <c r="A627" s="25"/>
      <c r="B627" s="25"/>
    </row>
    <row r="628">
      <c r="A628" s="25"/>
      <c r="B628" s="25"/>
    </row>
    <row r="629">
      <c r="A629" s="25"/>
      <c r="B629" s="25"/>
    </row>
    <row r="630">
      <c r="A630" s="25"/>
      <c r="B630" s="25"/>
    </row>
    <row r="631">
      <c r="A631" s="25"/>
      <c r="B631" s="25"/>
    </row>
    <row r="632">
      <c r="A632" s="25"/>
      <c r="B632" s="25"/>
    </row>
    <row r="633">
      <c r="A633" s="25"/>
      <c r="B633" s="25"/>
    </row>
    <row r="634">
      <c r="A634" s="25"/>
      <c r="B634" s="25"/>
    </row>
    <row r="635">
      <c r="A635" s="25"/>
      <c r="B635" s="25"/>
    </row>
    <row r="636">
      <c r="A636" s="25"/>
      <c r="B636" s="25"/>
    </row>
    <row r="637">
      <c r="A637" s="25"/>
      <c r="B637" s="25"/>
    </row>
    <row r="638">
      <c r="A638" s="25"/>
      <c r="B638" s="25"/>
    </row>
    <row r="639">
      <c r="A639" s="25"/>
      <c r="B639" s="25"/>
    </row>
    <row r="640">
      <c r="A640" s="25"/>
      <c r="B640" s="25"/>
    </row>
    <row r="641">
      <c r="A641" s="25"/>
      <c r="B641" s="25"/>
    </row>
    <row r="642">
      <c r="A642" s="25"/>
      <c r="B642" s="25"/>
    </row>
    <row r="643">
      <c r="A643" s="25"/>
      <c r="B643" s="25"/>
    </row>
    <row r="644">
      <c r="A644" s="25"/>
      <c r="B644" s="25"/>
    </row>
    <row r="645">
      <c r="A645" s="25"/>
      <c r="B645" s="25"/>
    </row>
    <row r="646">
      <c r="A646" s="25"/>
      <c r="B646" s="25"/>
    </row>
    <row r="647">
      <c r="A647" s="25"/>
      <c r="B647" s="25"/>
    </row>
    <row r="648">
      <c r="A648" s="25"/>
      <c r="B648" s="25"/>
    </row>
    <row r="649">
      <c r="A649" s="25"/>
      <c r="B649" s="25"/>
    </row>
    <row r="650">
      <c r="A650" s="25"/>
      <c r="B650" s="25"/>
    </row>
    <row r="651">
      <c r="A651" s="25"/>
      <c r="B651" s="25"/>
    </row>
    <row r="652">
      <c r="A652" s="25"/>
      <c r="B652" s="25"/>
    </row>
    <row r="653">
      <c r="A653" s="25"/>
      <c r="B653" s="25"/>
    </row>
    <row r="654">
      <c r="A654" s="25"/>
      <c r="B654" s="25"/>
    </row>
    <row r="655">
      <c r="A655" s="25"/>
      <c r="B655" s="25"/>
    </row>
    <row r="656">
      <c r="A656" s="25"/>
      <c r="B656" s="25"/>
    </row>
    <row r="657">
      <c r="A657" s="25"/>
      <c r="B657" s="25"/>
    </row>
    <row r="658">
      <c r="A658" s="25"/>
      <c r="B658" s="25"/>
    </row>
    <row r="659">
      <c r="A659" s="25"/>
      <c r="B659" s="25"/>
    </row>
    <row r="660">
      <c r="A660" s="25"/>
      <c r="B660" s="25"/>
    </row>
    <row r="661">
      <c r="A661" s="25"/>
      <c r="B661" s="25"/>
    </row>
    <row r="662">
      <c r="A662" s="25"/>
      <c r="B662" s="25"/>
    </row>
    <row r="663">
      <c r="A663" s="25"/>
      <c r="B663" s="25"/>
    </row>
    <row r="664">
      <c r="A664" s="25"/>
      <c r="B664" s="25"/>
    </row>
    <row r="665">
      <c r="A665" s="25"/>
      <c r="B665" s="25"/>
    </row>
    <row r="666">
      <c r="A666" s="25"/>
      <c r="B666" s="25"/>
    </row>
    <row r="667">
      <c r="A667" s="25"/>
      <c r="B667" s="25"/>
    </row>
    <row r="668">
      <c r="A668" s="25"/>
      <c r="B668" s="25"/>
    </row>
    <row r="669">
      <c r="A669" s="25"/>
      <c r="B669" s="25"/>
    </row>
    <row r="670">
      <c r="A670" s="25"/>
      <c r="B670" s="25"/>
    </row>
    <row r="671">
      <c r="A671" s="25"/>
      <c r="B671" s="25"/>
    </row>
    <row r="672">
      <c r="A672" s="25"/>
      <c r="B672" s="25"/>
    </row>
    <row r="673">
      <c r="A673" s="25"/>
      <c r="B673" s="25"/>
    </row>
    <row r="674">
      <c r="A674" s="25"/>
      <c r="B674" s="25"/>
    </row>
    <row r="675">
      <c r="A675" s="25"/>
      <c r="B675" s="25"/>
    </row>
    <row r="676">
      <c r="A676" s="25"/>
      <c r="B676" s="25"/>
    </row>
    <row r="677">
      <c r="A677" s="25"/>
      <c r="B677" s="25"/>
    </row>
    <row r="678">
      <c r="A678" s="25"/>
      <c r="B678" s="25"/>
    </row>
    <row r="679">
      <c r="A679" s="25"/>
      <c r="B679" s="25"/>
    </row>
    <row r="680">
      <c r="A680" s="25"/>
      <c r="B680" s="25"/>
    </row>
    <row r="681">
      <c r="A681" s="25"/>
      <c r="B681" s="25"/>
    </row>
    <row r="682">
      <c r="A682" s="25"/>
      <c r="B682" s="25"/>
    </row>
    <row r="683">
      <c r="A683" s="25"/>
      <c r="B683" s="25"/>
    </row>
    <row r="684">
      <c r="A684" s="25"/>
      <c r="B684" s="25"/>
    </row>
    <row r="685">
      <c r="A685" s="25"/>
      <c r="B685" s="25"/>
    </row>
    <row r="686">
      <c r="A686" s="25"/>
      <c r="B686" s="25"/>
    </row>
    <row r="687">
      <c r="A687" s="25"/>
      <c r="B687" s="25"/>
    </row>
    <row r="688">
      <c r="A688" s="25"/>
      <c r="B688" s="25"/>
    </row>
    <row r="689">
      <c r="A689" s="25"/>
      <c r="B689" s="25"/>
    </row>
    <row r="690">
      <c r="A690" s="25"/>
      <c r="B690" s="25"/>
    </row>
    <row r="691">
      <c r="A691" s="25"/>
      <c r="B691" s="25"/>
    </row>
    <row r="692">
      <c r="A692" s="25"/>
      <c r="B692" s="25"/>
    </row>
    <row r="693">
      <c r="A693" s="25"/>
      <c r="B693" s="25"/>
    </row>
    <row r="694">
      <c r="A694" s="25"/>
      <c r="B694" s="25"/>
    </row>
    <row r="695">
      <c r="A695" s="25"/>
      <c r="B695" s="25"/>
    </row>
    <row r="696">
      <c r="A696" s="25"/>
      <c r="B696" s="25"/>
    </row>
    <row r="697">
      <c r="A697" s="25"/>
      <c r="B697" s="25"/>
    </row>
    <row r="698">
      <c r="A698" s="25"/>
      <c r="B698" s="25"/>
    </row>
    <row r="699">
      <c r="A699" s="25"/>
      <c r="B699" s="25"/>
    </row>
    <row r="700">
      <c r="A700" s="25"/>
      <c r="B700" s="25"/>
    </row>
    <row r="701">
      <c r="A701" s="25"/>
      <c r="B701" s="25"/>
    </row>
    <row r="702">
      <c r="A702" s="25"/>
      <c r="B702" s="25"/>
    </row>
    <row r="703">
      <c r="A703" s="25"/>
      <c r="B703" s="25"/>
    </row>
    <row r="704">
      <c r="A704" s="25"/>
      <c r="B704" s="25"/>
    </row>
    <row r="705">
      <c r="A705" s="25"/>
      <c r="B705" s="25"/>
    </row>
    <row r="706">
      <c r="A706" s="25"/>
      <c r="B706" s="25"/>
    </row>
    <row r="707">
      <c r="A707" s="25"/>
      <c r="B707" s="25"/>
    </row>
    <row r="708">
      <c r="A708" s="25"/>
      <c r="B708" s="25"/>
    </row>
    <row r="709">
      <c r="A709" s="25"/>
      <c r="B709" s="25"/>
    </row>
    <row r="710">
      <c r="A710" s="25"/>
      <c r="B710" s="25"/>
    </row>
    <row r="711">
      <c r="A711" s="25"/>
      <c r="B711" s="25"/>
    </row>
    <row r="712">
      <c r="A712" s="25"/>
      <c r="B712" s="25"/>
    </row>
    <row r="713">
      <c r="A713" s="25"/>
      <c r="B713" s="25"/>
    </row>
    <row r="714">
      <c r="A714" s="25"/>
      <c r="B714" s="25"/>
    </row>
    <row r="715">
      <c r="A715" s="25"/>
      <c r="B715" s="25"/>
    </row>
    <row r="716">
      <c r="A716" s="25"/>
      <c r="B716" s="25"/>
    </row>
    <row r="717">
      <c r="A717" s="25"/>
      <c r="B717" s="25"/>
    </row>
    <row r="718">
      <c r="A718" s="25"/>
      <c r="B718" s="25"/>
    </row>
    <row r="719">
      <c r="A719" s="25"/>
      <c r="B719" s="25"/>
    </row>
    <row r="720">
      <c r="A720" s="25"/>
      <c r="B720" s="25"/>
    </row>
    <row r="721">
      <c r="A721" s="25"/>
      <c r="B721" s="25"/>
    </row>
    <row r="722">
      <c r="A722" s="25"/>
      <c r="B722" s="25"/>
    </row>
    <row r="723">
      <c r="A723" s="25"/>
      <c r="B723" s="25"/>
    </row>
    <row r="724">
      <c r="A724" s="25"/>
      <c r="B724" s="25"/>
    </row>
    <row r="725">
      <c r="A725" s="25"/>
      <c r="B725" s="25"/>
    </row>
    <row r="726">
      <c r="A726" s="25"/>
      <c r="B726" s="25"/>
    </row>
    <row r="727">
      <c r="A727" s="25"/>
      <c r="B727" s="25"/>
    </row>
    <row r="728">
      <c r="A728" s="25"/>
      <c r="B728" s="25"/>
    </row>
    <row r="729">
      <c r="A729" s="25"/>
      <c r="B729" s="25"/>
    </row>
    <row r="730">
      <c r="A730" s="25"/>
      <c r="B730" s="25"/>
    </row>
    <row r="731">
      <c r="A731" s="25"/>
      <c r="B731" s="25"/>
    </row>
    <row r="732">
      <c r="A732" s="25"/>
      <c r="B732" s="25"/>
    </row>
    <row r="733">
      <c r="A733" s="25"/>
      <c r="B733" s="25"/>
    </row>
    <row r="734">
      <c r="A734" s="25"/>
      <c r="B734" s="25"/>
    </row>
    <row r="735">
      <c r="A735" s="25"/>
      <c r="B735" s="25"/>
    </row>
    <row r="736">
      <c r="A736" s="25"/>
      <c r="B736" s="25"/>
    </row>
    <row r="737">
      <c r="A737" s="25"/>
      <c r="B737" s="25"/>
    </row>
    <row r="738">
      <c r="A738" s="25"/>
      <c r="B738" s="25"/>
    </row>
    <row r="739">
      <c r="A739" s="25"/>
      <c r="B739" s="25"/>
    </row>
    <row r="740">
      <c r="A740" s="25"/>
      <c r="B740" s="25"/>
    </row>
    <row r="741">
      <c r="A741" s="25"/>
      <c r="B741" s="25"/>
    </row>
    <row r="742">
      <c r="A742" s="25"/>
      <c r="B742" s="25"/>
    </row>
    <row r="743">
      <c r="A743" s="25"/>
      <c r="B743" s="25"/>
    </row>
    <row r="744">
      <c r="A744" s="25"/>
      <c r="B744" s="25"/>
    </row>
    <row r="745">
      <c r="A745" s="25"/>
      <c r="B745" s="25"/>
    </row>
    <row r="746">
      <c r="A746" s="25"/>
      <c r="B746" s="25"/>
    </row>
    <row r="747">
      <c r="A747" s="25"/>
      <c r="B747" s="25"/>
    </row>
    <row r="748">
      <c r="A748" s="25"/>
      <c r="B748" s="25"/>
    </row>
    <row r="749">
      <c r="A749" s="25"/>
      <c r="B749" s="25"/>
    </row>
    <row r="750">
      <c r="A750" s="25"/>
      <c r="B750" s="25"/>
    </row>
    <row r="751">
      <c r="A751" s="25"/>
      <c r="B751" s="25"/>
    </row>
    <row r="752">
      <c r="A752" s="25"/>
      <c r="B752" s="25"/>
    </row>
    <row r="753">
      <c r="A753" s="25"/>
      <c r="B753" s="25"/>
    </row>
    <row r="754">
      <c r="A754" s="25"/>
      <c r="B754" s="25"/>
    </row>
    <row r="755">
      <c r="A755" s="25"/>
      <c r="B755" s="25"/>
    </row>
    <row r="756">
      <c r="A756" s="25"/>
      <c r="B756" s="25"/>
    </row>
    <row r="757">
      <c r="A757" s="25"/>
      <c r="B757" s="25"/>
    </row>
    <row r="758">
      <c r="A758" s="25"/>
      <c r="B758" s="25"/>
    </row>
    <row r="759">
      <c r="A759" s="25"/>
      <c r="B759" s="25"/>
    </row>
    <row r="760">
      <c r="A760" s="25"/>
      <c r="B760" s="25"/>
    </row>
    <row r="761">
      <c r="A761" s="25"/>
      <c r="B761" s="25"/>
    </row>
    <row r="762">
      <c r="A762" s="25"/>
      <c r="B762" s="25"/>
    </row>
    <row r="763">
      <c r="A763" s="25"/>
      <c r="B763" s="25"/>
    </row>
    <row r="764">
      <c r="A764" s="25"/>
      <c r="B764" s="25"/>
    </row>
    <row r="765">
      <c r="A765" s="25"/>
      <c r="B765" s="25"/>
    </row>
    <row r="766">
      <c r="A766" s="25"/>
      <c r="B766" s="25"/>
    </row>
    <row r="767">
      <c r="A767" s="25"/>
      <c r="B767" s="25"/>
    </row>
    <row r="768">
      <c r="A768" s="25"/>
      <c r="B768" s="25"/>
    </row>
    <row r="769">
      <c r="A769" s="25"/>
      <c r="B769" s="25"/>
    </row>
    <row r="770">
      <c r="A770" s="25"/>
      <c r="B770" s="25"/>
    </row>
    <row r="771">
      <c r="A771" s="25"/>
      <c r="B771" s="25"/>
    </row>
    <row r="772">
      <c r="A772" s="25"/>
      <c r="B772" s="25"/>
    </row>
    <row r="773">
      <c r="A773" s="25"/>
      <c r="B773" s="25"/>
    </row>
    <row r="774">
      <c r="A774" s="25"/>
      <c r="B774" s="25"/>
    </row>
    <row r="775">
      <c r="A775" s="25"/>
      <c r="B775" s="25"/>
    </row>
    <row r="776">
      <c r="A776" s="25"/>
      <c r="B776" s="25"/>
    </row>
    <row r="777">
      <c r="A777" s="25"/>
      <c r="B777" s="25"/>
    </row>
    <row r="778">
      <c r="A778" s="25"/>
      <c r="B778" s="25"/>
    </row>
    <row r="779">
      <c r="A779" s="25"/>
      <c r="B779" s="25"/>
    </row>
    <row r="780">
      <c r="A780" s="25"/>
      <c r="B780" s="25"/>
    </row>
    <row r="781">
      <c r="A781" s="25"/>
      <c r="B781" s="25"/>
    </row>
    <row r="782">
      <c r="A782" s="25"/>
      <c r="B782" s="25"/>
    </row>
    <row r="783">
      <c r="A783" s="25"/>
      <c r="B783" s="25"/>
    </row>
    <row r="784">
      <c r="A784" s="25"/>
      <c r="B784" s="25"/>
    </row>
    <row r="785">
      <c r="A785" s="25"/>
      <c r="B785" s="25"/>
    </row>
    <row r="786">
      <c r="A786" s="25"/>
      <c r="B786" s="25"/>
    </row>
    <row r="787">
      <c r="A787" s="25"/>
      <c r="B787" s="25"/>
    </row>
    <row r="788">
      <c r="A788" s="25"/>
      <c r="B788" s="25"/>
    </row>
    <row r="789">
      <c r="A789" s="25"/>
      <c r="B789" s="25"/>
    </row>
    <row r="790">
      <c r="A790" s="25"/>
      <c r="B790" s="25"/>
    </row>
    <row r="791">
      <c r="A791" s="25"/>
      <c r="B791" s="25"/>
    </row>
    <row r="792">
      <c r="A792" s="25"/>
      <c r="B792" s="25"/>
    </row>
    <row r="793">
      <c r="A793" s="25"/>
      <c r="B793" s="25"/>
    </row>
    <row r="794">
      <c r="A794" s="25"/>
      <c r="B794" s="25"/>
    </row>
    <row r="795">
      <c r="A795" s="25"/>
      <c r="B795" s="25"/>
    </row>
    <row r="796">
      <c r="A796" s="25"/>
      <c r="B796" s="25"/>
    </row>
    <row r="797">
      <c r="A797" s="25"/>
      <c r="B797" s="25"/>
    </row>
    <row r="798">
      <c r="A798" s="25"/>
      <c r="B798" s="25"/>
    </row>
    <row r="799">
      <c r="A799" s="25"/>
      <c r="B799" s="25"/>
    </row>
    <row r="800">
      <c r="A800" s="25"/>
      <c r="B800" s="25"/>
    </row>
    <row r="801">
      <c r="A801" s="25"/>
      <c r="B801" s="25"/>
    </row>
    <row r="802">
      <c r="A802" s="25"/>
      <c r="B802" s="25"/>
    </row>
    <row r="803">
      <c r="A803" s="25"/>
      <c r="B803" s="25"/>
    </row>
    <row r="804">
      <c r="A804" s="25"/>
      <c r="B804" s="25"/>
    </row>
    <row r="805">
      <c r="A805" s="25"/>
      <c r="B805" s="25"/>
    </row>
    <row r="806">
      <c r="A806" s="25"/>
      <c r="B806" s="25"/>
    </row>
    <row r="807">
      <c r="A807" s="25"/>
      <c r="B807" s="25"/>
    </row>
    <row r="808">
      <c r="A808" s="25"/>
      <c r="B808" s="25"/>
    </row>
    <row r="809">
      <c r="A809" s="25"/>
      <c r="B809" s="25"/>
    </row>
    <row r="810">
      <c r="A810" s="25"/>
      <c r="B810" s="25"/>
    </row>
    <row r="811">
      <c r="A811" s="25"/>
      <c r="B811" s="25"/>
    </row>
    <row r="812">
      <c r="A812" s="25"/>
      <c r="B812" s="25"/>
    </row>
    <row r="813">
      <c r="A813" s="25"/>
      <c r="B813" s="25"/>
    </row>
    <row r="814">
      <c r="A814" s="25"/>
      <c r="B814" s="25"/>
    </row>
    <row r="815">
      <c r="A815" s="25"/>
      <c r="B815" s="25"/>
    </row>
    <row r="816">
      <c r="A816" s="25"/>
      <c r="B816" s="25"/>
    </row>
    <row r="817">
      <c r="A817" s="25"/>
      <c r="B817" s="25"/>
    </row>
    <row r="818">
      <c r="A818" s="25"/>
      <c r="B818" s="25"/>
    </row>
    <row r="819">
      <c r="A819" s="25"/>
      <c r="B819" s="25"/>
    </row>
    <row r="820">
      <c r="A820" s="25"/>
      <c r="B820" s="25"/>
    </row>
    <row r="821">
      <c r="A821" s="25"/>
      <c r="B821" s="25"/>
    </row>
    <row r="822">
      <c r="A822" s="25"/>
      <c r="B822" s="25"/>
    </row>
    <row r="823">
      <c r="A823" s="25"/>
      <c r="B823" s="25"/>
    </row>
    <row r="824">
      <c r="A824" s="25"/>
      <c r="B824" s="25"/>
    </row>
    <row r="825">
      <c r="A825" s="25"/>
      <c r="B825" s="25"/>
    </row>
    <row r="826">
      <c r="A826" s="25"/>
      <c r="B826" s="25"/>
    </row>
    <row r="827">
      <c r="A827" s="25"/>
      <c r="B827" s="25"/>
    </row>
    <row r="828">
      <c r="A828" s="25"/>
      <c r="B828" s="25"/>
    </row>
    <row r="829">
      <c r="A829" s="25"/>
      <c r="B829" s="25"/>
    </row>
    <row r="830">
      <c r="A830" s="25"/>
      <c r="B830" s="25"/>
    </row>
    <row r="831">
      <c r="A831" s="25"/>
      <c r="B831" s="25"/>
    </row>
    <row r="832">
      <c r="A832" s="25"/>
      <c r="B832" s="25"/>
    </row>
    <row r="833">
      <c r="A833" s="25"/>
      <c r="B833" s="25"/>
    </row>
    <row r="834">
      <c r="A834" s="25"/>
      <c r="B834" s="25"/>
    </row>
    <row r="835">
      <c r="A835" s="25"/>
      <c r="B835" s="25"/>
    </row>
    <row r="836">
      <c r="A836" s="25"/>
      <c r="B836" s="25"/>
    </row>
    <row r="837">
      <c r="A837" s="25"/>
      <c r="B837" s="25"/>
    </row>
    <row r="838">
      <c r="A838" s="25"/>
      <c r="B838" s="25"/>
    </row>
    <row r="839">
      <c r="A839" s="25"/>
      <c r="B839" s="25"/>
    </row>
    <row r="840">
      <c r="A840" s="25"/>
      <c r="B840" s="25"/>
    </row>
    <row r="841">
      <c r="A841" s="25"/>
      <c r="B841" s="25"/>
    </row>
    <row r="842">
      <c r="A842" s="25"/>
      <c r="B842" s="25"/>
    </row>
    <row r="843">
      <c r="A843" s="25"/>
      <c r="B843" s="25"/>
    </row>
    <row r="844">
      <c r="A844" s="25"/>
      <c r="B844" s="25"/>
    </row>
    <row r="845">
      <c r="A845" s="25"/>
      <c r="B845" s="25"/>
    </row>
    <row r="846">
      <c r="A846" s="25"/>
      <c r="B846" s="25"/>
    </row>
    <row r="847">
      <c r="A847" s="25"/>
      <c r="B847" s="25"/>
    </row>
    <row r="848">
      <c r="A848" s="25"/>
      <c r="B848" s="25"/>
    </row>
    <row r="849">
      <c r="A849" s="25"/>
      <c r="B849" s="25"/>
    </row>
    <row r="850">
      <c r="A850" s="25"/>
      <c r="B850" s="25"/>
    </row>
    <row r="851">
      <c r="A851" s="25"/>
      <c r="B851" s="25"/>
    </row>
    <row r="852">
      <c r="A852" s="25"/>
      <c r="B852" s="25"/>
    </row>
    <row r="853">
      <c r="A853" s="25"/>
      <c r="B853" s="25"/>
    </row>
    <row r="854">
      <c r="A854" s="25"/>
      <c r="B854" s="25"/>
    </row>
    <row r="855">
      <c r="A855" s="25"/>
      <c r="B855" s="25"/>
    </row>
    <row r="856">
      <c r="A856" s="25"/>
      <c r="B856" s="25"/>
    </row>
    <row r="857">
      <c r="A857" s="25"/>
      <c r="B857" s="25"/>
    </row>
    <row r="858">
      <c r="A858" s="25"/>
      <c r="B858" s="25"/>
    </row>
    <row r="859">
      <c r="A859" s="25"/>
      <c r="B859" s="25"/>
    </row>
    <row r="860">
      <c r="A860" s="25"/>
      <c r="B860" s="25"/>
    </row>
    <row r="861">
      <c r="A861" s="25"/>
      <c r="B861" s="25"/>
    </row>
    <row r="862">
      <c r="A862" s="25"/>
      <c r="B862" s="25"/>
    </row>
    <row r="863">
      <c r="A863" s="25"/>
      <c r="B863" s="25"/>
    </row>
    <row r="864">
      <c r="A864" s="25"/>
      <c r="B864" s="25"/>
    </row>
    <row r="865">
      <c r="A865" s="25"/>
      <c r="B865" s="25"/>
    </row>
    <row r="866">
      <c r="A866" s="25"/>
      <c r="B866" s="25"/>
    </row>
    <row r="867">
      <c r="A867" s="25"/>
      <c r="B867" s="25"/>
    </row>
    <row r="868">
      <c r="A868" s="25"/>
      <c r="B868" s="25"/>
    </row>
    <row r="869">
      <c r="A869" s="25"/>
      <c r="B869" s="25"/>
    </row>
    <row r="870">
      <c r="A870" s="25"/>
      <c r="B870" s="25"/>
    </row>
    <row r="871">
      <c r="A871" s="25"/>
      <c r="B871" s="25"/>
    </row>
    <row r="872">
      <c r="A872" s="25"/>
      <c r="B872" s="25"/>
    </row>
    <row r="873">
      <c r="A873" s="25"/>
      <c r="B873" s="25"/>
    </row>
    <row r="874">
      <c r="A874" s="25"/>
      <c r="B874" s="25"/>
    </row>
    <row r="875">
      <c r="A875" s="25"/>
      <c r="B875" s="25"/>
    </row>
    <row r="876">
      <c r="A876" s="25"/>
      <c r="B876" s="25"/>
    </row>
    <row r="877">
      <c r="A877" s="25"/>
      <c r="B877" s="25"/>
    </row>
    <row r="878">
      <c r="A878" s="25"/>
      <c r="B878" s="25"/>
    </row>
    <row r="879">
      <c r="A879" s="25"/>
      <c r="B879" s="25"/>
    </row>
    <row r="880">
      <c r="A880" s="25"/>
      <c r="B880" s="25"/>
    </row>
    <row r="881">
      <c r="A881" s="25"/>
      <c r="B881" s="25"/>
    </row>
    <row r="882">
      <c r="A882" s="25"/>
      <c r="B882" s="25"/>
    </row>
    <row r="883">
      <c r="A883" s="25"/>
      <c r="B883" s="25"/>
    </row>
    <row r="884">
      <c r="A884" s="25"/>
      <c r="B884" s="25"/>
    </row>
    <row r="885">
      <c r="A885" s="25"/>
      <c r="B885" s="25"/>
    </row>
    <row r="886">
      <c r="A886" s="25"/>
      <c r="B886" s="25"/>
    </row>
    <row r="887">
      <c r="A887" s="25"/>
      <c r="B887" s="25"/>
    </row>
    <row r="888">
      <c r="A888" s="25"/>
      <c r="B888" s="25"/>
    </row>
    <row r="889">
      <c r="A889" s="25"/>
      <c r="B889" s="25"/>
    </row>
    <row r="890">
      <c r="A890" s="25"/>
      <c r="B890" s="25"/>
    </row>
    <row r="891">
      <c r="A891" s="25"/>
      <c r="B891" s="25"/>
    </row>
    <row r="892">
      <c r="A892" s="25"/>
      <c r="B892" s="25"/>
    </row>
    <row r="893">
      <c r="A893" s="25"/>
      <c r="B893" s="25"/>
    </row>
    <row r="894">
      <c r="A894" s="25"/>
      <c r="B894" s="25"/>
    </row>
    <row r="895">
      <c r="A895" s="25"/>
      <c r="B895" s="25"/>
    </row>
    <row r="896">
      <c r="A896" s="25"/>
      <c r="B896" s="25"/>
    </row>
    <row r="897">
      <c r="A897" s="25"/>
      <c r="B897" s="25"/>
    </row>
    <row r="898">
      <c r="A898" s="25"/>
      <c r="B898" s="25"/>
    </row>
    <row r="899">
      <c r="A899" s="25"/>
      <c r="B899" s="25"/>
    </row>
    <row r="900">
      <c r="A900" s="25"/>
      <c r="B900" s="25"/>
    </row>
    <row r="901">
      <c r="A901" s="25"/>
      <c r="B901" s="25"/>
    </row>
    <row r="902">
      <c r="A902" s="25"/>
      <c r="B902" s="25"/>
    </row>
    <row r="903">
      <c r="A903" s="25"/>
      <c r="B903" s="25"/>
    </row>
    <row r="904">
      <c r="A904" s="25"/>
      <c r="B904" s="25"/>
    </row>
    <row r="905">
      <c r="A905" s="25"/>
      <c r="B905" s="25"/>
    </row>
    <row r="906">
      <c r="A906" s="25"/>
      <c r="B906" s="25"/>
    </row>
    <row r="907">
      <c r="A907" s="25"/>
      <c r="B907" s="25"/>
    </row>
    <row r="908">
      <c r="A908" s="25"/>
      <c r="B908" s="25"/>
    </row>
    <row r="909">
      <c r="A909" s="25"/>
      <c r="B909" s="25"/>
    </row>
    <row r="910">
      <c r="A910" s="25"/>
      <c r="B910" s="25"/>
    </row>
    <row r="911">
      <c r="A911" s="25"/>
      <c r="B911" s="25"/>
    </row>
    <row r="912">
      <c r="A912" s="25"/>
      <c r="B912" s="25"/>
    </row>
    <row r="913">
      <c r="A913" s="25"/>
      <c r="B913" s="25"/>
    </row>
    <row r="914">
      <c r="A914" s="25"/>
      <c r="B914" s="25"/>
    </row>
    <row r="915">
      <c r="A915" s="25"/>
      <c r="B915" s="25"/>
    </row>
    <row r="916">
      <c r="A916" s="25"/>
      <c r="B916" s="25"/>
    </row>
    <row r="917">
      <c r="A917" s="25"/>
      <c r="B917" s="25"/>
    </row>
    <row r="918">
      <c r="A918" s="25"/>
      <c r="B918" s="25"/>
    </row>
    <row r="919">
      <c r="A919" s="25"/>
      <c r="B919" s="25"/>
    </row>
    <row r="920">
      <c r="A920" s="25"/>
      <c r="B920" s="25"/>
    </row>
    <row r="921">
      <c r="A921" s="25"/>
      <c r="B921" s="25"/>
    </row>
    <row r="922">
      <c r="A922" s="25"/>
      <c r="B922" s="25"/>
    </row>
    <row r="923">
      <c r="A923" s="25"/>
      <c r="B923" s="25"/>
    </row>
    <row r="924">
      <c r="A924" s="25"/>
      <c r="B924" s="25"/>
    </row>
    <row r="925">
      <c r="A925" s="25"/>
      <c r="B925" s="25"/>
    </row>
    <row r="926">
      <c r="A926" s="25"/>
      <c r="B926" s="25"/>
    </row>
    <row r="927">
      <c r="A927" s="25"/>
      <c r="B927" s="25"/>
    </row>
    <row r="928">
      <c r="A928" s="25"/>
      <c r="B928" s="25"/>
    </row>
    <row r="929">
      <c r="A929" s="25"/>
      <c r="B929" s="25"/>
    </row>
    <row r="930">
      <c r="A930" s="25"/>
      <c r="B930" s="25"/>
    </row>
    <row r="931">
      <c r="A931" s="25"/>
      <c r="B931" s="25"/>
    </row>
    <row r="932">
      <c r="A932" s="25"/>
      <c r="B932" s="25"/>
    </row>
    <row r="933">
      <c r="A933" s="25"/>
      <c r="B933" s="25"/>
    </row>
    <row r="934">
      <c r="A934" s="25"/>
      <c r="B934" s="25"/>
    </row>
    <row r="935">
      <c r="A935" s="25"/>
      <c r="B935" s="25"/>
    </row>
    <row r="936">
      <c r="A936" s="25"/>
      <c r="B936" s="25"/>
    </row>
    <row r="937">
      <c r="A937" s="25"/>
      <c r="B937" s="25"/>
    </row>
    <row r="938">
      <c r="A938" s="25"/>
      <c r="B938" s="25"/>
    </row>
    <row r="939">
      <c r="A939" s="25"/>
      <c r="B939" s="25"/>
    </row>
    <row r="940">
      <c r="A940" s="25"/>
      <c r="B940" s="25"/>
    </row>
    <row r="941">
      <c r="A941" s="25"/>
      <c r="B941" s="25"/>
    </row>
    <row r="942">
      <c r="A942" s="25"/>
      <c r="B942" s="25"/>
    </row>
    <row r="943">
      <c r="A943" s="25"/>
      <c r="B943" s="25"/>
    </row>
    <row r="944">
      <c r="A944" s="25"/>
      <c r="B944" s="25"/>
    </row>
    <row r="945">
      <c r="A945" s="25"/>
      <c r="B945" s="25"/>
    </row>
    <row r="946">
      <c r="A946" s="25"/>
      <c r="B946" s="25"/>
    </row>
    <row r="947">
      <c r="A947" s="25"/>
      <c r="B947" s="25"/>
    </row>
    <row r="948">
      <c r="A948" s="25"/>
      <c r="B948" s="25"/>
    </row>
    <row r="949">
      <c r="A949" s="25"/>
      <c r="B949" s="25"/>
    </row>
    <row r="950">
      <c r="A950" s="25"/>
      <c r="B950" s="25"/>
    </row>
    <row r="951">
      <c r="A951" s="25"/>
      <c r="B951" s="25"/>
    </row>
    <row r="952">
      <c r="A952" s="25"/>
      <c r="B952" s="25"/>
    </row>
    <row r="953">
      <c r="A953" s="25"/>
      <c r="B953" s="25"/>
    </row>
    <row r="954">
      <c r="A954" s="25"/>
      <c r="B954" s="25"/>
    </row>
    <row r="955">
      <c r="A955" s="25"/>
      <c r="B955" s="25"/>
    </row>
    <row r="956">
      <c r="A956" s="25"/>
      <c r="B956" s="25"/>
    </row>
    <row r="957">
      <c r="A957" s="25"/>
      <c r="B957" s="25"/>
    </row>
    <row r="958">
      <c r="A958" s="25"/>
      <c r="B958" s="25"/>
    </row>
    <row r="959">
      <c r="A959" s="25"/>
      <c r="B959" s="25"/>
    </row>
    <row r="960">
      <c r="A960" s="25"/>
      <c r="B960" s="25"/>
    </row>
    <row r="961">
      <c r="A961" s="25"/>
      <c r="B961" s="25"/>
    </row>
    <row r="962">
      <c r="A962" s="25"/>
      <c r="B962" s="25"/>
    </row>
    <row r="963">
      <c r="A963" s="25"/>
      <c r="B963" s="25"/>
    </row>
    <row r="964">
      <c r="A964" s="25"/>
      <c r="B964" s="25"/>
    </row>
    <row r="965">
      <c r="A965" s="25"/>
      <c r="B965" s="25"/>
    </row>
    <row r="966">
      <c r="A966" s="25"/>
      <c r="B966" s="25"/>
    </row>
    <row r="967">
      <c r="A967" s="25"/>
      <c r="B967" s="25"/>
    </row>
    <row r="968">
      <c r="A968" s="25"/>
      <c r="B968" s="25"/>
    </row>
    <row r="969">
      <c r="A969" s="25"/>
      <c r="B969" s="25"/>
    </row>
    <row r="970">
      <c r="A970" s="25"/>
      <c r="B970" s="25"/>
    </row>
    <row r="971">
      <c r="A971" s="25"/>
      <c r="B971" s="25"/>
    </row>
    <row r="972">
      <c r="A972" s="25"/>
      <c r="B972" s="25"/>
    </row>
    <row r="973">
      <c r="A973" s="25"/>
      <c r="B973" s="25"/>
    </row>
    <row r="974">
      <c r="A974" s="25"/>
      <c r="B974" s="25"/>
    </row>
    <row r="975">
      <c r="A975" s="25"/>
      <c r="B975" s="25"/>
    </row>
    <row r="976">
      <c r="A976" s="25"/>
      <c r="B976" s="25"/>
    </row>
    <row r="977">
      <c r="A977" s="25"/>
      <c r="B977" s="25"/>
    </row>
    <row r="978">
      <c r="A978" s="25"/>
      <c r="B978" s="25"/>
    </row>
    <row r="979">
      <c r="A979" s="25"/>
      <c r="B979" s="25"/>
    </row>
    <row r="980">
      <c r="A980" s="25"/>
      <c r="B980" s="25"/>
    </row>
    <row r="981">
      <c r="A981" s="25"/>
      <c r="B981" s="25"/>
    </row>
    <row r="982">
      <c r="A982" s="25"/>
      <c r="B982" s="25"/>
    </row>
    <row r="983">
      <c r="A983" s="25"/>
      <c r="B983" s="25"/>
    </row>
    <row r="984">
      <c r="A984" s="25"/>
      <c r="B984" s="25"/>
    </row>
    <row r="985">
      <c r="A985" s="25"/>
      <c r="B985" s="25"/>
    </row>
    <row r="986">
      <c r="A986" s="25"/>
      <c r="B986" s="25"/>
    </row>
    <row r="987">
      <c r="A987" s="25"/>
      <c r="B987" s="25"/>
    </row>
    <row r="988">
      <c r="A988" s="25"/>
      <c r="B988" s="25"/>
    </row>
    <row r="989">
      <c r="A989" s="25"/>
      <c r="B989" s="25"/>
    </row>
    <row r="990">
      <c r="A990" s="25"/>
      <c r="B990" s="25"/>
    </row>
    <row r="991">
      <c r="A991" s="25"/>
      <c r="B991" s="25"/>
    </row>
    <row r="992">
      <c r="A992" s="25"/>
      <c r="B992" s="25"/>
    </row>
    <row r="993">
      <c r="A993" s="25"/>
      <c r="B993" s="25"/>
    </row>
    <row r="994">
      <c r="A994" s="25"/>
      <c r="B994" s="25"/>
    </row>
    <row r="995">
      <c r="A995" s="25"/>
      <c r="B995" s="25"/>
    </row>
    <row r="996">
      <c r="A996" s="25"/>
      <c r="B996" s="25"/>
    </row>
    <row r="997">
      <c r="A997" s="25"/>
      <c r="B997" s="25"/>
    </row>
    <row r="998">
      <c r="A998" s="25"/>
      <c r="B998" s="25"/>
    </row>
    <row r="999">
      <c r="A999" s="25"/>
      <c r="B999" s="25"/>
    </row>
    <row r="1000">
      <c r="A1000" s="25"/>
      <c r="B1000" s="25"/>
    </row>
  </sheetData>
  <dataValidations>
    <dataValidation type="list" allowBlank="1" showErrorMessage="1" sqref="B2">
      <formula1>AUX!$B$2:$B$13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  <col customWidth="1" min="9" max="10" width="24.0"/>
    <col customWidth="1" min="11" max="11" width="5.88"/>
  </cols>
  <sheetData>
    <row r="1">
      <c r="A1" s="39" t="s">
        <v>3383</v>
      </c>
      <c r="B1" s="39" t="s">
        <v>3361</v>
      </c>
      <c r="C1" s="39" t="s">
        <v>3362</v>
      </c>
      <c r="D1" s="40"/>
      <c r="E1" s="39" t="s">
        <v>3384</v>
      </c>
      <c r="F1" s="39" t="s">
        <v>3364</v>
      </c>
      <c r="G1" s="39" t="s">
        <v>3385</v>
      </c>
      <c r="H1" s="41"/>
      <c r="I1" s="39" t="s">
        <v>3386</v>
      </c>
      <c r="J1" s="39" t="s">
        <v>3387</v>
      </c>
      <c r="K1" s="42" t="s">
        <v>3388</v>
      </c>
      <c r="L1" s="17" t="s">
        <v>3389</v>
      </c>
    </row>
    <row r="2">
      <c r="A2" s="43">
        <v>1.0</v>
      </c>
      <c r="B2" s="43" t="s">
        <v>3390</v>
      </c>
      <c r="C2" s="43">
        <f t="shared" ref="C2:C13" si="2">DAY(EOMONTH(DATE(YEAR(TODAY()), MONTH(DATEVALUE(B2 &amp; " 1")), 1), 0))
</f>
        <v>31</v>
      </c>
      <c r="D2" s="44"/>
      <c r="E2" s="45" t="str">
        <f>IFERROR(__xludf.DUMMYFUNCTION("UNIQUE(FILTER(BD!J:J, BD!J:J&lt;&gt;""UTM
source"", BD!J:J&lt;&gt;""""))"),"PAID_SOCIAL")</f>
        <v>PAID_SOCIAL</v>
      </c>
      <c r="F2" s="45">
        <f>IF(E2&lt;&gt;"", COUNTIFS(BD!$J:$J, E2, BD!$E:$E, "&lt;&gt;79360573", BD!$E:$E, "&lt;&gt;Rafaela Garrido"), "")</f>
        <v>1598</v>
      </c>
      <c r="G2" s="45">
        <f>IF(E2&lt;&gt;"", COUNTIFS(BD!$J:$J, E2, BD!$E:$E, "79360573") + COUNTIFS(BD!$J:$J, E2, BD!$E:$E, "Rafaela Garrido"), "")</f>
        <v>23</v>
      </c>
      <c r="H2" s="44"/>
      <c r="I2" s="45" t="str">
        <f t="shared" ref="I2:I17" si="3">IF(AND(E2&lt;&gt;"", F2&gt;0), "  - "&amp;E2&amp;": "&amp;F2&amp;CHAR(10), "")</f>
        <v>  - PAID_SOCIAL: 1598
</v>
      </c>
      <c r="J2" s="45" t="str">
        <f t="shared" ref="J2:J17" si="4">IF(AND(E2&lt;&gt;"", G2&gt;0), "  - "&amp;E2&amp;": "&amp;G2&amp;CHAR(10), "")</f>
        <v>  - PAID_SOCIAL: 23
</v>
      </c>
      <c r="K2" s="46" t="str">
        <f t="shared" ref="K2:L2" si="1">I2&amp;I3&amp;I4&amp;I5&amp;I6&amp;I7&amp;I8&amp;I9&amp;I10&amp;I11&amp;I12&amp;I13&amp;I14&amp;I15&amp;I16&amp;I17&amp;I19</f>
        <v>  - PAID_SOCIAL: 1598
  - SOCIAL_MEDIA: 141
  - DIRECT_TRAFFIC: 722
  - REFERRALS: 96
  - OTHER_CAMPAIGNS: 74
  - ORGANIC_SEARCH: 18
  - OFFLINE: 5
  - Sin fuente: 8
</v>
      </c>
      <c r="L2" s="17" t="str">
        <f t="shared" si="1"/>
        <v>  - PAID_SOCIAL: 23
  - SOCIAL_MEDIA: 2
  - DIRECT_TRAFFIC: 565
  - REFERRALS: 38
  - OTHER_CAMPAIGNS: 116
  - ORGANIC_SEARCH: 7
  - OFFLINE: 1
  - PAID_SEARCH: 1
</v>
      </c>
    </row>
    <row r="3">
      <c r="A3" s="43">
        <f t="shared" ref="A3:A13" si="5">A2+1</f>
        <v>2</v>
      </c>
      <c r="B3" s="43" t="s">
        <v>20</v>
      </c>
      <c r="C3" s="43">
        <f t="shared" si="2"/>
        <v>28</v>
      </c>
      <c r="D3" s="44"/>
      <c r="E3" s="45" t="str">
        <f>IFERROR(__xludf.DUMMYFUNCTION("""COMPUTED_VALUE"""),"SOCIAL_MEDIA")</f>
        <v>SOCIAL_MEDIA</v>
      </c>
      <c r="F3" s="45">
        <f>IF(E3&lt;&gt;"", COUNTIFS(BD!$J:$J, E3, BD!$E:$E, "&lt;&gt;79360573", BD!$E:$E, "&lt;&gt;Rafaela Garrido"), "")</f>
        <v>141</v>
      </c>
      <c r="G3" s="45">
        <f>IF(E3&lt;&gt;"", COUNTIFS(BD!$J:$J, E3, BD!$E:$E, "79360573") + COUNTIFS(BD!$J:$J, E3, BD!$E:$E, "Rafaela Garrido"), "")</f>
        <v>2</v>
      </c>
      <c r="H3" s="44"/>
      <c r="I3" s="45" t="str">
        <f t="shared" si="3"/>
        <v>  - SOCIAL_MEDIA: 141
</v>
      </c>
      <c r="J3" s="45" t="str">
        <f t="shared" si="4"/>
        <v>  - SOCIAL_MEDIA: 2
</v>
      </c>
      <c r="K3" s="46"/>
    </row>
    <row r="4">
      <c r="A4" s="43">
        <f t="shared" si="5"/>
        <v>3</v>
      </c>
      <c r="B4" s="43" t="s">
        <v>3391</v>
      </c>
      <c r="C4" s="43">
        <f t="shared" si="2"/>
        <v>31</v>
      </c>
      <c r="D4" s="44"/>
      <c r="E4" s="45" t="str">
        <f>IFERROR(__xludf.DUMMYFUNCTION("""COMPUTED_VALUE"""),"DIRECT_TRAFFIC")</f>
        <v>DIRECT_TRAFFIC</v>
      </c>
      <c r="F4" s="45">
        <f>IF(E4&lt;&gt;"", COUNTIFS(BD!$J:$J, E4, BD!$E:$E, "&lt;&gt;79360573", BD!$E:$E, "&lt;&gt;Rafaela Garrido"), "")</f>
        <v>722</v>
      </c>
      <c r="G4" s="45">
        <f>IF(E4&lt;&gt;"", COUNTIFS(BD!$J:$J, E4, BD!$E:$E, "79360573") + COUNTIFS(BD!$J:$J, E4, BD!$E:$E, "Rafaela Garrido"), "")</f>
        <v>565</v>
      </c>
      <c r="H4" s="44"/>
      <c r="I4" s="45" t="str">
        <f t="shared" si="3"/>
        <v>  - DIRECT_TRAFFIC: 722
</v>
      </c>
      <c r="J4" s="45" t="str">
        <f t="shared" si="4"/>
        <v>  - DIRECT_TRAFFIC: 565
</v>
      </c>
      <c r="K4" s="46"/>
    </row>
    <row r="5">
      <c r="A5" s="43">
        <f t="shared" si="5"/>
        <v>4</v>
      </c>
      <c r="B5" s="43" t="s">
        <v>3392</v>
      </c>
      <c r="C5" s="43">
        <f t="shared" si="2"/>
        <v>30</v>
      </c>
      <c r="D5" s="44"/>
      <c r="E5" s="45" t="str">
        <f>IFERROR(__xludf.DUMMYFUNCTION("""COMPUTED_VALUE"""),"REFERRALS")</f>
        <v>REFERRALS</v>
      </c>
      <c r="F5" s="45">
        <f>IF(E5&lt;&gt;"", COUNTIFS(BD!$J:$J, E5, BD!$E:$E, "&lt;&gt;79360573", BD!$E:$E, "&lt;&gt;Rafaela Garrido"), "")</f>
        <v>96</v>
      </c>
      <c r="G5" s="45">
        <f>IF(E5&lt;&gt;"", COUNTIFS(BD!$J:$J, E5, BD!$E:$E, "79360573") + COUNTIFS(BD!$J:$J, E5, BD!$E:$E, "Rafaela Garrido"), "")</f>
        <v>38</v>
      </c>
      <c r="H5" s="44"/>
      <c r="I5" s="45" t="str">
        <f t="shared" si="3"/>
        <v>  - REFERRALS: 96
</v>
      </c>
      <c r="J5" s="45" t="str">
        <f t="shared" si="4"/>
        <v>  - REFERRALS: 38
</v>
      </c>
      <c r="K5" s="46"/>
    </row>
    <row r="6">
      <c r="A6" s="43">
        <f t="shared" si="5"/>
        <v>5</v>
      </c>
      <c r="B6" s="43" t="s">
        <v>3393</v>
      </c>
      <c r="C6" s="43">
        <f t="shared" si="2"/>
        <v>31</v>
      </c>
      <c r="D6" s="44"/>
      <c r="E6" s="45" t="str">
        <f>IFERROR(__xludf.DUMMYFUNCTION("""COMPUTED_VALUE"""),"OTHER_CAMPAIGNS")</f>
        <v>OTHER_CAMPAIGNS</v>
      </c>
      <c r="F6" s="45">
        <f>IF(E6&lt;&gt;"", COUNTIFS(BD!$J:$J, E6, BD!$E:$E, "&lt;&gt;79360573", BD!$E:$E, "&lt;&gt;Rafaela Garrido"), "")</f>
        <v>74</v>
      </c>
      <c r="G6" s="45">
        <f>IF(E6&lt;&gt;"", COUNTIFS(BD!$J:$J, E6, BD!$E:$E, "79360573") + COUNTIFS(BD!$J:$J, E6, BD!$E:$E, "Rafaela Garrido"), "")</f>
        <v>116</v>
      </c>
      <c r="H6" s="44"/>
      <c r="I6" s="45" t="str">
        <f t="shared" si="3"/>
        <v>  - OTHER_CAMPAIGNS: 74
</v>
      </c>
      <c r="J6" s="45" t="str">
        <f t="shared" si="4"/>
        <v>  - OTHER_CAMPAIGNS: 116
</v>
      </c>
      <c r="K6" s="46"/>
    </row>
    <row r="7">
      <c r="A7" s="43">
        <f t="shared" si="5"/>
        <v>6</v>
      </c>
      <c r="B7" s="43" t="s">
        <v>3394</v>
      </c>
      <c r="C7" s="43">
        <f t="shared" si="2"/>
        <v>30</v>
      </c>
      <c r="D7" s="44"/>
      <c r="E7" s="45" t="str">
        <f>IFERROR(__xludf.DUMMYFUNCTION("""COMPUTED_VALUE"""),"ORGANIC_SEARCH")</f>
        <v>ORGANIC_SEARCH</v>
      </c>
      <c r="F7" s="45">
        <f>IF(E7&lt;&gt;"", COUNTIFS(BD!$J:$J, E7, BD!$E:$E, "&lt;&gt;79360573", BD!$E:$E, "&lt;&gt;Rafaela Garrido"), "")</f>
        <v>18</v>
      </c>
      <c r="G7" s="45">
        <f>IF(E7&lt;&gt;"", COUNTIFS(BD!$J:$J, E7, BD!$E:$E, "79360573") + COUNTIFS(BD!$J:$J, E7, BD!$E:$E, "Rafaela Garrido"), "")</f>
        <v>7</v>
      </c>
      <c r="H7" s="44"/>
      <c r="I7" s="45" t="str">
        <f t="shared" si="3"/>
        <v>  - ORGANIC_SEARCH: 18
</v>
      </c>
      <c r="J7" s="45" t="str">
        <f t="shared" si="4"/>
        <v>  - ORGANIC_SEARCH: 7
</v>
      </c>
      <c r="K7" s="46"/>
    </row>
    <row r="8">
      <c r="A8" s="43">
        <f t="shared" si="5"/>
        <v>7</v>
      </c>
      <c r="B8" s="43" t="s">
        <v>3395</v>
      </c>
      <c r="C8" s="43">
        <f t="shared" si="2"/>
        <v>31</v>
      </c>
      <c r="D8" s="44"/>
      <c r="E8" s="45" t="str">
        <f>IFERROR(__xludf.DUMMYFUNCTION("""COMPUTED_VALUE"""),"OFFLINE")</f>
        <v>OFFLINE</v>
      </c>
      <c r="F8" s="45">
        <f>IF(E8&lt;&gt;"", COUNTIFS(BD!$J:$J, E8, BD!$E:$E, "&lt;&gt;79360573", BD!$E:$E, "&lt;&gt;Rafaela Garrido"), "")</f>
        <v>5</v>
      </c>
      <c r="G8" s="45">
        <f>IF(E8&lt;&gt;"", COUNTIFS(BD!$J:$J, E8, BD!$E:$E, "79360573") + COUNTIFS(BD!$J:$J, E8, BD!$E:$E, "Rafaela Garrido"), "")</f>
        <v>1</v>
      </c>
      <c r="H8" s="44"/>
      <c r="I8" s="45" t="str">
        <f t="shared" si="3"/>
        <v>  - OFFLINE: 5
</v>
      </c>
      <c r="J8" s="45" t="str">
        <f t="shared" si="4"/>
        <v>  - OFFLINE: 1
</v>
      </c>
      <c r="K8" s="46"/>
    </row>
    <row r="9">
      <c r="A9" s="43">
        <f t="shared" si="5"/>
        <v>8</v>
      </c>
      <c r="B9" s="43" t="s">
        <v>3396</v>
      </c>
      <c r="C9" s="43">
        <f t="shared" si="2"/>
        <v>31</v>
      </c>
      <c r="D9" s="44"/>
      <c r="E9" s="45" t="str">
        <f>IFERROR(__xludf.DUMMYFUNCTION("""COMPUTED_VALUE"""),"PAID_SEARCH")</f>
        <v>PAID_SEARCH</v>
      </c>
      <c r="F9" s="45">
        <f>IF(E9&lt;&gt;"", COUNTIFS(BD!$J:$J, E9, BD!$E:$E, "&lt;&gt;79360573", BD!$E:$E, "&lt;&gt;Rafaela Garrido"), "")</f>
        <v>0</v>
      </c>
      <c r="G9" s="45">
        <f>IF(E9&lt;&gt;"", COUNTIFS(BD!$J:$J, E9, BD!$E:$E, "79360573") + COUNTIFS(BD!$J:$J, E9, BD!$E:$E, "Rafaela Garrido"), "")</f>
        <v>1</v>
      </c>
      <c r="H9" s="44"/>
      <c r="I9" s="45" t="str">
        <f t="shared" si="3"/>
        <v/>
      </c>
      <c r="J9" s="45" t="str">
        <f t="shared" si="4"/>
        <v>  - PAID_SEARCH: 1
</v>
      </c>
      <c r="K9" s="46"/>
    </row>
    <row r="10">
      <c r="A10" s="43">
        <f t="shared" si="5"/>
        <v>9</v>
      </c>
      <c r="B10" s="43" t="s">
        <v>3397</v>
      </c>
      <c r="C10" s="43">
        <f t="shared" si="2"/>
        <v>30</v>
      </c>
      <c r="D10" s="44"/>
      <c r="E10" s="45"/>
      <c r="F10" s="47" t="str">
        <f>IF(E10&lt;&gt;"", COUNTIFS(BD!$J:$J, E10, BD!$E:$E, "&lt;&gt;79360573", BD!$E:$E, "&lt;&gt;Rafaela Garrido"), "")</f>
        <v/>
      </c>
      <c r="G10" s="47" t="str">
        <f>IF(E10&lt;&gt;"", COUNTIFS(BD!$J:$J, E10, BD!$E:$E, "79360573") + COUNTIFS(BD!$J:$J, E10, BD!$E:$E, "Rafaela Garrido"), "")</f>
        <v/>
      </c>
      <c r="H10" s="44"/>
      <c r="I10" s="45" t="str">
        <f t="shared" si="3"/>
        <v/>
      </c>
      <c r="J10" s="45" t="str">
        <f t="shared" si="4"/>
        <v/>
      </c>
      <c r="K10" s="46"/>
    </row>
    <row r="11">
      <c r="A11" s="43">
        <f t="shared" si="5"/>
        <v>10</v>
      </c>
      <c r="B11" s="43" t="s">
        <v>3398</v>
      </c>
      <c r="C11" s="43">
        <f t="shared" si="2"/>
        <v>31</v>
      </c>
      <c r="D11" s="44"/>
      <c r="E11" s="45"/>
      <c r="F11" s="45" t="str">
        <f>IF(E11&lt;&gt;"", COUNTIFS(BD!$J:$J, E11, BD!$E:$E, "&lt;&gt;79360573", BD!$E:$E, "&lt;&gt;Rafaela Garrido"), "")</f>
        <v/>
      </c>
      <c r="G11" s="45" t="str">
        <f>IF(E11&lt;&gt;"", COUNTIFS(BD!$J:$J, E11, BD!$E:$E, "79360573") + COUNTIFS(BD!$J:$J, E11, BD!$E:$E, "Rafaela Garrido"), "")</f>
        <v/>
      </c>
      <c r="H11" s="48"/>
      <c r="I11" s="45" t="str">
        <f t="shared" si="3"/>
        <v/>
      </c>
      <c r="J11" s="45" t="str">
        <f t="shared" si="4"/>
        <v/>
      </c>
      <c r="K11" s="46"/>
    </row>
    <row r="12">
      <c r="A12" s="43">
        <f t="shared" si="5"/>
        <v>11</v>
      </c>
      <c r="B12" s="43" t="s">
        <v>3399</v>
      </c>
      <c r="C12" s="43">
        <f t="shared" si="2"/>
        <v>30</v>
      </c>
      <c r="D12" s="44"/>
      <c r="E12" s="49"/>
      <c r="F12" s="49" t="str">
        <f>IF(E12&lt;&gt;"", COUNTIFS(BD!$J:$J, E12, BD!$E:$E, "&lt;&gt;79360573", BD!$E:$E, "&lt;&gt;Rafaela Garrido"), "")</f>
        <v/>
      </c>
      <c r="G12" s="49" t="str">
        <f>IF(E12&lt;&gt;"", COUNTIFS(BD!$J:$J, E12, BD!$E:$E, "79360573") + COUNTIFS(BD!$J:$J, E12, BD!$E:$E, "Rafaela Garrido"), "")</f>
        <v/>
      </c>
      <c r="H12" s="44"/>
      <c r="I12" s="45" t="str">
        <f t="shared" si="3"/>
        <v/>
      </c>
      <c r="J12" s="45" t="str">
        <f t="shared" si="4"/>
        <v/>
      </c>
      <c r="K12" s="46"/>
    </row>
    <row r="13">
      <c r="A13" s="43">
        <f t="shared" si="5"/>
        <v>12</v>
      </c>
      <c r="B13" s="43" t="s">
        <v>3400</v>
      </c>
      <c r="C13" s="43">
        <f t="shared" si="2"/>
        <v>31</v>
      </c>
      <c r="D13" s="44"/>
      <c r="E13" s="49"/>
      <c r="F13" s="49" t="str">
        <f>IF(E13&lt;&gt;"", COUNTIFS(BD!$J:$J, E13, BD!$E:$E, "&lt;&gt;79360573", BD!$E:$E, "&lt;&gt;Rafaela Garrido"), "")</f>
        <v/>
      </c>
      <c r="G13" s="49" t="str">
        <f>IF(E13&lt;&gt;"", COUNTIFS(BD!$J:$J, E13, BD!$E:$E, "79360573") + COUNTIFS(BD!$J:$J, E13, BD!$E:$E, "Rafaela Garrido"), "")</f>
        <v/>
      </c>
      <c r="H13" s="44"/>
      <c r="I13" s="50" t="str">
        <f t="shared" si="3"/>
        <v/>
      </c>
      <c r="J13" s="50" t="str">
        <f t="shared" si="4"/>
        <v/>
      </c>
      <c r="K13" s="46"/>
    </row>
    <row r="14">
      <c r="A14" s="51"/>
      <c r="B14" s="49"/>
      <c r="C14" s="49"/>
      <c r="D14" s="44"/>
      <c r="E14" s="49"/>
      <c r="F14" s="49" t="str">
        <f>IF(E14&lt;&gt;"", COUNTIFS(BD!$J:$J, E14, BD!$E:$E, "&lt;&gt;79360573", BD!$E:$E, "&lt;&gt;Rafaela Garrido"), "")</f>
        <v/>
      </c>
      <c r="G14" s="49" t="str">
        <f>IF(E14&lt;&gt;"", COUNTIFS(BD!$J:$J, E14, BD!$E:$E, "79360573") + COUNTIFS(BD!$J:$J, E14, BD!$E:$E, "Rafaela Garrido"), "")</f>
        <v/>
      </c>
      <c r="H14" s="44"/>
      <c r="I14" s="50" t="str">
        <f t="shared" si="3"/>
        <v/>
      </c>
      <c r="J14" s="49" t="str">
        <f t="shared" si="4"/>
        <v/>
      </c>
      <c r="K14" s="46"/>
    </row>
    <row r="15">
      <c r="F15" s="17" t="str">
        <f>IF(E15&lt;&gt;"", COUNTIFS(BD!$J:$J, E15, BD!$E:$E, "&lt;&gt;79360573", BD!$E:$E, "&lt;&gt;Rafaela Garrido"), "")</f>
        <v/>
      </c>
      <c r="G15" s="17" t="str">
        <f>IF(E15&lt;&gt;"", COUNTIFS(BD!$J:$J, E15, BD!$E:$E, "79360573") + COUNTIFS(BD!$J:$J, E15, BD!$E:$E, "Rafaela Garrido"), "")</f>
        <v/>
      </c>
      <c r="I15" s="17" t="str">
        <f t="shared" si="3"/>
        <v/>
      </c>
      <c r="J15" s="17" t="str">
        <f t="shared" si="4"/>
        <v/>
      </c>
      <c r="K15" s="25"/>
    </row>
    <row r="16">
      <c r="F16" s="17" t="str">
        <f>IF(E16&lt;&gt;"", COUNTIFS(BD!$J:$J, E16, BD!$E:$E, "&lt;&gt;79360573", BD!$E:$E, "&lt;&gt;Rafaela Garrido"), "")</f>
        <v/>
      </c>
      <c r="G16" s="17" t="str">
        <f>IF(E16&lt;&gt;"", COUNTIFS(BD!$J:$J, E16, BD!$E:$E, "79360573") + COUNTIFS(BD!$J:$J, E16, BD!$E:$E, "Rafaela Garrido"), "")</f>
        <v/>
      </c>
      <c r="I16" s="17" t="str">
        <f t="shared" si="3"/>
        <v/>
      </c>
      <c r="J16" s="17" t="str">
        <f t="shared" si="4"/>
        <v/>
      </c>
      <c r="K16" s="25"/>
    </row>
    <row r="17">
      <c r="F17" s="17" t="str">
        <f>IF(E17&lt;&gt;"", COUNTIFS(BD!$J:$J, E17, BD!$E:$E, "&lt;&gt;79360573", BD!$E:$E, "&lt;&gt;Rafaela Garrido"), "")</f>
        <v/>
      </c>
      <c r="G17" s="17" t="str">
        <f>IF(E17&lt;&gt;"", COUNTIFS(BD!$J:$J, E17, BD!$E:$E, "79360573") + COUNTIFS(BD!$J:$J, E17, BD!$E:$E, "Rafaela Garrido"), "")</f>
        <v/>
      </c>
      <c r="I17" s="17" t="str">
        <f t="shared" si="3"/>
        <v/>
      </c>
      <c r="J17" s="17" t="str">
        <f t="shared" si="4"/>
        <v/>
      </c>
      <c r="K17" s="25"/>
    </row>
    <row r="18">
      <c r="I18" s="25"/>
      <c r="J18" s="25"/>
      <c r="K18" s="25"/>
    </row>
    <row r="19">
      <c r="E19" s="17" t="s">
        <v>3401</v>
      </c>
      <c r="F19" s="17">
        <f>COUNTIFS(BD!J:J, "", BD!E:E, "&lt;&gt;79360573", BD!E:E, "&lt;&gt;Rafaela Garrido", BD!E:E, "&lt;&gt;Proprietário")</f>
        <v>8</v>
      </c>
      <c r="G19" s="17">
        <f>COUNTIFS(BD!J:J, "", BD!E:E, "79360573") + COUNTIFS(BD!J:J, "", BD!E:E, "Rafaela Garrido")</f>
        <v>0</v>
      </c>
      <c r="I19" s="17" t="str">
        <f>IF(F19&gt;0, "  - "&amp;E19&amp;": "&amp;F19&amp;CHAR(10), "")</f>
        <v>  - Sin fuente: 8
</v>
      </c>
      <c r="J19" s="17" t="str">
        <f>IF(G19&gt;0, "  - "&amp;E19&amp;": "&amp;G19&amp;CHAR(10), "")</f>
        <v/>
      </c>
      <c r="K19" s="25"/>
    </row>
    <row r="20">
      <c r="I20" s="25"/>
      <c r="J20" s="25"/>
      <c r="K20" s="25"/>
    </row>
    <row r="21">
      <c r="I21" s="25"/>
      <c r="J21" s="25"/>
      <c r="K21" s="25"/>
    </row>
    <row r="22">
      <c r="I22" s="25"/>
      <c r="J22" s="25"/>
      <c r="K22" s="25"/>
    </row>
    <row r="23">
      <c r="I23" s="25"/>
      <c r="J23" s="25"/>
      <c r="K23" s="25"/>
    </row>
    <row r="24">
      <c r="I24" s="25"/>
      <c r="J24" s="25"/>
      <c r="K24" s="25"/>
    </row>
    <row r="25">
      <c r="I25" s="25"/>
      <c r="J25" s="25"/>
      <c r="K25" s="25"/>
    </row>
    <row r="26">
      <c r="I26" s="25"/>
      <c r="J26" s="25"/>
      <c r="K26" s="25"/>
    </row>
    <row r="27">
      <c r="I27" s="25"/>
      <c r="J27" s="25"/>
      <c r="K27" s="25"/>
    </row>
    <row r="28">
      <c r="I28" s="25"/>
      <c r="J28" s="25"/>
      <c r="K28" s="25"/>
    </row>
    <row r="29">
      <c r="I29" s="25"/>
      <c r="J29" s="25"/>
      <c r="K29" s="25"/>
    </row>
    <row r="30">
      <c r="I30" s="25"/>
      <c r="J30" s="25"/>
      <c r="K30" s="25"/>
    </row>
    <row r="31">
      <c r="I31" s="25"/>
      <c r="J31" s="25"/>
      <c r="K31" s="25"/>
    </row>
    <row r="32">
      <c r="I32" s="25"/>
      <c r="J32" s="25"/>
      <c r="K32" s="25"/>
    </row>
    <row r="33">
      <c r="I33" s="25"/>
      <c r="J33" s="25"/>
      <c r="K33" s="25"/>
    </row>
    <row r="34">
      <c r="I34" s="25"/>
      <c r="J34" s="25"/>
      <c r="K34" s="25"/>
    </row>
    <row r="35">
      <c r="I35" s="25"/>
      <c r="J35" s="25"/>
      <c r="K35" s="25"/>
    </row>
    <row r="36">
      <c r="I36" s="25"/>
      <c r="J36" s="25"/>
      <c r="K36" s="25"/>
    </row>
    <row r="37">
      <c r="I37" s="25"/>
      <c r="J37" s="25"/>
      <c r="K37" s="25"/>
    </row>
    <row r="38">
      <c r="I38" s="25"/>
      <c r="J38" s="25"/>
      <c r="K38" s="25"/>
    </row>
    <row r="39">
      <c r="I39" s="25"/>
      <c r="J39" s="25"/>
      <c r="K39" s="25"/>
    </row>
    <row r="40">
      <c r="I40" s="25"/>
      <c r="J40" s="25"/>
      <c r="K40" s="25"/>
    </row>
    <row r="41">
      <c r="I41" s="25"/>
      <c r="J41" s="25"/>
      <c r="K41" s="25"/>
    </row>
    <row r="42">
      <c r="I42" s="25"/>
      <c r="J42" s="25"/>
      <c r="K42" s="25"/>
    </row>
    <row r="43">
      <c r="I43" s="25"/>
      <c r="J43" s="25"/>
      <c r="K43" s="25"/>
    </row>
    <row r="44">
      <c r="I44" s="25"/>
      <c r="J44" s="25"/>
      <c r="K44" s="25"/>
    </row>
    <row r="45">
      <c r="I45" s="25"/>
      <c r="J45" s="25"/>
      <c r="K45" s="25"/>
    </row>
    <row r="46">
      <c r="I46" s="25"/>
      <c r="J46" s="25"/>
      <c r="K46" s="25"/>
    </row>
    <row r="47">
      <c r="I47" s="25"/>
      <c r="J47" s="25"/>
      <c r="K47" s="25"/>
    </row>
    <row r="48">
      <c r="I48" s="25"/>
      <c r="J48" s="25"/>
      <c r="K48" s="25"/>
    </row>
    <row r="49">
      <c r="I49" s="25"/>
      <c r="J49" s="25"/>
      <c r="K49" s="25"/>
    </row>
    <row r="50">
      <c r="I50" s="25"/>
      <c r="J50" s="25"/>
      <c r="K50" s="25"/>
    </row>
    <row r="51">
      <c r="I51" s="25"/>
      <c r="J51" s="25"/>
      <c r="K51" s="25"/>
    </row>
    <row r="52">
      <c r="I52" s="25"/>
      <c r="J52" s="25"/>
      <c r="K52" s="25"/>
    </row>
    <row r="53">
      <c r="I53" s="25"/>
      <c r="J53" s="25"/>
      <c r="K53" s="25"/>
    </row>
    <row r="54">
      <c r="I54" s="25"/>
      <c r="J54" s="25"/>
      <c r="K54" s="25"/>
    </row>
    <row r="55">
      <c r="I55" s="25"/>
      <c r="J55" s="25"/>
      <c r="K55" s="25"/>
    </row>
    <row r="56">
      <c r="I56" s="25"/>
      <c r="J56" s="25"/>
      <c r="K56" s="25"/>
    </row>
    <row r="57">
      <c r="I57" s="25"/>
      <c r="J57" s="25"/>
      <c r="K57" s="25"/>
    </row>
    <row r="58">
      <c r="I58" s="25"/>
      <c r="J58" s="25"/>
      <c r="K58" s="25"/>
    </row>
    <row r="59">
      <c r="I59" s="25"/>
      <c r="J59" s="25"/>
      <c r="K59" s="25"/>
    </row>
    <row r="60">
      <c r="I60" s="25"/>
      <c r="J60" s="25"/>
      <c r="K60" s="25"/>
    </row>
    <row r="61">
      <c r="I61" s="25"/>
      <c r="J61" s="25"/>
      <c r="K61" s="25"/>
    </row>
    <row r="62">
      <c r="I62" s="25"/>
      <c r="J62" s="25"/>
      <c r="K62" s="25"/>
    </row>
    <row r="63">
      <c r="I63" s="25"/>
      <c r="J63" s="25"/>
      <c r="K63" s="25"/>
    </row>
    <row r="64">
      <c r="I64" s="25"/>
      <c r="J64" s="25"/>
      <c r="K64" s="25"/>
    </row>
    <row r="65">
      <c r="I65" s="25"/>
      <c r="J65" s="25"/>
      <c r="K65" s="25"/>
    </row>
    <row r="66">
      <c r="I66" s="25"/>
      <c r="J66" s="25"/>
      <c r="K66" s="25"/>
    </row>
    <row r="67">
      <c r="I67" s="25"/>
      <c r="J67" s="25"/>
      <c r="K67" s="25"/>
    </row>
    <row r="68">
      <c r="I68" s="25"/>
      <c r="J68" s="25"/>
      <c r="K68" s="25"/>
    </row>
    <row r="69">
      <c r="I69" s="25"/>
      <c r="J69" s="25"/>
      <c r="K69" s="25"/>
    </row>
    <row r="70">
      <c r="I70" s="25"/>
      <c r="J70" s="25"/>
      <c r="K70" s="25"/>
    </row>
    <row r="71">
      <c r="I71" s="25"/>
      <c r="J71" s="25"/>
      <c r="K71" s="25"/>
    </row>
    <row r="72">
      <c r="I72" s="25"/>
      <c r="J72" s="25"/>
      <c r="K72" s="25"/>
    </row>
    <row r="73">
      <c r="I73" s="25"/>
      <c r="J73" s="25"/>
      <c r="K73" s="25"/>
    </row>
    <row r="74">
      <c r="I74" s="25"/>
      <c r="J74" s="25"/>
      <c r="K74" s="25"/>
    </row>
    <row r="75">
      <c r="I75" s="25"/>
      <c r="J75" s="25"/>
      <c r="K75" s="25"/>
    </row>
    <row r="76">
      <c r="I76" s="25"/>
      <c r="J76" s="25"/>
      <c r="K76" s="25"/>
    </row>
    <row r="77">
      <c r="I77" s="25"/>
      <c r="J77" s="25"/>
      <c r="K77" s="25"/>
    </row>
    <row r="78">
      <c r="I78" s="25"/>
      <c r="J78" s="25"/>
      <c r="K78" s="25"/>
    </row>
    <row r="79">
      <c r="I79" s="25"/>
      <c r="J79" s="25"/>
      <c r="K79" s="25"/>
    </row>
    <row r="80">
      <c r="I80" s="25"/>
      <c r="J80" s="25"/>
      <c r="K80" s="25"/>
    </row>
    <row r="81">
      <c r="I81" s="25"/>
      <c r="J81" s="25"/>
      <c r="K81" s="25"/>
    </row>
    <row r="82">
      <c r="I82" s="25"/>
      <c r="J82" s="25"/>
      <c r="K82" s="25"/>
    </row>
    <row r="83">
      <c r="I83" s="25"/>
      <c r="J83" s="25"/>
      <c r="K83" s="25"/>
    </row>
    <row r="84">
      <c r="I84" s="25"/>
      <c r="J84" s="25"/>
      <c r="K84" s="25"/>
    </row>
    <row r="85">
      <c r="I85" s="25"/>
      <c r="J85" s="25"/>
      <c r="K85" s="25"/>
    </row>
    <row r="86">
      <c r="I86" s="25"/>
      <c r="J86" s="25"/>
      <c r="K86" s="25"/>
    </row>
    <row r="87">
      <c r="I87" s="25"/>
      <c r="J87" s="25"/>
      <c r="K87" s="25"/>
    </row>
    <row r="88">
      <c r="I88" s="25"/>
      <c r="J88" s="25"/>
      <c r="K88" s="25"/>
    </row>
    <row r="89">
      <c r="I89" s="25"/>
      <c r="J89" s="25"/>
      <c r="K89" s="25"/>
    </row>
    <row r="90">
      <c r="I90" s="25"/>
      <c r="J90" s="25"/>
      <c r="K90" s="25"/>
    </row>
    <row r="91">
      <c r="I91" s="25"/>
      <c r="J91" s="25"/>
      <c r="K91" s="25"/>
    </row>
    <row r="92">
      <c r="I92" s="25"/>
      <c r="J92" s="25"/>
      <c r="K92" s="25"/>
    </row>
    <row r="93">
      <c r="I93" s="25"/>
      <c r="J93" s="25"/>
      <c r="K93" s="25"/>
    </row>
    <row r="94">
      <c r="I94" s="25"/>
      <c r="J94" s="25"/>
      <c r="K94" s="25"/>
    </row>
    <row r="95">
      <c r="I95" s="25"/>
      <c r="J95" s="25"/>
      <c r="K95" s="25"/>
    </row>
    <row r="96">
      <c r="I96" s="25"/>
      <c r="J96" s="25"/>
      <c r="K96" s="25"/>
    </row>
    <row r="97">
      <c r="I97" s="25"/>
      <c r="J97" s="25"/>
      <c r="K97" s="25"/>
    </row>
    <row r="98">
      <c r="I98" s="25"/>
      <c r="J98" s="25"/>
      <c r="K98" s="25"/>
    </row>
    <row r="99">
      <c r="I99" s="25"/>
      <c r="J99" s="25"/>
      <c r="K99" s="25"/>
    </row>
    <row r="100">
      <c r="I100" s="25"/>
      <c r="J100" s="25"/>
      <c r="K100" s="25"/>
    </row>
    <row r="101">
      <c r="I101" s="25"/>
      <c r="J101" s="25"/>
      <c r="K101" s="25"/>
    </row>
    <row r="102">
      <c r="I102" s="25"/>
      <c r="J102" s="25"/>
      <c r="K102" s="25"/>
    </row>
    <row r="103">
      <c r="I103" s="25"/>
      <c r="J103" s="25"/>
      <c r="K103" s="25"/>
    </row>
    <row r="104">
      <c r="I104" s="25"/>
      <c r="J104" s="25"/>
      <c r="K104" s="25"/>
    </row>
    <row r="105">
      <c r="I105" s="25"/>
      <c r="J105" s="25"/>
      <c r="K105" s="25"/>
    </row>
    <row r="106">
      <c r="I106" s="25"/>
      <c r="J106" s="25"/>
      <c r="K106" s="25"/>
    </row>
    <row r="107">
      <c r="I107" s="25"/>
      <c r="J107" s="25"/>
      <c r="K107" s="25"/>
    </row>
    <row r="108">
      <c r="I108" s="25"/>
      <c r="J108" s="25"/>
      <c r="K108" s="25"/>
    </row>
    <row r="109">
      <c r="I109" s="25"/>
      <c r="J109" s="25"/>
      <c r="K109" s="25"/>
    </row>
    <row r="110">
      <c r="I110" s="25"/>
      <c r="J110" s="25"/>
      <c r="K110" s="25"/>
    </row>
    <row r="111">
      <c r="I111" s="25"/>
      <c r="J111" s="25"/>
      <c r="K111" s="25"/>
    </row>
    <row r="112">
      <c r="I112" s="25"/>
      <c r="J112" s="25"/>
      <c r="K112" s="25"/>
    </row>
    <row r="113">
      <c r="I113" s="25"/>
      <c r="J113" s="25"/>
      <c r="K113" s="25"/>
    </row>
    <row r="114">
      <c r="I114" s="25"/>
      <c r="J114" s="25"/>
      <c r="K114" s="25"/>
    </row>
    <row r="115">
      <c r="I115" s="25"/>
      <c r="J115" s="25"/>
      <c r="K115" s="25"/>
    </row>
    <row r="116">
      <c r="I116" s="25"/>
      <c r="J116" s="25"/>
      <c r="K116" s="25"/>
    </row>
    <row r="117">
      <c r="I117" s="25"/>
      <c r="J117" s="25"/>
      <c r="K117" s="25"/>
    </row>
    <row r="118">
      <c r="I118" s="25"/>
      <c r="J118" s="25"/>
      <c r="K118" s="25"/>
    </row>
    <row r="119">
      <c r="I119" s="25"/>
      <c r="J119" s="25"/>
      <c r="K119" s="25"/>
    </row>
    <row r="120">
      <c r="I120" s="25"/>
      <c r="J120" s="25"/>
      <c r="K120" s="25"/>
    </row>
    <row r="121">
      <c r="I121" s="25"/>
      <c r="J121" s="25"/>
      <c r="K121" s="25"/>
    </row>
    <row r="122">
      <c r="I122" s="25"/>
      <c r="J122" s="25"/>
      <c r="K122" s="25"/>
    </row>
    <row r="123">
      <c r="I123" s="25"/>
      <c r="J123" s="25"/>
      <c r="K123" s="25"/>
    </row>
    <row r="124">
      <c r="I124" s="25"/>
      <c r="J124" s="25"/>
      <c r="K124" s="25"/>
    </row>
    <row r="125">
      <c r="I125" s="25"/>
      <c r="J125" s="25"/>
      <c r="K125" s="25"/>
    </row>
    <row r="126">
      <c r="I126" s="25"/>
      <c r="J126" s="25"/>
      <c r="K126" s="25"/>
    </row>
    <row r="127">
      <c r="I127" s="25"/>
      <c r="J127" s="25"/>
      <c r="K127" s="25"/>
    </row>
    <row r="128">
      <c r="I128" s="25"/>
      <c r="J128" s="25"/>
      <c r="K128" s="25"/>
    </row>
    <row r="129">
      <c r="I129" s="25"/>
      <c r="J129" s="25"/>
      <c r="K129" s="25"/>
    </row>
    <row r="130">
      <c r="I130" s="25"/>
      <c r="J130" s="25"/>
      <c r="K130" s="25"/>
    </row>
    <row r="131">
      <c r="I131" s="25"/>
      <c r="J131" s="25"/>
      <c r="K131" s="25"/>
    </row>
    <row r="132">
      <c r="I132" s="25"/>
      <c r="J132" s="25"/>
      <c r="K132" s="25"/>
    </row>
    <row r="133">
      <c r="I133" s="25"/>
      <c r="J133" s="25"/>
      <c r="K133" s="25"/>
    </row>
    <row r="134">
      <c r="I134" s="25"/>
      <c r="J134" s="25"/>
      <c r="K134" s="25"/>
    </row>
    <row r="135">
      <c r="I135" s="25"/>
      <c r="J135" s="25"/>
      <c r="K135" s="25"/>
    </row>
    <row r="136">
      <c r="I136" s="25"/>
      <c r="J136" s="25"/>
      <c r="K136" s="25"/>
    </row>
    <row r="137">
      <c r="I137" s="25"/>
      <c r="J137" s="25"/>
      <c r="K137" s="25"/>
    </row>
    <row r="138">
      <c r="I138" s="25"/>
      <c r="J138" s="25"/>
      <c r="K138" s="25"/>
    </row>
    <row r="139">
      <c r="I139" s="25"/>
      <c r="J139" s="25"/>
      <c r="K139" s="25"/>
    </row>
    <row r="140">
      <c r="I140" s="25"/>
      <c r="J140" s="25"/>
      <c r="K140" s="25"/>
    </row>
    <row r="141">
      <c r="I141" s="25"/>
      <c r="J141" s="25"/>
      <c r="K141" s="25"/>
    </row>
    <row r="142">
      <c r="I142" s="25"/>
      <c r="J142" s="25"/>
      <c r="K142" s="25"/>
    </row>
    <row r="143">
      <c r="I143" s="25"/>
      <c r="J143" s="25"/>
      <c r="K143" s="25"/>
    </row>
    <row r="144">
      <c r="I144" s="25"/>
      <c r="J144" s="25"/>
      <c r="K144" s="25"/>
    </row>
    <row r="145">
      <c r="I145" s="25"/>
      <c r="J145" s="25"/>
      <c r="K145" s="25"/>
    </row>
    <row r="146">
      <c r="I146" s="25"/>
      <c r="J146" s="25"/>
      <c r="K146" s="25"/>
    </row>
    <row r="147">
      <c r="I147" s="25"/>
      <c r="J147" s="25"/>
      <c r="K147" s="25"/>
    </row>
    <row r="148">
      <c r="I148" s="25"/>
      <c r="J148" s="25"/>
      <c r="K148" s="25"/>
    </row>
    <row r="149">
      <c r="I149" s="25"/>
      <c r="J149" s="25"/>
      <c r="K149" s="25"/>
    </row>
    <row r="150">
      <c r="I150" s="25"/>
      <c r="J150" s="25"/>
      <c r="K150" s="25"/>
    </row>
    <row r="151">
      <c r="I151" s="25"/>
      <c r="J151" s="25"/>
      <c r="K151" s="25"/>
    </row>
    <row r="152">
      <c r="I152" s="25"/>
      <c r="J152" s="25"/>
      <c r="K152" s="25"/>
    </row>
    <row r="153">
      <c r="I153" s="25"/>
      <c r="J153" s="25"/>
      <c r="K153" s="25"/>
    </row>
    <row r="154">
      <c r="I154" s="25"/>
      <c r="J154" s="25"/>
      <c r="K154" s="25"/>
    </row>
    <row r="155">
      <c r="I155" s="25"/>
      <c r="J155" s="25"/>
      <c r="K155" s="25"/>
    </row>
    <row r="156">
      <c r="I156" s="25"/>
      <c r="J156" s="25"/>
      <c r="K156" s="25"/>
    </row>
    <row r="157">
      <c r="I157" s="25"/>
      <c r="J157" s="25"/>
      <c r="K157" s="25"/>
    </row>
    <row r="158">
      <c r="I158" s="25"/>
      <c r="J158" s="25"/>
      <c r="K158" s="25"/>
    </row>
    <row r="159">
      <c r="I159" s="25"/>
      <c r="J159" s="25"/>
      <c r="K159" s="25"/>
    </row>
    <row r="160">
      <c r="I160" s="25"/>
      <c r="J160" s="25"/>
      <c r="K160" s="25"/>
    </row>
    <row r="161">
      <c r="I161" s="25"/>
      <c r="J161" s="25"/>
      <c r="K161" s="25"/>
    </row>
    <row r="162">
      <c r="I162" s="25"/>
      <c r="J162" s="25"/>
      <c r="K162" s="25"/>
    </row>
    <row r="163">
      <c r="I163" s="25"/>
      <c r="J163" s="25"/>
      <c r="K163" s="25"/>
    </row>
    <row r="164">
      <c r="I164" s="25"/>
      <c r="J164" s="25"/>
      <c r="K164" s="25"/>
    </row>
    <row r="165">
      <c r="I165" s="25"/>
      <c r="J165" s="25"/>
      <c r="K165" s="25"/>
    </row>
    <row r="166">
      <c r="I166" s="25"/>
      <c r="J166" s="25"/>
      <c r="K166" s="25"/>
    </row>
    <row r="167">
      <c r="I167" s="25"/>
      <c r="J167" s="25"/>
      <c r="K167" s="25"/>
    </row>
    <row r="168">
      <c r="I168" s="25"/>
      <c r="J168" s="25"/>
      <c r="K168" s="25"/>
    </row>
    <row r="169">
      <c r="I169" s="25"/>
      <c r="J169" s="25"/>
      <c r="K169" s="25"/>
    </row>
    <row r="170">
      <c r="I170" s="25"/>
      <c r="J170" s="25"/>
      <c r="K170" s="25"/>
    </row>
    <row r="171">
      <c r="I171" s="25"/>
      <c r="J171" s="25"/>
      <c r="K171" s="25"/>
    </row>
    <row r="172">
      <c r="I172" s="25"/>
      <c r="J172" s="25"/>
      <c r="K172" s="25"/>
    </row>
    <row r="173">
      <c r="I173" s="25"/>
      <c r="J173" s="25"/>
      <c r="K173" s="25"/>
    </row>
    <row r="174">
      <c r="I174" s="25"/>
      <c r="J174" s="25"/>
      <c r="K174" s="25"/>
    </row>
    <row r="175">
      <c r="I175" s="25"/>
      <c r="J175" s="25"/>
      <c r="K175" s="25"/>
    </row>
    <row r="176">
      <c r="I176" s="25"/>
      <c r="J176" s="25"/>
      <c r="K176" s="25"/>
    </row>
    <row r="177">
      <c r="I177" s="25"/>
      <c r="J177" s="25"/>
      <c r="K177" s="25"/>
    </row>
    <row r="178">
      <c r="I178" s="25"/>
      <c r="J178" s="25"/>
      <c r="K178" s="25"/>
    </row>
    <row r="179">
      <c r="I179" s="25"/>
      <c r="J179" s="25"/>
      <c r="K179" s="25"/>
    </row>
    <row r="180">
      <c r="I180" s="25"/>
      <c r="J180" s="25"/>
      <c r="K180" s="25"/>
    </row>
    <row r="181">
      <c r="I181" s="25"/>
      <c r="J181" s="25"/>
      <c r="K181" s="25"/>
    </row>
    <row r="182">
      <c r="I182" s="25"/>
      <c r="J182" s="25"/>
      <c r="K182" s="25"/>
    </row>
    <row r="183">
      <c r="I183" s="25"/>
      <c r="J183" s="25"/>
      <c r="K183" s="25"/>
    </row>
    <row r="184">
      <c r="I184" s="25"/>
      <c r="J184" s="25"/>
      <c r="K184" s="25"/>
    </row>
    <row r="185">
      <c r="I185" s="25"/>
      <c r="J185" s="25"/>
      <c r="K185" s="25"/>
    </row>
    <row r="186">
      <c r="I186" s="25"/>
      <c r="J186" s="25"/>
      <c r="K186" s="25"/>
    </row>
    <row r="187">
      <c r="I187" s="25"/>
      <c r="J187" s="25"/>
      <c r="K187" s="25"/>
    </row>
    <row r="188">
      <c r="I188" s="25"/>
      <c r="J188" s="25"/>
      <c r="K188" s="25"/>
    </row>
    <row r="189">
      <c r="I189" s="25"/>
      <c r="J189" s="25"/>
      <c r="K189" s="25"/>
    </row>
    <row r="190">
      <c r="I190" s="25"/>
      <c r="J190" s="25"/>
      <c r="K190" s="25"/>
    </row>
    <row r="191">
      <c r="I191" s="25"/>
      <c r="J191" s="25"/>
      <c r="K191" s="25"/>
    </row>
    <row r="192">
      <c r="I192" s="25"/>
      <c r="J192" s="25"/>
      <c r="K192" s="25"/>
    </row>
    <row r="193">
      <c r="I193" s="25"/>
      <c r="J193" s="25"/>
      <c r="K193" s="25"/>
    </row>
    <row r="194">
      <c r="I194" s="25"/>
      <c r="J194" s="25"/>
      <c r="K194" s="25"/>
    </row>
    <row r="195">
      <c r="I195" s="25"/>
      <c r="J195" s="25"/>
      <c r="K195" s="25"/>
    </row>
    <row r="196">
      <c r="I196" s="25"/>
      <c r="J196" s="25"/>
      <c r="K196" s="25"/>
    </row>
    <row r="197">
      <c r="I197" s="25"/>
      <c r="J197" s="25"/>
      <c r="K197" s="25"/>
    </row>
    <row r="198">
      <c r="I198" s="25"/>
      <c r="J198" s="25"/>
      <c r="K198" s="25"/>
    </row>
    <row r="199">
      <c r="I199" s="25"/>
      <c r="J199" s="25"/>
      <c r="K199" s="25"/>
    </row>
    <row r="200">
      <c r="I200" s="25"/>
      <c r="J200" s="25"/>
      <c r="K200" s="25"/>
    </row>
    <row r="201">
      <c r="I201" s="25"/>
      <c r="J201" s="25"/>
      <c r="K201" s="25"/>
    </row>
    <row r="202">
      <c r="I202" s="25"/>
      <c r="J202" s="25"/>
      <c r="K202" s="25"/>
    </row>
    <row r="203">
      <c r="I203" s="25"/>
      <c r="J203" s="25"/>
      <c r="K203" s="25"/>
    </row>
    <row r="204">
      <c r="I204" s="25"/>
      <c r="J204" s="25"/>
      <c r="K204" s="25"/>
    </row>
    <row r="205">
      <c r="I205" s="25"/>
      <c r="J205" s="25"/>
      <c r="K205" s="25"/>
    </row>
    <row r="206">
      <c r="I206" s="25"/>
      <c r="J206" s="25"/>
      <c r="K206" s="25"/>
    </row>
    <row r="207">
      <c r="I207" s="25"/>
      <c r="J207" s="25"/>
      <c r="K207" s="25"/>
    </row>
    <row r="208">
      <c r="I208" s="25"/>
      <c r="J208" s="25"/>
      <c r="K208" s="25"/>
    </row>
    <row r="209">
      <c r="I209" s="25"/>
      <c r="J209" s="25"/>
      <c r="K209" s="25"/>
    </row>
    <row r="210">
      <c r="I210" s="25"/>
      <c r="J210" s="25"/>
      <c r="K210" s="25"/>
    </row>
    <row r="211">
      <c r="I211" s="25"/>
      <c r="J211" s="25"/>
      <c r="K211" s="25"/>
    </row>
    <row r="212">
      <c r="I212" s="25"/>
      <c r="J212" s="25"/>
      <c r="K212" s="25"/>
    </row>
    <row r="213">
      <c r="I213" s="25"/>
      <c r="J213" s="25"/>
      <c r="K213" s="25"/>
    </row>
    <row r="214">
      <c r="I214" s="25"/>
      <c r="J214" s="25"/>
      <c r="K214" s="25"/>
    </row>
    <row r="215">
      <c r="I215" s="25"/>
      <c r="J215" s="25"/>
      <c r="K215" s="25"/>
    </row>
    <row r="216">
      <c r="I216" s="25"/>
      <c r="J216" s="25"/>
      <c r="K216" s="25"/>
    </row>
    <row r="217">
      <c r="I217" s="25"/>
      <c r="J217" s="25"/>
      <c r="K217" s="25"/>
    </row>
    <row r="218">
      <c r="I218" s="25"/>
      <c r="J218" s="25"/>
      <c r="K218" s="25"/>
    </row>
    <row r="219">
      <c r="I219" s="25"/>
      <c r="J219" s="25"/>
      <c r="K219" s="25"/>
    </row>
    <row r="220">
      <c r="I220" s="25"/>
      <c r="J220" s="25"/>
      <c r="K220" s="25"/>
    </row>
    <row r="221">
      <c r="I221" s="25"/>
      <c r="J221" s="25"/>
      <c r="K221" s="25"/>
    </row>
    <row r="222">
      <c r="I222" s="25"/>
      <c r="J222" s="25"/>
      <c r="K222" s="25"/>
    </row>
    <row r="223">
      <c r="I223" s="25"/>
      <c r="J223" s="25"/>
      <c r="K223" s="25"/>
    </row>
    <row r="224">
      <c r="I224" s="25"/>
      <c r="J224" s="25"/>
      <c r="K224" s="25"/>
    </row>
    <row r="225">
      <c r="I225" s="25"/>
      <c r="J225" s="25"/>
      <c r="K225" s="25"/>
    </row>
    <row r="226">
      <c r="I226" s="25"/>
      <c r="J226" s="25"/>
      <c r="K226" s="25"/>
    </row>
    <row r="227">
      <c r="I227" s="25"/>
      <c r="J227" s="25"/>
      <c r="K227" s="25"/>
    </row>
    <row r="228">
      <c r="I228" s="25"/>
      <c r="J228" s="25"/>
      <c r="K228" s="25"/>
    </row>
    <row r="229">
      <c r="I229" s="25"/>
      <c r="J229" s="25"/>
      <c r="K229" s="25"/>
    </row>
    <row r="230">
      <c r="I230" s="25"/>
      <c r="J230" s="25"/>
      <c r="K230" s="25"/>
    </row>
    <row r="231">
      <c r="I231" s="25"/>
      <c r="J231" s="25"/>
      <c r="K231" s="25"/>
    </row>
    <row r="232">
      <c r="I232" s="25"/>
      <c r="J232" s="25"/>
      <c r="K232" s="25"/>
    </row>
    <row r="233">
      <c r="I233" s="25"/>
      <c r="J233" s="25"/>
      <c r="K233" s="25"/>
    </row>
    <row r="234">
      <c r="I234" s="25"/>
      <c r="J234" s="25"/>
      <c r="K234" s="25"/>
    </row>
    <row r="235">
      <c r="I235" s="25"/>
      <c r="J235" s="25"/>
      <c r="K235" s="25"/>
    </row>
    <row r="236">
      <c r="I236" s="25"/>
      <c r="J236" s="25"/>
      <c r="K236" s="25"/>
    </row>
    <row r="237">
      <c r="I237" s="25"/>
      <c r="J237" s="25"/>
      <c r="K237" s="25"/>
    </row>
    <row r="238">
      <c r="I238" s="25"/>
      <c r="J238" s="25"/>
      <c r="K238" s="25"/>
    </row>
    <row r="239">
      <c r="I239" s="25"/>
      <c r="J239" s="25"/>
      <c r="K239" s="25"/>
    </row>
    <row r="240">
      <c r="I240" s="25"/>
      <c r="J240" s="25"/>
      <c r="K240" s="25"/>
    </row>
    <row r="241">
      <c r="I241" s="25"/>
      <c r="J241" s="25"/>
      <c r="K241" s="25"/>
    </row>
    <row r="242">
      <c r="I242" s="25"/>
      <c r="J242" s="25"/>
      <c r="K242" s="25"/>
    </row>
    <row r="243">
      <c r="I243" s="25"/>
      <c r="J243" s="25"/>
      <c r="K243" s="25"/>
    </row>
    <row r="244">
      <c r="I244" s="25"/>
      <c r="J244" s="25"/>
      <c r="K244" s="25"/>
    </row>
    <row r="245">
      <c r="I245" s="25"/>
      <c r="J245" s="25"/>
      <c r="K245" s="25"/>
    </row>
    <row r="246">
      <c r="I246" s="25"/>
      <c r="J246" s="25"/>
      <c r="K246" s="25"/>
    </row>
    <row r="247">
      <c r="I247" s="25"/>
      <c r="J247" s="25"/>
      <c r="K247" s="25"/>
    </row>
    <row r="248">
      <c r="I248" s="25"/>
      <c r="J248" s="25"/>
      <c r="K248" s="25"/>
    </row>
    <row r="249">
      <c r="I249" s="25"/>
      <c r="J249" s="25"/>
      <c r="K249" s="25"/>
    </row>
    <row r="250">
      <c r="I250" s="25"/>
      <c r="J250" s="25"/>
      <c r="K250" s="25"/>
    </row>
    <row r="251">
      <c r="I251" s="25"/>
      <c r="J251" s="25"/>
      <c r="K251" s="25"/>
    </row>
    <row r="252">
      <c r="I252" s="25"/>
      <c r="J252" s="25"/>
      <c r="K252" s="25"/>
    </row>
    <row r="253">
      <c r="I253" s="25"/>
      <c r="J253" s="25"/>
      <c r="K253" s="25"/>
    </row>
    <row r="254">
      <c r="I254" s="25"/>
      <c r="J254" s="25"/>
      <c r="K254" s="25"/>
    </row>
    <row r="255">
      <c r="I255" s="25"/>
      <c r="J255" s="25"/>
      <c r="K255" s="25"/>
    </row>
    <row r="256">
      <c r="I256" s="25"/>
      <c r="J256" s="25"/>
      <c r="K256" s="25"/>
    </row>
    <row r="257">
      <c r="I257" s="25"/>
      <c r="J257" s="25"/>
      <c r="K257" s="25"/>
    </row>
    <row r="258">
      <c r="I258" s="25"/>
      <c r="J258" s="25"/>
      <c r="K258" s="25"/>
    </row>
    <row r="259">
      <c r="I259" s="25"/>
      <c r="J259" s="25"/>
      <c r="K259" s="25"/>
    </row>
    <row r="260">
      <c r="I260" s="25"/>
      <c r="J260" s="25"/>
      <c r="K260" s="25"/>
    </row>
    <row r="261">
      <c r="I261" s="25"/>
      <c r="J261" s="25"/>
      <c r="K261" s="25"/>
    </row>
    <row r="262">
      <c r="I262" s="25"/>
      <c r="J262" s="25"/>
      <c r="K262" s="25"/>
    </row>
    <row r="263">
      <c r="I263" s="25"/>
      <c r="J263" s="25"/>
      <c r="K263" s="25"/>
    </row>
    <row r="264">
      <c r="I264" s="25"/>
      <c r="J264" s="25"/>
      <c r="K264" s="25"/>
    </row>
    <row r="265">
      <c r="I265" s="25"/>
      <c r="J265" s="25"/>
      <c r="K265" s="25"/>
    </row>
    <row r="266">
      <c r="I266" s="25"/>
      <c r="J266" s="25"/>
      <c r="K266" s="25"/>
    </row>
    <row r="267">
      <c r="I267" s="25"/>
      <c r="J267" s="25"/>
      <c r="K267" s="25"/>
    </row>
    <row r="268">
      <c r="I268" s="25"/>
      <c r="J268" s="25"/>
      <c r="K268" s="25"/>
    </row>
    <row r="269">
      <c r="I269" s="25"/>
      <c r="J269" s="25"/>
      <c r="K269" s="25"/>
    </row>
    <row r="270">
      <c r="I270" s="25"/>
      <c r="J270" s="25"/>
      <c r="K270" s="25"/>
    </row>
    <row r="271">
      <c r="I271" s="25"/>
      <c r="J271" s="25"/>
      <c r="K271" s="25"/>
    </row>
    <row r="272">
      <c r="I272" s="25"/>
      <c r="J272" s="25"/>
      <c r="K272" s="25"/>
    </row>
    <row r="273">
      <c r="I273" s="25"/>
      <c r="J273" s="25"/>
      <c r="K273" s="25"/>
    </row>
    <row r="274">
      <c r="I274" s="25"/>
      <c r="J274" s="25"/>
      <c r="K274" s="25"/>
    </row>
    <row r="275">
      <c r="I275" s="25"/>
      <c r="J275" s="25"/>
      <c r="K275" s="25"/>
    </row>
    <row r="276">
      <c r="I276" s="25"/>
      <c r="J276" s="25"/>
      <c r="K276" s="25"/>
    </row>
    <row r="277">
      <c r="I277" s="25"/>
      <c r="J277" s="25"/>
      <c r="K277" s="25"/>
    </row>
    <row r="278">
      <c r="I278" s="25"/>
      <c r="J278" s="25"/>
      <c r="K278" s="25"/>
    </row>
    <row r="279">
      <c r="I279" s="25"/>
      <c r="J279" s="25"/>
      <c r="K279" s="25"/>
    </row>
    <row r="280">
      <c r="I280" s="25"/>
      <c r="J280" s="25"/>
      <c r="K280" s="25"/>
    </row>
    <row r="281">
      <c r="I281" s="25"/>
      <c r="J281" s="25"/>
      <c r="K281" s="25"/>
    </row>
    <row r="282">
      <c r="I282" s="25"/>
      <c r="J282" s="25"/>
      <c r="K282" s="25"/>
    </row>
    <row r="283">
      <c r="I283" s="25"/>
      <c r="J283" s="25"/>
      <c r="K283" s="25"/>
    </row>
    <row r="284">
      <c r="I284" s="25"/>
      <c r="J284" s="25"/>
      <c r="K284" s="25"/>
    </row>
    <row r="285">
      <c r="I285" s="25"/>
      <c r="J285" s="25"/>
      <c r="K285" s="25"/>
    </row>
    <row r="286">
      <c r="I286" s="25"/>
      <c r="J286" s="25"/>
      <c r="K286" s="25"/>
    </row>
    <row r="287">
      <c r="I287" s="25"/>
      <c r="J287" s="25"/>
      <c r="K287" s="25"/>
    </row>
    <row r="288">
      <c r="I288" s="25"/>
      <c r="J288" s="25"/>
      <c r="K288" s="25"/>
    </row>
    <row r="289">
      <c r="I289" s="25"/>
      <c r="J289" s="25"/>
      <c r="K289" s="25"/>
    </row>
    <row r="290">
      <c r="I290" s="25"/>
      <c r="J290" s="25"/>
      <c r="K290" s="25"/>
    </row>
    <row r="291">
      <c r="I291" s="25"/>
      <c r="J291" s="25"/>
      <c r="K291" s="25"/>
    </row>
    <row r="292">
      <c r="I292" s="25"/>
      <c r="J292" s="25"/>
      <c r="K292" s="25"/>
    </row>
    <row r="293">
      <c r="I293" s="25"/>
      <c r="J293" s="25"/>
      <c r="K293" s="25"/>
    </row>
    <row r="294">
      <c r="I294" s="25"/>
      <c r="J294" s="25"/>
      <c r="K294" s="25"/>
    </row>
    <row r="295">
      <c r="I295" s="25"/>
      <c r="J295" s="25"/>
      <c r="K295" s="25"/>
    </row>
    <row r="296">
      <c r="I296" s="25"/>
      <c r="J296" s="25"/>
      <c r="K296" s="25"/>
    </row>
    <row r="297">
      <c r="I297" s="25"/>
      <c r="J297" s="25"/>
      <c r="K297" s="25"/>
    </row>
    <row r="298">
      <c r="I298" s="25"/>
      <c r="J298" s="25"/>
      <c r="K298" s="25"/>
    </row>
    <row r="299">
      <c r="I299" s="25"/>
      <c r="J299" s="25"/>
      <c r="K299" s="25"/>
    </row>
    <row r="300">
      <c r="I300" s="25"/>
      <c r="J300" s="25"/>
      <c r="K300" s="25"/>
    </row>
    <row r="301">
      <c r="I301" s="25"/>
      <c r="J301" s="25"/>
      <c r="K301" s="25"/>
    </row>
    <row r="302">
      <c r="I302" s="25"/>
      <c r="J302" s="25"/>
      <c r="K302" s="25"/>
    </row>
    <row r="303">
      <c r="I303" s="25"/>
      <c r="J303" s="25"/>
      <c r="K303" s="25"/>
    </row>
    <row r="304">
      <c r="I304" s="25"/>
      <c r="J304" s="25"/>
      <c r="K304" s="25"/>
    </row>
    <row r="305">
      <c r="I305" s="25"/>
      <c r="J305" s="25"/>
      <c r="K305" s="25"/>
    </row>
    <row r="306">
      <c r="I306" s="25"/>
      <c r="J306" s="25"/>
      <c r="K306" s="25"/>
    </row>
    <row r="307">
      <c r="I307" s="25"/>
      <c r="J307" s="25"/>
      <c r="K307" s="25"/>
    </row>
    <row r="308">
      <c r="I308" s="25"/>
      <c r="J308" s="25"/>
      <c r="K308" s="25"/>
    </row>
    <row r="309">
      <c r="I309" s="25"/>
      <c r="J309" s="25"/>
      <c r="K309" s="25"/>
    </row>
    <row r="310">
      <c r="I310" s="25"/>
      <c r="J310" s="25"/>
      <c r="K310" s="25"/>
    </row>
    <row r="311">
      <c r="I311" s="25"/>
      <c r="J311" s="25"/>
      <c r="K311" s="25"/>
    </row>
    <row r="312">
      <c r="I312" s="25"/>
      <c r="J312" s="25"/>
      <c r="K312" s="25"/>
    </row>
    <row r="313">
      <c r="I313" s="25"/>
      <c r="J313" s="25"/>
      <c r="K313" s="25"/>
    </row>
    <row r="314">
      <c r="I314" s="25"/>
      <c r="J314" s="25"/>
      <c r="K314" s="25"/>
    </row>
    <row r="315">
      <c r="I315" s="25"/>
      <c r="J315" s="25"/>
      <c r="K315" s="25"/>
    </row>
    <row r="316">
      <c r="I316" s="25"/>
      <c r="J316" s="25"/>
      <c r="K316" s="25"/>
    </row>
    <row r="317">
      <c r="I317" s="25"/>
      <c r="J317" s="25"/>
      <c r="K317" s="25"/>
    </row>
    <row r="318">
      <c r="I318" s="25"/>
      <c r="J318" s="25"/>
      <c r="K318" s="25"/>
    </row>
    <row r="319">
      <c r="I319" s="25"/>
      <c r="J319" s="25"/>
      <c r="K319" s="25"/>
    </row>
    <row r="320">
      <c r="I320" s="25"/>
      <c r="J320" s="25"/>
      <c r="K320" s="25"/>
    </row>
    <row r="321">
      <c r="I321" s="25"/>
      <c r="J321" s="25"/>
      <c r="K321" s="25"/>
    </row>
    <row r="322">
      <c r="I322" s="25"/>
      <c r="J322" s="25"/>
      <c r="K322" s="25"/>
    </row>
    <row r="323">
      <c r="I323" s="25"/>
      <c r="J323" s="25"/>
      <c r="K323" s="25"/>
    </row>
    <row r="324">
      <c r="I324" s="25"/>
      <c r="J324" s="25"/>
      <c r="K324" s="25"/>
    </row>
    <row r="325">
      <c r="I325" s="25"/>
      <c r="J325" s="25"/>
      <c r="K325" s="25"/>
    </row>
    <row r="326">
      <c r="I326" s="25"/>
      <c r="J326" s="25"/>
      <c r="K326" s="25"/>
    </row>
    <row r="327">
      <c r="I327" s="25"/>
      <c r="J327" s="25"/>
      <c r="K327" s="25"/>
    </row>
    <row r="328">
      <c r="I328" s="25"/>
      <c r="J328" s="25"/>
      <c r="K328" s="25"/>
    </row>
    <row r="329">
      <c r="I329" s="25"/>
      <c r="J329" s="25"/>
      <c r="K329" s="25"/>
    </row>
    <row r="330">
      <c r="I330" s="25"/>
      <c r="J330" s="25"/>
      <c r="K330" s="25"/>
    </row>
    <row r="331">
      <c r="I331" s="25"/>
      <c r="J331" s="25"/>
      <c r="K331" s="25"/>
    </row>
    <row r="332">
      <c r="I332" s="25"/>
      <c r="J332" s="25"/>
      <c r="K332" s="25"/>
    </row>
    <row r="333">
      <c r="I333" s="25"/>
      <c r="J333" s="25"/>
      <c r="K333" s="25"/>
    </row>
    <row r="334">
      <c r="I334" s="25"/>
      <c r="J334" s="25"/>
      <c r="K334" s="25"/>
    </row>
    <row r="335">
      <c r="I335" s="25"/>
      <c r="J335" s="25"/>
      <c r="K335" s="25"/>
    </row>
    <row r="336">
      <c r="I336" s="25"/>
      <c r="J336" s="25"/>
      <c r="K336" s="25"/>
    </row>
    <row r="337">
      <c r="I337" s="25"/>
      <c r="J337" s="25"/>
      <c r="K337" s="25"/>
    </row>
    <row r="338">
      <c r="I338" s="25"/>
      <c r="J338" s="25"/>
      <c r="K338" s="25"/>
    </row>
    <row r="339">
      <c r="I339" s="25"/>
      <c r="J339" s="25"/>
      <c r="K339" s="25"/>
    </row>
    <row r="340">
      <c r="I340" s="25"/>
      <c r="J340" s="25"/>
      <c r="K340" s="25"/>
    </row>
    <row r="341">
      <c r="I341" s="25"/>
      <c r="J341" s="25"/>
      <c r="K341" s="25"/>
    </row>
    <row r="342">
      <c r="I342" s="25"/>
      <c r="J342" s="25"/>
      <c r="K342" s="25"/>
    </row>
    <row r="343">
      <c r="I343" s="25"/>
      <c r="J343" s="25"/>
      <c r="K343" s="25"/>
    </row>
    <row r="344">
      <c r="I344" s="25"/>
      <c r="J344" s="25"/>
      <c r="K344" s="25"/>
    </row>
    <row r="345">
      <c r="I345" s="25"/>
      <c r="J345" s="25"/>
      <c r="K345" s="25"/>
    </row>
    <row r="346">
      <c r="I346" s="25"/>
      <c r="J346" s="25"/>
      <c r="K346" s="25"/>
    </row>
    <row r="347">
      <c r="I347" s="25"/>
      <c r="J347" s="25"/>
      <c r="K347" s="25"/>
    </row>
    <row r="348">
      <c r="I348" s="25"/>
      <c r="J348" s="25"/>
      <c r="K348" s="25"/>
    </row>
    <row r="349">
      <c r="I349" s="25"/>
      <c r="J349" s="25"/>
      <c r="K349" s="25"/>
    </row>
    <row r="350">
      <c r="I350" s="25"/>
      <c r="J350" s="25"/>
      <c r="K350" s="25"/>
    </row>
    <row r="351">
      <c r="I351" s="25"/>
      <c r="J351" s="25"/>
      <c r="K351" s="25"/>
    </row>
    <row r="352">
      <c r="I352" s="25"/>
      <c r="J352" s="25"/>
      <c r="K352" s="25"/>
    </row>
    <row r="353">
      <c r="I353" s="25"/>
      <c r="J353" s="25"/>
      <c r="K353" s="25"/>
    </row>
    <row r="354">
      <c r="I354" s="25"/>
      <c r="J354" s="25"/>
      <c r="K354" s="25"/>
    </row>
    <row r="355">
      <c r="I355" s="25"/>
      <c r="J355" s="25"/>
      <c r="K355" s="25"/>
    </row>
    <row r="356">
      <c r="I356" s="25"/>
      <c r="J356" s="25"/>
      <c r="K356" s="25"/>
    </row>
    <row r="357">
      <c r="I357" s="25"/>
      <c r="J357" s="25"/>
      <c r="K357" s="25"/>
    </row>
    <row r="358">
      <c r="I358" s="25"/>
      <c r="J358" s="25"/>
      <c r="K358" s="25"/>
    </row>
    <row r="359">
      <c r="I359" s="25"/>
      <c r="J359" s="25"/>
      <c r="K359" s="25"/>
    </row>
    <row r="360">
      <c r="I360" s="25"/>
      <c r="J360" s="25"/>
      <c r="K360" s="25"/>
    </row>
    <row r="361">
      <c r="I361" s="25"/>
      <c r="J361" s="25"/>
      <c r="K361" s="25"/>
    </row>
    <row r="362">
      <c r="I362" s="25"/>
      <c r="J362" s="25"/>
      <c r="K362" s="25"/>
    </row>
    <row r="363">
      <c r="I363" s="25"/>
      <c r="J363" s="25"/>
      <c r="K363" s="25"/>
    </row>
    <row r="364">
      <c r="I364" s="25"/>
      <c r="J364" s="25"/>
      <c r="K364" s="25"/>
    </row>
    <row r="365">
      <c r="I365" s="25"/>
      <c r="J365" s="25"/>
      <c r="K365" s="25"/>
    </row>
    <row r="366">
      <c r="I366" s="25"/>
      <c r="J366" s="25"/>
      <c r="K366" s="25"/>
    </row>
    <row r="367">
      <c r="I367" s="25"/>
      <c r="J367" s="25"/>
      <c r="K367" s="25"/>
    </row>
    <row r="368">
      <c r="I368" s="25"/>
      <c r="J368" s="25"/>
      <c r="K368" s="25"/>
    </row>
    <row r="369">
      <c r="I369" s="25"/>
      <c r="J369" s="25"/>
      <c r="K369" s="25"/>
    </row>
    <row r="370">
      <c r="I370" s="25"/>
      <c r="J370" s="25"/>
      <c r="K370" s="25"/>
    </row>
    <row r="371">
      <c r="I371" s="25"/>
      <c r="J371" s="25"/>
      <c r="K371" s="25"/>
    </row>
    <row r="372">
      <c r="I372" s="25"/>
      <c r="J372" s="25"/>
      <c r="K372" s="25"/>
    </row>
    <row r="373">
      <c r="I373" s="25"/>
      <c r="J373" s="25"/>
      <c r="K373" s="25"/>
    </row>
    <row r="374">
      <c r="I374" s="25"/>
      <c r="J374" s="25"/>
      <c r="K374" s="25"/>
    </row>
    <row r="375">
      <c r="I375" s="25"/>
      <c r="J375" s="25"/>
      <c r="K375" s="25"/>
    </row>
    <row r="376">
      <c r="I376" s="25"/>
      <c r="J376" s="25"/>
      <c r="K376" s="25"/>
    </row>
    <row r="377">
      <c r="I377" s="25"/>
      <c r="J377" s="25"/>
      <c r="K377" s="25"/>
    </row>
    <row r="378">
      <c r="I378" s="25"/>
      <c r="J378" s="25"/>
      <c r="K378" s="25"/>
    </row>
    <row r="379">
      <c r="I379" s="25"/>
      <c r="J379" s="25"/>
      <c r="K379" s="25"/>
    </row>
    <row r="380">
      <c r="I380" s="25"/>
      <c r="J380" s="25"/>
      <c r="K380" s="25"/>
    </row>
    <row r="381">
      <c r="I381" s="25"/>
      <c r="J381" s="25"/>
      <c r="K381" s="25"/>
    </row>
    <row r="382">
      <c r="I382" s="25"/>
      <c r="J382" s="25"/>
      <c r="K382" s="25"/>
    </row>
    <row r="383">
      <c r="I383" s="25"/>
      <c r="J383" s="25"/>
      <c r="K383" s="25"/>
    </row>
    <row r="384">
      <c r="I384" s="25"/>
      <c r="J384" s="25"/>
      <c r="K384" s="25"/>
    </row>
    <row r="385">
      <c r="I385" s="25"/>
      <c r="J385" s="25"/>
      <c r="K385" s="25"/>
    </row>
    <row r="386">
      <c r="I386" s="25"/>
      <c r="J386" s="25"/>
      <c r="K386" s="25"/>
    </row>
    <row r="387">
      <c r="I387" s="25"/>
      <c r="J387" s="25"/>
      <c r="K387" s="25"/>
    </row>
    <row r="388">
      <c r="I388" s="25"/>
      <c r="J388" s="25"/>
      <c r="K388" s="25"/>
    </row>
    <row r="389">
      <c r="I389" s="25"/>
      <c r="J389" s="25"/>
      <c r="K389" s="25"/>
    </row>
    <row r="390">
      <c r="I390" s="25"/>
      <c r="J390" s="25"/>
      <c r="K390" s="25"/>
    </row>
    <row r="391">
      <c r="I391" s="25"/>
      <c r="J391" s="25"/>
      <c r="K391" s="25"/>
    </row>
    <row r="392">
      <c r="I392" s="25"/>
      <c r="J392" s="25"/>
      <c r="K392" s="25"/>
    </row>
    <row r="393">
      <c r="I393" s="25"/>
      <c r="J393" s="25"/>
      <c r="K393" s="25"/>
    </row>
    <row r="394">
      <c r="I394" s="25"/>
      <c r="J394" s="25"/>
      <c r="K394" s="25"/>
    </row>
    <row r="395">
      <c r="I395" s="25"/>
      <c r="J395" s="25"/>
      <c r="K395" s="25"/>
    </row>
    <row r="396">
      <c r="I396" s="25"/>
      <c r="J396" s="25"/>
      <c r="K396" s="25"/>
    </row>
    <row r="397">
      <c r="I397" s="25"/>
      <c r="J397" s="25"/>
      <c r="K397" s="25"/>
    </row>
    <row r="398">
      <c r="I398" s="25"/>
      <c r="J398" s="25"/>
      <c r="K398" s="25"/>
    </row>
    <row r="399">
      <c r="I399" s="25"/>
      <c r="J399" s="25"/>
      <c r="K399" s="25"/>
    </row>
    <row r="400">
      <c r="I400" s="25"/>
      <c r="J400" s="25"/>
      <c r="K400" s="25"/>
    </row>
    <row r="401">
      <c r="I401" s="25"/>
      <c r="J401" s="25"/>
      <c r="K401" s="25"/>
    </row>
    <row r="402">
      <c r="I402" s="25"/>
      <c r="J402" s="25"/>
      <c r="K402" s="25"/>
    </row>
    <row r="403">
      <c r="I403" s="25"/>
      <c r="J403" s="25"/>
      <c r="K403" s="25"/>
    </row>
    <row r="404">
      <c r="I404" s="25"/>
      <c r="J404" s="25"/>
      <c r="K404" s="25"/>
    </row>
    <row r="405">
      <c r="I405" s="25"/>
      <c r="J405" s="25"/>
      <c r="K405" s="25"/>
    </row>
    <row r="406">
      <c r="I406" s="25"/>
      <c r="J406" s="25"/>
      <c r="K406" s="25"/>
    </row>
    <row r="407">
      <c r="I407" s="25"/>
      <c r="J407" s="25"/>
      <c r="K407" s="25"/>
    </row>
    <row r="408">
      <c r="I408" s="25"/>
      <c r="J408" s="25"/>
      <c r="K408" s="25"/>
    </row>
    <row r="409">
      <c r="I409" s="25"/>
      <c r="J409" s="25"/>
      <c r="K409" s="25"/>
    </row>
    <row r="410">
      <c r="I410" s="25"/>
      <c r="J410" s="25"/>
      <c r="K410" s="25"/>
    </row>
    <row r="411">
      <c r="I411" s="25"/>
      <c r="J411" s="25"/>
      <c r="K411" s="25"/>
    </row>
    <row r="412">
      <c r="I412" s="25"/>
      <c r="J412" s="25"/>
      <c r="K412" s="25"/>
    </row>
    <row r="413">
      <c r="I413" s="25"/>
      <c r="J413" s="25"/>
      <c r="K413" s="25"/>
    </row>
    <row r="414">
      <c r="I414" s="25"/>
      <c r="J414" s="25"/>
      <c r="K414" s="25"/>
    </row>
    <row r="415">
      <c r="I415" s="25"/>
      <c r="J415" s="25"/>
      <c r="K415" s="25"/>
    </row>
    <row r="416">
      <c r="I416" s="25"/>
      <c r="J416" s="25"/>
      <c r="K416" s="25"/>
    </row>
    <row r="417">
      <c r="I417" s="25"/>
      <c r="J417" s="25"/>
      <c r="K417" s="25"/>
    </row>
    <row r="418">
      <c r="I418" s="25"/>
      <c r="J418" s="25"/>
      <c r="K418" s="25"/>
    </row>
    <row r="419">
      <c r="I419" s="25"/>
      <c r="J419" s="25"/>
      <c r="K419" s="25"/>
    </row>
    <row r="420">
      <c r="I420" s="25"/>
      <c r="J420" s="25"/>
      <c r="K420" s="25"/>
    </row>
    <row r="421">
      <c r="I421" s="25"/>
      <c r="J421" s="25"/>
      <c r="K421" s="25"/>
    </row>
    <row r="422">
      <c r="I422" s="25"/>
      <c r="J422" s="25"/>
      <c r="K422" s="25"/>
    </row>
    <row r="423">
      <c r="I423" s="25"/>
      <c r="J423" s="25"/>
      <c r="K423" s="25"/>
    </row>
    <row r="424">
      <c r="I424" s="25"/>
      <c r="J424" s="25"/>
      <c r="K424" s="25"/>
    </row>
    <row r="425">
      <c r="I425" s="25"/>
      <c r="J425" s="25"/>
      <c r="K425" s="25"/>
    </row>
    <row r="426">
      <c r="I426" s="25"/>
      <c r="J426" s="25"/>
      <c r="K426" s="25"/>
    </row>
    <row r="427">
      <c r="I427" s="25"/>
      <c r="J427" s="25"/>
      <c r="K427" s="25"/>
    </row>
    <row r="428">
      <c r="I428" s="25"/>
      <c r="J428" s="25"/>
      <c r="K428" s="25"/>
    </row>
    <row r="429">
      <c r="I429" s="25"/>
      <c r="J429" s="25"/>
      <c r="K429" s="25"/>
    </row>
    <row r="430">
      <c r="I430" s="25"/>
      <c r="J430" s="25"/>
      <c r="K430" s="25"/>
    </row>
    <row r="431">
      <c r="I431" s="25"/>
      <c r="J431" s="25"/>
      <c r="K431" s="25"/>
    </row>
    <row r="432">
      <c r="I432" s="25"/>
      <c r="J432" s="25"/>
      <c r="K432" s="25"/>
    </row>
    <row r="433">
      <c r="I433" s="25"/>
      <c r="J433" s="25"/>
      <c r="K433" s="25"/>
    </row>
    <row r="434">
      <c r="I434" s="25"/>
      <c r="J434" s="25"/>
      <c r="K434" s="25"/>
    </row>
    <row r="435">
      <c r="I435" s="25"/>
      <c r="J435" s="25"/>
      <c r="K435" s="25"/>
    </row>
    <row r="436">
      <c r="I436" s="25"/>
      <c r="J436" s="25"/>
      <c r="K436" s="25"/>
    </row>
    <row r="437">
      <c r="I437" s="25"/>
      <c r="J437" s="25"/>
      <c r="K437" s="25"/>
    </row>
    <row r="438">
      <c r="I438" s="25"/>
      <c r="J438" s="25"/>
      <c r="K438" s="25"/>
    </row>
    <row r="439">
      <c r="I439" s="25"/>
      <c r="J439" s="25"/>
      <c r="K439" s="25"/>
    </row>
    <row r="440">
      <c r="I440" s="25"/>
      <c r="J440" s="25"/>
      <c r="K440" s="25"/>
    </row>
    <row r="441">
      <c r="I441" s="25"/>
      <c r="J441" s="25"/>
      <c r="K441" s="25"/>
    </row>
    <row r="442">
      <c r="I442" s="25"/>
      <c r="J442" s="25"/>
      <c r="K442" s="25"/>
    </row>
    <row r="443">
      <c r="I443" s="25"/>
      <c r="J443" s="25"/>
      <c r="K443" s="25"/>
    </row>
    <row r="444">
      <c r="I444" s="25"/>
      <c r="J444" s="25"/>
      <c r="K444" s="25"/>
    </row>
    <row r="445">
      <c r="I445" s="25"/>
      <c r="J445" s="25"/>
      <c r="K445" s="25"/>
    </row>
    <row r="446">
      <c r="I446" s="25"/>
      <c r="J446" s="25"/>
      <c r="K446" s="25"/>
    </row>
    <row r="447">
      <c r="I447" s="25"/>
      <c r="J447" s="25"/>
      <c r="K447" s="25"/>
    </row>
    <row r="448">
      <c r="I448" s="25"/>
      <c r="J448" s="25"/>
      <c r="K448" s="25"/>
    </row>
    <row r="449">
      <c r="I449" s="25"/>
      <c r="J449" s="25"/>
      <c r="K449" s="25"/>
    </row>
    <row r="450">
      <c r="I450" s="25"/>
      <c r="J450" s="25"/>
      <c r="K450" s="25"/>
    </row>
    <row r="451">
      <c r="I451" s="25"/>
      <c r="J451" s="25"/>
      <c r="K451" s="25"/>
    </row>
    <row r="452">
      <c r="I452" s="25"/>
      <c r="J452" s="25"/>
      <c r="K452" s="25"/>
    </row>
    <row r="453">
      <c r="I453" s="25"/>
      <c r="J453" s="25"/>
      <c r="K453" s="25"/>
    </row>
    <row r="454">
      <c r="I454" s="25"/>
      <c r="J454" s="25"/>
      <c r="K454" s="25"/>
    </row>
    <row r="455">
      <c r="I455" s="25"/>
      <c r="J455" s="25"/>
      <c r="K455" s="25"/>
    </row>
    <row r="456">
      <c r="I456" s="25"/>
      <c r="J456" s="25"/>
      <c r="K456" s="25"/>
    </row>
    <row r="457">
      <c r="I457" s="25"/>
      <c r="J457" s="25"/>
      <c r="K457" s="25"/>
    </row>
    <row r="458">
      <c r="I458" s="25"/>
      <c r="J458" s="25"/>
      <c r="K458" s="25"/>
    </row>
    <row r="459">
      <c r="I459" s="25"/>
      <c r="J459" s="25"/>
      <c r="K459" s="25"/>
    </row>
    <row r="460">
      <c r="I460" s="25"/>
      <c r="J460" s="25"/>
      <c r="K460" s="25"/>
    </row>
    <row r="461">
      <c r="I461" s="25"/>
      <c r="J461" s="25"/>
      <c r="K461" s="25"/>
    </row>
    <row r="462">
      <c r="I462" s="25"/>
      <c r="J462" s="25"/>
      <c r="K462" s="25"/>
    </row>
    <row r="463">
      <c r="I463" s="25"/>
      <c r="J463" s="25"/>
      <c r="K463" s="25"/>
    </row>
    <row r="464">
      <c r="I464" s="25"/>
      <c r="J464" s="25"/>
      <c r="K464" s="25"/>
    </row>
    <row r="465">
      <c r="I465" s="25"/>
      <c r="J465" s="25"/>
      <c r="K465" s="25"/>
    </row>
    <row r="466">
      <c r="I466" s="25"/>
      <c r="J466" s="25"/>
      <c r="K466" s="25"/>
    </row>
    <row r="467">
      <c r="I467" s="25"/>
      <c r="J467" s="25"/>
      <c r="K467" s="25"/>
    </row>
    <row r="468">
      <c r="I468" s="25"/>
      <c r="J468" s="25"/>
      <c r="K468" s="25"/>
    </row>
    <row r="469">
      <c r="I469" s="25"/>
      <c r="J469" s="25"/>
      <c r="K469" s="25"/>
    </row>
    <row r="470">
      <c r="I470" s="25"/>
      <c r="J470" s="25"/>
      <c r="K470" s="25"/>
    </row>
    <row r="471">
      <c r="I471" s="25"/>
      <c r="J471" s="25"/>
      <c r="K471" s="25"/>
    </row>
    <row r="472">
      <c r="I472" s="25"/>
      <c r="J472" s="25"/>
      <c r="K472" s="25"/>
    </row>
    <row r="473">
      <c r="I473" s="25"/>
      <c r="J473" s="25"/>
      <c r="K473" s="25"/>
    </row>
    <row r="474">
      <c r="I474" s="25"/>
      <c r="J474" s="25"/>
      <c r="K474" s="25"/>
    </row>
    <row r="475">
      <c r="I475" s="25"/>
      <c r="J475" s="25"/>
      <c r="K475" s="25"/>
    </row>
    <row r="476">
      <c r="I476" s="25"/>
      <c r="J476" s="25"/>
      <c r="K476" s="25"/>
    </row>
    <row r="477">
      <c r="I477" s="25"/>
      <c r="J477" s="25"/>
      <c r="K477" s="25"/>
    </row>
    <row r="478">
      <c r="I478" s="25"/>
      <c r="J478" s="25"/>
      <c r="K478" s="25"/>
    </row>
    <row r="479">
      <c r="I479" s="25"/>
      <c r="J479" s="25"/>
      <c r="K479" s="25"/>
    </row>
    <row r="480">
      <c r="I480" s="25"/>
      <c r="J480" s="25"/>
      <c r="K480" s="25"/>
    </row>
    <row r="481">
      <c r="I481" s="25"/>
      <c r="J481" s="25"/>
      <c r="K481" s="25"/>
    </row>
    <row r="482">
      <c r="I482" s="25"/>
      <c r="J482" s="25"/>
      <c r="K482" s="25"/>
    </row>
    <row r="483">
      <c r="I483" s="25"/>
      <c r="J483" s="25"/>
      <c r="K483" s="25"/>
    </row>
    <row r="484">
      <c r="I484" s="25"/>
      <c r="J484" s="25"/>
      <c r="K484" s="25"/>
    </row>
    <row r="485">
      <c r="I485" s="25"/>
      <c r="J485" s="25"/>
      <c r="K485" s="25"/>
    </row>
    <row r="486">
      <c r="I486" s="25"/>
      <c r="J486" s="25"/>
      <c r="K486" s="25"/>
    </row>
    <row r="487">
      <c r="I487" s="25"/>
      <c r="J487" s="25"/>
      <c r="K487" s="25"/>
    </row>
    <row r="488">
      <c r="I488" s="25"/>
      <c r="J488" s="25"/>
      <c r="K488" s="25"/>
    </row>
    <row r="489">
      <c r="I489" s="25"/>
      <c r="J489" s="25"/>
      <c r="K489" s="25"/>
    </row>
    <row r="490">
      <c r="I490" s="25"/>
      <c r="J490" s="25"/>
      <c r="K490" s="25"/>
    </row>
    <row r="491">
      <c r="I491" s="25"/>
      <c r="J491" s="25"/>
      <c r="K491" s="25"/>
    </row>
    <row r="492">
      <c r="I492" s="25"/>
      <c r="J492" s="25"/>
      <c r="K492" s="25"/>
    </row>
    <row r="493">
      <c r="I493" s="25"/>
      <c r="J493" s="25"/>
      <c r="K493" s="25"/>
    </row>
    <row r="494">
      <c r="I494" s="25"/>
      <c r="J494" s="25"/>
      <c r="K494" s="25"/>
    </row>
    <row r="495">
      <c r="I495" s="25"/>
      <c r="J495" s="25"/>
      <c r="K495" s="25"/>
    </row>
    <row r="496">
      <c r="I496" s="25"/>
      <c r="J496" s="25"/>
      <c r="K496" s="25"/>
    </row>
    <row r="497">
      <c r="I497" s="25"/>
      <c r="J497" s="25"/>
      <c r="K497" s="25"/>
    </row>
    <row r="498">
      <c r="I498" s="25"/>
      <c r="J498" s="25"/>
      <c r="K498" s="25"/>
    </row>
    <row r="499">
      <c r="I499" s="25"/>
      <c r="J499" s="25"/>
      <c r="K499" s="25"/>
    </row>
    <row r="500">
      <c r="I500" s="25"/>
      <c r="J500" s="25"/>
      <c r="K500" s="25"/>
    </row>
    <row r="501">
      <c r="I501" s="25"/>
      <c r="J501" s="25"/>
      <c r="K501" s="25"/>
    </row>
    <row r="502">
      <c r="I502" s="25"/>
      <c r="J502" s="25"/>
      <c r="K502" s="25"/>
    </row>
    <row r="503">
      <c r="I503" s="25"/>
      <c r="J503" s="25"/>
      <c r="K503" s="25"/>
    </row>
    <row r="504">
      <c r="I504" s="25"/>
      <c r="J504" s="25"/>
      <c r="K504" s="25"/>
    </row>
    <row r="505">
      <c r="I505" s="25"/>
      <c r="J505" s="25"/>
      <c r="K505" s="25"/>
    </row>
    <row r="506">
      <c r="I506" s="25"/>
      <c r="J506" s="25"/>
      <c r="K506" s="25"/>
    </row>
    <row r="507">
      <c r="I507" s="25"/>
      <c r="J507" s="25"/>
      <c r="K507" s="25"/>
    </row>
    <row r="508">
      <c r="I508" s="25"/>
      <c r="J508" s="25"/>
      <c r="K508" s="25"/>
    </row>
    <row r="509">
      <c r="I509" s="25"/>
      <c r="J509" s="25"/>
      <c r="K509" s="25"/>
    </row>
    <row r="510">
      <c r="I510" s="25"/>
      <c r="J510" s="25"/>
      <c r="K510" s="25"/>
    </row>
    <row r="511">
      <c r="I511" s="25"/>
      <c r="J511" s="25"/>
      <c r="K511" s="25"/>
    </row>
    <row r="512">
      <c r="I512" s="25"/>
      <c r="J512" s="25"/>
      <c r="K512" s="25"/>
    </row>
    <row r="513">
      <c r="I513" s="25"/>
      <c r="J513" s="25"/>
      <c r="K513" s="25"/>
    </row>
    <row r="514">
      <c r="I514" s="25"/>
      <c r="J514" s="25"/>
      <c r="K514" s="25"/>
    </row>
    <row r="515">
      <c r="I515" s="25"/>
      <c r="J515" s="25"/>
      <c r="K515" s="25"/>
    </row>
    <row r="516">
      <c r="I516" s="25"/>
      <c r="J516" s="25"/>
      <c r="K516" s="25"/>
    </row>
    <row r="517">
      <c r="I517" s="25"/>
      <c r="J517" s="25"/>
      <c r="K517" s="25"/>
    </row>
    <row r="518">
      <c r="I518" s="25"/>
      <c r="J518" s="25"/>
      <c r="K518" s="25"/>
    </row>
    <row r="519">
      <c r="I519" s="25"/>
      <c r="J519" s="25"/>
      <c r="K519" s="25"/>
    </row>
    <row r="520">
      <c r="I520" s="25"/>
      <c r="J520" s="25"/>
      <c r="K520" s="25"/>
    </row>
    <row r="521">
      <c r="I521" s="25"/>
      <c r="J521" s="25"/>
      <c r="K521" s="25"/>
    </row>
    <row r="522">
      <c r="I522" s="25"/>
      <c r="J522" s="25"/>
      <c r="K522" s="25"/>
    </row>
    <row r="523">
      <c r="I523" s="25"/>
      <c r="J523" s="25"/>
      <c r="K523" s="25"/>
    </row>
    <row r="524">
      <c r="I524" s="25"/>
      <c r="J524" s="25"/>
      <c r="K524" s="25"/>
    </row>
    <row r="525">
      <c r="I525" s="25"/>
      <c r="J525" s="25"/>
      <c r="K525" s="25"/>
    </row>
    <row r="526">
      <c r="I526" s="25"/>
      <c r="J526" s="25"/>
      <c r="K526" s="25"/>
    </row>
    <row r="527">
      <c r="I527" s="25"/>
      <c r="J527" s="25"/>
      <c r="K527" s="25"/>
    </row>
    <row r="528">
      <c r="I528" s="25"/>
      <c r="J528" s="25"/>
      <c r="K528" s="25"/>
    </row>
    <row r="529">
      <c r="I529" s="25"/>
      <c r="J529" s="25"/>
      <c r="K529" s="25"/>
    </row>
    <row r="530">
      <c r="I530" s="25"/>
      <c r="J530" s="25"/>
      <c r="K530" s="25"/>
    </row>
    <row r="531">
      <c r="I531" s="25"/>
      <c r="J531" s="25"/>
      <c r="K531" s="25"/>
    </row>
    <row r="532">
      <c r="I532" s="25"/>
      <c r="J532" s="25"/>
      <c r="K532" s="25"/>
    </row>
    <row r="533">
      <c r="I533" s="25"/>
      <c r="J533" s="25"/>
      <c r="K533" s="25"/>
    </row>
    <row r="534">
      <c r="I534" s="25"/>
      <c r="J534" s="25"/>
      <c r="K534" s="25"/>
    </row>
    <row r="535">
      <c r="I535" s="25"/>
      <c r="J535" s="25"/>
      <c r="K535" s="25"/>
    </row>
    <row r="536">
      <c r="I536" s="25"/>
      <c r="J536" s="25"/>
      <c r="K536" s="25"/>
    </row>
    <row r="537">
      <c r="I537" s="25"/>
      <c r="J537" s="25"/>
      <c r="K537" s="25"/>
    </row>
    <row r="538">
      <c r="I538" s="25"/>
      <c r="J538" s="25"/>
      <c r="K538" s="25"/>
    </row>
    <row r="539">
      <c r="I539" s="25"/>
      <c r="J539" s="25"/>
      <c r="K539" s="25"/>
    </row>
    <row r="540">
      <c r="I540" s="25"/>
      <c r="J540" s="25"/>
      <c r="K540" s="25"/>
    </row>
    <row r="541">
      <c r="I541" s="25"/>
      <c r="J541" s="25"/>
      <c r="K541" s="25"/>
    </row>
    <row r="542">
      <c r="I542" s="25"/>
      <c r="J542" s="25"/>
      <c r="K542" s="25"/>
    </row>
    <row r="543">
      <c r="I543" s="25"/>
      <c r="J543" s="25"/>
      <c r="K543" s="25"/>
    </row>
    <row r="544">
      <c r="I544" s="25"/>
      <c r="J544" s="25"/>
      <c r="K544" s="25"/>
    </row>
    <row r="545">
      <c r="I545" s="25"/>
      <c r="J545" s="25"/>
      <c r="K545" s="25"/>
    </row>
    <row r="546">
      <c r="I546" s="25"/>
      <c r="J546" s="25"/>
      <c r="K546" s="25"/>
    </row>
    <row r="547">
      <c r="I547" s="25"/>
      <c r="J547" s="25"/>
      <c r="K547" s="25"/>
    </row>
    <row r="548">
      <c r="I548" s="25"/>
      <c r="J548" s="25"/>
      <c r="K548" s="25"/>
    </row>
    <row r="549">
      <c r="I549" s="25"/>
      <c r="J549" s="25"/>
      <c r="K549" s="25"/>
    </row>
    <row r="550">
      <c r="I550" s="25"/>
      <c r="J550" s="25"/>
      <c r="K550" s="25"/>
    </row>
    <row r="551">
      <c r="I551" s="25"/>
      <c r="J551" s="25"/>
      <c r="K551" s="25"/>
    </row>
    <row r="552">
      <c r="I552" s="25"/>
      <c r="J552" s="25"/>
      <c r="K552" s="25"/>
    </row>
    <row r="553">
      <c r="I553" s="25"/>
      <c r="J553" s="25"/>
      <c r="K553" s="25"/>
    </row>
    <row r="554">
      <c r="I554" s="25"/>
      <c r="J554" s="25"/>
      <c r="K554" s="25"/>
    </row>
    <row r="555">
      <c r="I555" s="25"/>
      <c r="J555" s="25"/>
      <c r="K555" s="25"/>
    </row>
    <row r="556">
      <c r="I556" s="25"/>
      <c r="J556" s="25"/>
      <c r="K556" s="25"/>
    </row>
    <row r="557">
      <c r="I557" s="25"/>
      <c r="J557" s="25"/>
      <c r="K557" s="25"/>
    </row>
    <row r="558">
      <c r="I558" s="25"/>
      <c r="J558" s="25"/>
      <c r="K558" s="25"/>
    </row>
    <row r="559">
      <c r="I559" s="25"/>
      <c r="J559" s="25"/>
      <c r="K559" s="25"/>
    </row>
    <row r="560">
      <c r="I560" s="25"/>
      <c r="J560" s="25"/>
      <c r="K560" s="25"/>
    </row>
    <row r="561">
      <c r="I561" s="25"/>
      <c r="J561" s="25"/>
      <c r="K561" s="25"/>
    </row>
    <row r="562">
      <c r="I562" s="25"/>
      <c r="J562" s="25"/>
      <c r="K562" s="25"/>
    </row>
    <row r="563">
      <c r="I563" s="25"/>
      <c r="J563" s="25"/>
      <c r="K563" s="25"/>
    </row>
    <row r="564">
      <c r="I564" s="25"/>
      <c r="J564" s="25"/>
      <c r="K564" s="25"/>
    </row>
    <row r="565">
      <c r="I565" s="25"/>
      <c r="J565" s="25"/>
      <c r="K565" s="25"/>
    </row>
    <row r="566">
      <c r="I566" s="25"/>
      <c r="J566" s="25"/>
      <c r="K566" s="25"/>
    </row>
    <row r="567">
      <c r="I567" s="25"/>
      <c r="J567" s="25"/>
      <c r="K567" s="25"/>
    </row>
    <row r="568">
      <c r="I568" s="25"/>
      <c r="J568" s="25"/>
      <c r="K568" s="25"/>
    </row>
    <row r="569">
      <c r="I569" s="25"/>
      <c r="J569" s="25"/>
      <c r="K569" s="25"/>
    </row>
    <row r="570">
      <c r="I570" s="25"/>
      <c r="J570" s="25"/>
      <c r="K570" s="25"/>
    </row>
    <row r="571">
      <c r="I571" s="25"/>
      <c r="J571" s="25"/>
      <c r="K571" s="25"/>
    </row>
    <row r="572">
      <c r="I572" s="25"/>
      <c r="J572" s="25"/>
      <c r="K572" s="25"/>
    </row>
    <row r="573">
      <c r="I573" s="25"/>
      <c r="J573" s="25"/>
      <c r="K573" s="25"/>
    </row>
    <row r="574">
      <c r="I574" s="25"/>
      <c r="J574" s="25"/>
      <c r="K574" s="25"/>
    </row>
    <row r="575">
      <c r="I575" s="25"/>
      <c r="J575" s="25"/>
      <c r="K575" s="25"/>
    </row>
    <row r="576">
      <c r="I576" s="25"/>
      <c r="J576" s="25"/>
      <c r="K576" s="25"/>
    </row>
    <row r="577">
      <c r="I577" s="25"/>
      <c r="J577" s="25"/>
      <c r="K577" s="25"/>
    </row>
    <row r="578">
      <c r="I578" s="25"/>
      <c r="J578" s="25"/>
      <c r="K578" s="25"/>
    </row>
    <row r="579">
      <c r="I579" s="25"/>
      <c r="J579" s="25"/>
      <c r="K579" s="25"/>
    </row>
    <row r="580">
      <c r="I580" s="25"/>
      <c r="J580" s="25"/>
      <c r="K580" s="25"/>
    </row>
    <row r="581">
      <c r="I581" s="25"/>
      <c r="J581" s="25"/>
      <c r="K581" s="25"/>
    </row>
    <row r="582">
      <c r="I582" s="25"/>
      <c r="J582" s="25"/>
      <c r="K582" s="25"/>
    </row>
    <row r="583">
      <c r="I583" s="25"/>
      <c r="J583" s="25"/>
      <c r="K583" s="25"/>
    </row>
    <row r="584">
      <c r="I584" s="25"/>
      <c r="J584" s="25"/>
      <c r="K584" s="25"/>
    </row>
    <row r="585">
      <c r="I585" s="25"/>
      <c r="J585" s="25"/>
      <c r="K585" s="25"/>
    </row>
    <row r="586">
      <c r="I586" s="25"/>
      <c r="J586" s="25"/>
      <c r="K586" s="25"/>
    </row>
    <row r="587">
      <c r="I587" s="25"/>
      <c r="J587" s="25"/>
      <c r="K587" s="25"/>
    </row>
    <row r="588">
      <c r="I588" s="25"/>
      <c r="J588" s="25"/>
      <c r="K588" s="25"/>
    </row>
    <row r="589">
      <c r="I589" s="25"/>
      <c r="J589" s="25"/>
      <c r="K589" s="25"/>
    </row>
    <row r="590">
      <c r="I590" s="25"/>
      <c r="J590" s="25"/>
      <c r="K590" s="25"/>
    </row>
    <row r="591">
      <c r="I591" s="25"/>
      <c r="J591" s="25"/>
      <c r="K591" s="25"/>
    </row>
    <row r="592">
      <c r="I592" s="25"/>
      <c r="J592" s="25"/>
      <c r="K592" s="25"/>
    </row>
    <row r="593">
      <c r="I593" s="25"/>
      <c r="J593" s="25"/>
      <c r="K593" s="25"/>
    </row>
    <row r="594">
      <c r="I594" s="25"/>
      <c r="J594" s="25"/>
      <c r="K594" s="25"/>
    </row>
    <row r="595">
      <c r="I595" s="25"/>
      <c r="J595" s="25"/>
      <c r="K595" s="25"/>
    </row>
    <row r="596">
      <c r="I596" s="25"/>
      <c r="J596" s="25"/>
      <c r="K596" s="25"/>
    </row>
    <row r="597">
      <c r="I597" s="25"/>
      <c r="J597" s="25"/>
      <c r="K597" s="25"/>
    </row>
    <row r="598">
      <c r="I598" s="25"/>
      <c r="J598" s="25"/>
      <c r="K598" s="25"/>
    </row>
    <row r="599">
      <c r="I599" s="25"/>
      <c r="J599" s="25"/>
      <c r="K599" s="25"/>
    </row>
    <row r="600">
      <c r="I600" s="25"/>
      <c r="J600" s="25"/>
      <c r="K600" s="25"/>
    </row>
    <row r="601">
      <c r="I601" s="25"/>
      <c r="J601" s="25"/>
      <c r="K601" s="25"/>
    </row>
    <row r="602">
      <c r="I602" s="25"/>
      <c r="J602" s="25"/>
      <c r="K602" s="25"/>
    </row>
    <row r="603">
      <c r="I603" s="25"/>
      <c r="J603" s="25"/>
      <c r="K603" s="25"/>
    </row>
    <row r="604">
      <c r="I604" s="25"/>
      <c r="J604" s="25"/>
      <c r="K604" s="25"/>
    </row>
    <row r="605">
      <c r="I605" s="25"/>
      <c r="J605" s="25"/>
      <c r="K605" s="25"/>
    </row>
    <row r="606">
      <c r="I606" s="25"/>
      <c r="J606" s="25"/>
      <c r="K606" s="25"/>
    </row>
    <row r="607">
      <c r="I607" s="25"/>
      <c r="J607" s="25"/>
      <c r="K607" s="25"/>
    </row>
    <row r="608">
      <c r="I608" s="25"/>
      <c r="J608" s="25"/>
      <c r="K608" s="25"/>
    </row>
    <row r="609">
      <c r="I609" s="25"/>
      <c r="J609" s="25"/>
      <c r="K609" s="25"/>
    </row>
    <row r="610">
      <c r="I610" s="25"/>
      <c r="J610" s="25"/>
      <c r="K610" s="25"/>
    </row>
    <row r="611">
      <c r="I611" s="25"/>
      <c r="J611" s="25"/>
      <c r="K611" s="25"/>
    </row>
    <row r="612">
      <c r="I612" s="25"/>
      <c r="J612" s="25"/>
      <c r="K612" s="25"/>
    </row>
    <row r="613">
      <c r="I613" s="25"/>
      <c r="J613" s="25"/>
      <c r="K613" s="25"/>
    </row>
    <row r="614">
      <c r="I614" s="25"/>
      <c r="J614" s="25"/>
      <c r="K614" s="25"/>
    </row>
    <row r="615">
      <c r="I615" s="25"/>
      <c r="J615" s="25"/>
      <c r="K615" s="25"/>
    </row>
    <row r="616">
      <c r="I616" s="25"/>
      <c r="J616" s="25"/>
      <c r="K616" s="25"/>
    </row>
    <row r="617">
      <c r="I617" s="25"/>
      <c r="J617" s="25"/>
      <c r="K617" s="25"/>
    </row>
    <row r="618">
      <c r="I618" s="25"/>
      <c r="J618" s="25"/>
      <c r="K618" s="25"/>
    </row>
    <row r="619">
      <c r="I619" s="25"/>
      <c r="J619" s="25"/>
      <c r="K619" s="25"/>
    </row>
    <row r="620">
      <c r="I620" s="25"/>
      <c r="J620" s="25"/>
      <c r="K620" s="25"/>
    </row>
    <row r="621">
      <c r="I621" s="25"/>
      <c r="J621" s="25"/>
      <c r="K621" s="25"/>
    </row>
    <row r="622">
      <c r="I622" s="25"/>
      <c r="J622" s="25"/>
      <c r="K622" s="25"/>
    </row>
    <row r="623">
      <c r="I623" s="25"/>
      <c r="J623" s="25"/>
      <c r="K623" s="25"/>
    </row>
    <row r="624">
      <c r="I624" s="25"/>
      <c r="J624" s="25"/>
      <c r="K624" s="25"/>
    </row>
    <row r="625">
      <c r="I625" s="25"/>
      <c r="J625" s="25"/>
      <c r="K625" s="25"/>
    </row>
    <row r="626">
      <c r="I626" s="25"/>
      <c r="J626" s="25"/>
      <c r="K626" s="25"/>
    </row>
    <row r="627">
      <c r="I627" s="25"/>
      <c r="J627" s="25"/>
      <c r="K627" s="25"/>
    </row>
    <row r="628">
      <c r="I628" s="25"/>
      <c r="J628" s="25"/>
      <c r="K628" s="25"/>
    </row>
    <row r="629">
      <c r="I629" s="25"/>
      <c r="J629" s="25"/>
      <c r="K629" s="25"/>
    </row>
    <row r="630">
      <c r="I630" s="25"/>
      <c r="J630" s="25"/>
      <c r="K630" s="25"/>
    </row>
    <row r="631">
      <c r="I631" s="25"/>
      <c r="J631" s="25"/>
      <c r="K631" s="25"/>
    </row>
    <row r="632">
      <c r="I632" s="25"/>
      <c r="J632" s="25"/>
      <c r="K632" s="25"/>
    </row>
    <row r="633">
      <c r="I633" s="25"/>
      <c r="J633" s="25"/>
      <c r="K633" s="25"/>
    </row>
    <row r="634">
      <c r="I634" s="25"/>
      <c r="J634" s="25"/>
      <c r="K634" s="25"/>
    </row>
    <row r="635">
      <c r="I635" s="25"/>
      <c r="J635" s="25"/>
      <c r="K635" s="25"/>
    </row>
    <row r="636">
      <c r="I636" s="25"/>
      <c r="J636" s="25"/>
      <c r="K636" s="25"/>
    </row>
    <row r="637">
      <c r="I637" s="25"/>
      <c r="J637" s="25"/>
      <c r="K637" s="25"/>
    </row>
    <row r="638">
      <c r="I638" s="25"/>
      <c r="J638" s="25"/>
      <c r="K638" s="25"/>
    </row>
    <row r="639">
      <c r="I639" s="25"/>
      <c r="J639" s="25"/>
      <c r="K639" s="25"/>
    </row>
    <row r="640">
      <c r="I640" s="25"/>
      <c r="J640" s="25"/>
      <c r="K640" s="25"/>
    </row>
    <row r="641">
      <c r="I641" s="25"/>
      <c r="J641" s="25"/>
      <c r="K641" s="25"/>
    </row>
    <row r="642">
      <c r="I642" s="25"/>
      <c r="J642" s="25"/>
      <c r="K642" s="25"/>
    </row>
    <row r="643">
      <c r="I643" s="25"/>
      <c r="J643" s="25"/>
      <c r="K643" s="25"/>
    </row>
    <row r="644">
      <c r="I644" s="25"/>
      <c r="J644" s="25"/>
      <c r="K644" s="25"/>
    </row>
    <row r="645">
      <c r="I645" s="25"/>
      <c r="J645" s="25"/>
      <c r="K645" s="25"/>
    </row>
    <row r="646">
      <c r="I646" s="25"/>
      <c r="J646" s="25"/>
      <c r="K646" s="25"/>
    </row>
    <row r="647">
      <c r="I647" s="25"/>
      <c r="J647" s="25"/>
      <c r="K647" s="25"/>
    </row>
    <row r="648">
      <c r="I648" s="25"/>
      <c r="J648" s="25"/>
      <c r="K648" s="25"/>
    </row>
    <row r="649">
      <c r="I649" s="25"/>
      <c r="J649" s="25"/>
      <c r="K649" s="25"/>
    </row>
    <row r="650">
      <c r="I650" s="25"/>
      <c r="J650" s="25"/>
      <c r="K650" s="25"/>
    </row>
    <row r="651">
      <c r="I651" s="25"/>
      <c r="J651" s="25"/>
      <c r="K651" s="25"/>
    </row>
    <row r="652">
      <c r="I652" s="25"/>
      <c r="J652" s="25"/>
      <c r="K652" s="25"/>
    </row>
    <row r="653">
      <c r="I653" s="25"/>
      <c r="J653" s="25"/>
      <c r="K653" s="25"/>
    </row>
    <row r="654">
      <c r="I654" s="25"/>
      <c r="J654" s="25"/>
      <c r="K654" s="25"/>
    </row>
    <row r="655">
      <c r="I655" s="25"/>
      <c r="J655" s="25"/>
      <c r="K655" s="25"/>
    </row>
    <row r="656">
      <c r="I656" s="25"/>
      <c r="J656" s="25"/>
      <c r="K656" s="25"/>
    </row>
    <row r="657">
      <c r="I657" s="25"/>
      <c r="J657" s="25"/>
      <c r="K657" s="25"/>
    </row>
    <row r="658">
      <c r="I658" s="25"/>
      <c r="J658" s="25"/>
      <c r="K658" s="25"/>
    </row>
    <row r="659">
      <c r="I659" s="25"/>
      <c r="J659" s="25"/>
      <c r="K659" s="25"/>
    </row>
    <row r="660">
      <c r="I660" s="25"/>
      <c r="J660" s="25"/>
      <c r="K660" s="25"/>
    </row>
    <row r="661">
      <c r="I661" s="25"/>
      <c r="J661" s="25"/>
      <c r="K661" s="25"/>
    </row>
    <row r="662">
      <c r="I662" s="25"/>
      <c r="J662" s="25"/>
      <c r="K662" s="25"/>
    </row>
    <row r="663">
      <c r="I663" s="25"/>
      <c r="J663" s="25"/>
      <c r="K663" s="25"/>
    </row>
    <row r="664">
      <c r="I664" s="25"/>
      <c r="J664" s="25"/>
      <c r="K664" s="25"/>
    </row>
    <row r="665">
      <c r="I665" s="25"/>
      <c r="J665" s="25"/>
      <c r="K665" s="25"/>
    </row>
    <row r="666">
      <c r="I666" s="25"/>
      <c r="J666" s="25"/>
      <c r="K666" s="25"/>
    </row>
    <row r="667">
      <c r="I667" s="25"/>
      <c r="J667" s="25"/>
      <c r="K667" s="25"/>
    </row>
    <row r="668">
      <c r="I668" s="25"/>
      <c r="J668" s="25"/>
      <c r="K668" s="25"/>
    </row>
    <row r="669">
      <c r="I669" s="25"/>
      <c r="J669" s="25"/>
      <c r="K669" s="25"/>
    </row>
    <row r="670">
      <c r="I670" s="25"/>
      <c r="J670" s="25"/>
      <c r="K670" s="25"/>
    </row>
    <row r="671">
      <c r="I671" s="25"/>
      <c r="J671" s="25"/>
      <c r="K671" s="25"/>
    </row>
    <row r="672">
      <c r="I672" s="25"/>
      <c r="J672" s="25"/>
      <c r="K672" s="25"/>
    </row>
    <row r="673">
      <c r="I673" s="25"/>
      <c r="J673" s="25"/>
      <c r="K673" s="25"/>
    </row>
    <row r="674">
      <c r="I674" s="25"/>
      <c r="J674" s="25"/>
      <c r="K674" s="25"/>
    </row>
    <row r="675">
      <c r="I675" s="25"/>
      <c r="J675" s="25"/>
      <c r="K675" s="25"/>
    </row>
    <row r="676">
      <c r="I676" s="25"/>
      <c r="J676" s="25"/>
      <c r="K676" s="25"/>
    </row>
    <row r="677">
      <c r="I677" s="25"/>
      <c r="J677" s="25"/>
      <c r="K677" s="25"/>
    </row>
    <row r="678">
      <c r="I678" s="25"/>
      <c r="J678" s="25"/>
      <c r="K678" s="25"/>
    </row>
    <row r="679">
      <c r="I679" s="25"/>
      <c r="J679" s="25"/>
      <c r="K679" s="25"/>
    </row>
    <row r="680">
      <c r="I680" s="25"/>
      <c r="J680" s="25"/>
      <c r="K680" s="25"/>
    </row>
    <row r="681">
      <c r="I681" s="25"/>
      <c r="J681" s="25"/>
      <c r="K681" s="25"/>
    </row>
    <row r="682">
      <c r="I682" s="25"/>
      <c r="J682" s="25"/>
      <c r="K682" s="25"/>
    </row>
    <row r="683">
      <c r="I683" s="25"/>
      <c r="J683" s="25"/>
      <c r="K683" s="25"/>
    </row>
    <row r="684">
      <c r="I684" s="25"/>
      <c r="J684" s="25"/>
      <c r="K684" s="25"/>
    </row>
    <row r="685">
      <c r="I685" s="25"/>
      <c r="J685" s="25"/>
      <c r="K685" s="25"/>
    </row>
    <row r="686">
      <c r="I686" s="25"/>
      <c r="J686" s="25"/>
      <c r="K686" s="25"/>
    </row>
    <row r="687">
      <c r="I687" s="25"/>
      <c r="J687" s="25"/>
      <c r="K687" s="25"/>
    </row>
    <row r="688">
      <c r="I688" s="25"/>
      <c r="J688" s="25"/>
      <c r="K688" s="25"/>
    </row>
    <row r="689">
      <c r="I689" s="25"/>
      <c r="J689" s="25"/>
      <c r="K689" s="25"/>
    </row>
    <row r="690">
      <c r="I690" s="25"/>
      <c r="J690" s="25"/>
      <c r="K690" s="25"/>
    </row>
    <row r="691">
      <c r="I691" s="25"/>
      <c r="J691" s="25"/>
      <c r="K691" s="25"/>
    </row>
    <row r="692">
      <c r="I692" s="25"/>
      <c r="J692" s="25"/>
      <c r="K692" s="25"/>
    </row>
    <row r="693">
      <c r="I693" s="25"/>
      <c r="J693" s="25"/>
      <c r="K693" s="25"/>
    </row>
    <row r="694">
      <c r="I694" s="25"/>
      <c r="J694" s="25"/>
      <c r="K694" s="25"/>
    </row>
    <row r="695">
      <c r="I695" s="25"/>
      <c r="J695" s="25"/>
      <c r="K695" s="25"/>
    </row>
    <row r="696">
      <c r="I696" s="25"/>
      <c r="J696" s="25"/>
      <c r="K696" s="25"/>
    </row>
    <row r="697">
      <c r="I697" s="25"/>
      <c r="J697" s="25"/>
      <c r="K697" s="25"/>
    </row>
    <row r="698">
      <c r="I698" s="25"/>
      <c r="J698" s="25"/>
      <c r="K698" s="25"/>
    </row>
    <row r="699">
      <c r="I699" s="25"/>
      <c r="J699" s="25"/>
      <c r="K699" s="25"/>
    </row>
    <row r="700">
      <c r="I700" s="25"/>
      <c r="J700" s="25"/>
      <c r="K700" s="25"/>
    </row>
    <row r="701">
      <c r="I701" s="25"/>
      <c r="J701" s="25"/>
      <c r="K701" s="25"/>
    </row>
    <row r="702">
      <c r="I702" s="25"/>
      <c r="J702" s="25"/>
      <c r="K702" s="25"/>
    </row>
    <row r="703">
      <c r="I703" s="25"/>
      <c r="J703" s="25"/>
      <c r="K703" s="25"/>
    </row>
    <row r="704">
      <c r="I704" s="25"/>
      <c r="J704" s="25"/>
      <c r="K704" s="25"/>
    </row>
    <row r="705">
      <c r="I705" s="25"/>
      <c r="J705" s="25"/>
      <c r="K705" s="25"/>
    </row>
    <row r="706">
      <c r="I706" s="25"/>
      <c r="J706" s="25"/>
      <c r="K706" s="25"/>
    </row>
    <row r="707">
      <c r="I707" s="25"/>
      <c r="J707" s="25"/>
      <c r="K707" s="25"/>
    </row>
    <row r="708">
      <c r="I708" s="25"/>
      <c r="J708" s="25"/>
      <c r="K708" s="25"/>
    </row>
    <row r="709">
      <c r="I709" s="25"/>
      <c r="J709" s="25"/>
      <c r="K709" s="25"/>
    </row>
    <row r="710">
      <c r="I710" s="25"/>
      <c r="J710" s="25"/>
      <c r="K710" s="25"/>
    </row>
    <row r="711">
      <c r="I711" s="25"/>
      <c r="J711" s="25"/>
      <c r="K711" s="25"/>
    </row>
    <row r="712">
      <c r="I712" s="25"/>
      <c r="J712" s="25"/>
      <c r="K712" s="25"/>
    </row>
    <row r="713">
      <c r="I713" s="25"/>
      <c r="J713" s="25"/>
      <c r="K713" s="25"/>
    </row>
    <row r="714">
      <c r="I714" s="25"/>
      <c r="J714" s="25"/>
      <c r="K714" s="25"/>
    </row>
    <row r="715">
      <c r="I715" s="25"/>
      <c r="J715" s="25"/>
      <c r="K715" s="25"/>
    </row>
    <row r="716">
      <c r="I716" s="25"/>
      <c r="J716" s="25"/>
      <c r="K716" s="25"/>
    </row>
    <row r="717">
      <c r="I717" s="25"/>
      <c r="J717" s="25"/>
      <c r="K717" s="25"/>
    </row>
    <row r="718">
      <c r="I718" s="25"/>
      <c r="J718" s="25"/>
      <c r="K718" s="25"/>
    </row>
    <row r="719">
      <c r="I719" s="25"/>
      <c r="J719" s="25"/>
      <c r="K719" s="25"/>
    </row>
    <row r="720">
      <c r="I720" s="25"/>
      <c r="J720" s="25"/>
      <c r="K720" s="25"/>
    </row>
    <row r="721">
      <c r="I721" s="25"/>
      <c r="J721" s="25"/>
      <c r="K721" s="25"/>
    </row>
    <row r="722">
      <c r="I722" s="25"/>
      <c r="J722" s="25"/>
      <c r="K722" s="25"/>
    </row>
    <row r="723">
      <c r="I723" s="25"/>
      <c r="J723" s="25"/>
      <c r="K723" s="25"/>
    </row>
    <row r="724">
      <c r="I724" s="25"/>
      <c r="J724" s="25"/>
      <c r="K724" s="25"/>
    </row>
    <row r="725">
      <c r="I725" s="25"/>
      <c r="J725" s="25"/>
      <c r="K725" s="25"/>
    </row>
    <row r="726">
      <c r="I726" s="25"/>
      <c r="J726" s="25"/>
      <c r="K726" s="25"/>
    </row>
    <row r="727">
      <c r="I727" s="25"/>
      <c r="J727" s="25"/>
      <c r="K727" s="25"/>
    </row>
    <row r="728">
      <c r="I728" s="25"/>
      <c r="J728" s="25"/>
      <c r="K728" s="25"/>
    </row>
    <row r="729">
      <c r="I729" s="25"/>
      <c r="J729" s="25"/>
      <c r="K729" s="25"/>
    </row>
    <row r="730">
      <c r="I730" s="25"/>
      <c r="J730" s="25"/>
      <c r="K730" s="25"/>
    </row>
    <row r="731">
      <c r="I731" s="25"/>
      <c r="J731" s="25"/>
      <c r="K731" s="25"/>
    </row>
    <row r="732">
      <c r="I732" s="25"/>
      <c r="J732" s="25"/>
      <c r="K732" s="25"/>
    </row>
    <row r="733">
      <c r="I733" s="25"/>
      <c r="J733" s="25"/>
      <c r="K733" s="25"/>
    </row>
    <row r="734">
      <c r="I734" s="25"/>
      <c r="J734" s="25"/>
      <c r="K734" s="25"/>
    </row>
    <row r="735">
      <c r="I735" s="25"/>
      <c r="J735" s="25"/>
      <c r="K735" s="25"/>
    </row>
    <row r="736">
      <c r="I736" s="25"/>
      <c r="J736" s="25"/>
      <c r="K736" s="25"/>
    </row>
    <row r="737">
      <c r="I737" s="25"/>
      <c r="J737" s="25"/>
      <c r="K737" s="25"/>
    </row>
    <row r="738">
      <c r="I738" s="25"/>
      <c r="J738" s="25"/>
      <c r="K738" s="25"/>
    </row>
    <row r="739">
      <c r="I739" s="25"/>
      <c r="J739" s="25"/>
      <c r="K739" s="25"/>
    </row>
    <row r="740">
      <c r="I740" s="25"/>
      <c r="J740" s="25"/>
      <c r="K740" s="25"/>
    </row>
    <row r="741">
      <c r="I741" s="25"/>
      <c r="J741" s="25"/>
      <c r="K741" s="25"/>
    </row>
    <row r="742">
      <c r="I742" s="25"/>
      <c r="J742" s="25"/>
      <c r="K742" s="25"/>
    </row>
    <row r="743">
      <c r="I743" s="25"/>
      <c r="J743" s="25"/>
      <c r="K743" s="25"/>
    </row>
    <row r="744">
      <c r="I744" s="25"/>
      <c r="J744" s="25"/>
      <c r="K744" s="25"/>
    </row>
    <row r="745">
      <c r="I745" s="25"/>
      <c r="J745" s="25"/>
      <c r="K745" s="25"/>
    </row>
    <row r="746">
      <c r="I746" s="25"/>
      <c r="J746" s="25"/>
      <c r="K746" s="25"/>
    </row>
    <row r="747">
      <c r="I747" s="25"/>
      <c r="J747" s="25"/>
      <c r="K747" s="25"/>
    </row>
    <row r="748">
      <c r="I748" s="25"/>
      <c r="J748" s="25"/>
      <c r="K748" s="25"/>
    </row>
    <row r="749">
      <c r="I749" s="25"/>
      <c r="J749" s="25"/>
      <c r="K749" s="25"/>
    </row>
    <row r="750">
      <c r="I750" s="25"/>
      <c r="J750" s="25"/>
      <c r="K750" s="25"/>
    </row>
    <row r="751">
      <c r="I751" s="25"/>
      <c r="J751" s="25"/>
      <c r="K751" s="25"/>
    </row>
    <row r="752">
      <c r="I752" s="25"/>
      <c r="J752" s="25"/>
      <c r="K752" s="25"/>
    </row>
    <row r="753">
      <c r="I753" s="25"/>
      <c r="J753" s="25"/>
      <c r="K753" s="25"/>
    </row>
    <row r="754">
      <c r="I754" s="25"/>
      <c r="J754" s="25"/>
      <c r="K754" s="25"/>
    </row>
    <row r="755">
      <c r="I755" s="25"/>
      <c r="J755" s="25"/>
      <c r="K755" s="25"/>
    </row>
    <row r="756">
      <c r="I756" s="25"/>
      <c r="J756" s="25"/>
      <c r="K756" s="25"/>
    </row>
    <row r="757">
      <c r="I757" s="25"/>
      <c r="J757" s="25"/>
      <c r="K757" s="25"/>
    </row>
    <row r="758">
      <c r="I758" s="25"/>
      <c r="J758" s="25"/>
      <c r="K758" s="25"/>
    </row>
    <row r="759">
      <c r="I759" s="25"/>
      <c r="J759" s="25"/>
      <c r="K759" s="25"/>
    </row>
    <row r="760">
      <c r="I760" s="25"/>
      <c r="J760" s="25"/>
      <c r="K760" s="25"/>
    </row>
    <row r="761">
      <c r="I761" s="25"/>
      <c r="J761" s="25"/>
      <c r="K761" s="25"/>
    </row>
    <row r="762">
      <c r="I762" s="25"/>
      <c r="J762" s="25"/>
      <c r="K762" s="25"/>
    </row>
    <row r="763">
      <c r="I763" s="25"/>
      <c r="J763" s="25"/>
      <c r="K763" s="25"/>
    </row>
    <row r="764">
      <c r="I764" s="25"/>
      <c r="J764" s="25"/>
      <c r="K764" s="25"/>
    </row>
    <row r="765">
      <c r="I765" s="25"/>
      <c r="J765" s="25"/>
      <c r="K765" s="25"/>
    </row>
    <row r="766">
      <c r="I766" s="25"/>
      <c r="J766" s="25"/>
      <c r="K766" s="25"/>
    </row>
    <row r="767">
      <c r="I767" s="25"/>
      <c r="J767" s="25"/>
      <c r="K767" s="25"/>
    </row>
    <row r="768">
      <c r="I768" s="25"/>
      <c r="J768" s="25"/>
      <c r="K768" s="25"/>
    </row>
    <row r="769">
      <c r="I769" s="25"/>
      <c r="J769" s="25"/>
      <c r="K769" s="25"/>
    </row>
    <row r="770">
      <c r="I770" s="25"/>
      <c r="J770" s="25"/>
      <c r="K770" s="25"/>
    </row>
    <row r="771">
      <c r="I771" s="25"/>
      <c r="J771" s="25"/>
      <c r="K771" s="25"/>
    </row>
    <row r="772">
      <c r="I772" s="25"/>
      <c r="J772" s="25"/>
      <c r="K772" s="25"/>
    </row>
    <row r="773">
      <c r="I773" s="25"/>
      <c r="J773" s="25"/>
      <c r="K773" s="25"/>
    </row>
    <row r="774">
      <c r="I774" s="25"/>
      <c r="J774" s="25"/>
      <c r="K774" s="25"/>
    </row>
    <row r="775">
      <c r="I775" s="25"/>
      <c r="J775" s="25"/>
      <c r="K775" s="25"/>
    </row>
    <row r="776">
      <c r="I776" s="25"/>
      <c r="J776" s="25"/>
      <c r="K776" s="25"/>
    </row>
    <row r="777">
      <c r="I777" s="25"/>
      <c r="J777" s="25"/>
      <c r="K777" s="25"/>
    </row>
    <row r="778">
      <c r="I778" s="25"/>
      <c r="J778" s="25"/>
      <c r="K778" s="25"/>
    </row>
    <row r="779">
      <c r="I779" s="25"/>
      <c r="J779" s="25"/>
      <c r="K779" s="25"/>
    </row>
    <row r="780">
      <c r="I780" s="25"/>
      <c r="J780" s="25"/>
      <c r="K780" s="25"/>
    </row>
    <row r="781">
      <c r="I781" s="25"/>
      <c r="J781" s="25"/>
      <c r="K781" s="25"/>
    </row>
    <row r="782">
      <c r="I782" s="25"/>
      <c r="J782" s="25"/>
      <c r="K782" s="25"/>
    </row>
    <row r="783">
      <c r="I783" s="25"/>
      <c r="J783" s="25"/>
      <c r="K783" s="25"/>
    </row>
    <row r="784">
      <c r="I784" s="25"/>
      <c r="J784" s="25"/>
      <c r="K784" s="25"/>
    </row>
    <row r="785">
      <c r="I785" s="25"/>
      <c r="J785" s="25"/>
      <c r="K785" s="25"/>
    </row>
    <row r="786">
      <c r="I786" s="25"/>
      <c r="J786" s="25"/>
      <c r="K786" s="25"/>
    </row>
    <row r="787">
      <c r="I787" s="25"/>
      <c r="J787" s="25"/>
      <c r="K787" s="25"/>
    </row>
    <row r="788">
      <c r="I788" s="25"/>
      <c r="J788" s="25"/>
      <c r="K788" s="25"/>
    </row>
    <row r="789">
      <c r="I789" s="25"/>
      <c r="J789" s="25"/>
      <c r="K789" s="25"/>
    </row>
    <row r="790">
      <c r="I790" s="25"/>
      <c r="J790" s="25"/>
      <c r="K790" s="25"/>
    </row>
    <row r="791">
      <c r="I791" s="25"/>
      <c r="J791" s="25"/>
      <c r="K791" s="25"/>
    </row>
    <row r="792">
      <c r="I792" s="25"/>
      <c r="J792" s="25"/>
      <c r="K792" s="25"/>
    </row>
    <row r="793">
      <c r="I793" s="25"/>
      <c r="J793" s="25"/>
      <c r="K793" s="25"/>
    </row>
    <row r="794">
      <c r="I794" s="25"/>
      <c r="J794" s="25"/>
      <c r="K794" s="25"/>
    </row>
    <row r="795">
      <c r="I795" s="25"/>
      <c r="J795" s="25"/>
      <c r="K795" s="25"/>
    </row>
    <row r="796">
      <c r="I796" s="25"/>
      <c r="J796" s="25"/>
      <c r="K796" s="25"/>
    </row>
    <row r="797">
      <c r="I797" s="25"/>
      <c r="J797" s="25"/>
      <c r="K797" s="25"/>
    </row>
    <row r="798">
      <c r="I798" s="25"/>
      <c r="J798" s="25"/>
      <c r="K798" s="25"/>
    </row>
    <row r="799">
      <c r="I799" s="25"/>
      <c r="J799" s="25"/>
      <c r="K799" s="25"/>
    </row>
    <row r="800">
      <c r="I800" s="25"/>
      <c r="J800" s="25"/>
      <c r="K800" s="25"/>
    </row>
    <row r="801">
      <c r="I801" s="25"/>
      <c r="J801" s="25"/>
      <c r="K801" s="25"/>
    </row>
    <row r="802">
      <c r="I802" s="25"/>
      <c r="J802" s="25"/>
      <c r="K802" s="25"/>
    </row>
    <row r="803">
      <c r="I803" s="25"/>
      <c r="J803" s="25"/>
      <c r="K803" s="25"/>
    </row>
    <row r="804">
      <c r="I804" s="25"/>
      <c r="J804" s="25"/>
      <c r="K804" s="25"/>
    </row>
    <row r="805">
      <c r="I805" s="25"/>
      <c r="J805" s="25"/>
      <c r="K805" s="25"/>
    </row>
    <row r="806">
      <c r="I806" s="25"/>
      <c r="J806" s="25"/>
      <c r="K806" s="25"/>
    </row>
    <row r="807">
      <c r="I807" s="25"/>
      <c r="J807" s="25"/>
      <c r="K807" s="25"/>
    </row>
    <row r="808">
      <c r="I808" s="25"/>
      <c r="J808" s="25"/>
      <c r="K808" s="25"/>
    </row>
    <row r="809">
      <c r="I809" s="25"/>
      <c r="J809" s="25"/>
      <c r="K809" s="25"/>
    </row>
    <row r="810">
      <c r="I810" s="25"/>
      <c r="J810" s="25"/>
      <c r="K810" s="25"/>
    </row>
    <row r="811">
      <c r="I811" s="25"/>
      <c r="J811" s="25"/>
      <c r="K811" s="25"/>
    </row>
    <row r="812">
      <c r="I812" s="25"/>
      <c r="J812" s="25"/>
      <c r="K812" s="25"/>
    </row>
    <row r="813">
      <c r="I813" s="25"/>
      <c r="J813" s="25"/>
      <c r="K813" s="25"/>
    </row>
    <row r="814">
      <c r="I814" s="25"/>
      <c r="J814" s="25"/>
      <c r="K814" s="25"/>
    </row>
    <row r="815">
      <c r="I815" s="25"/>
      <c r="J815" s="25"/>
      <c r="K815" s="25"/>
    </row>
    <row r="816">
      <c r="I816" s="25"/>
      <c r="J816" s="25"/>
      <c r="K816" s="25"/>
    </row>
    <row r="817">
      <c r="I817" s="25"/>
      <c r="J817" s="25"/>
      <c r="K817" s="25"/>
    </row>
    <row r="818">
      <c r="I818" s="25"/>
      <c r="J818" s="25"/>
      <c r="K818" s="25"/>
    </row>
    <row r="819">
      <c r="I819" s="25"/>
      <c r="J819" s="25"/>
      <c r="K819" s="25"/>
    </row>
    <row r="820">
      <c r="I820" s="25"/>
      <c r="J820" s="25"/>
      <c r="K820" s="25"/>
    </row>
    <row r="821">
      <c r="I821" s="25"/>
      <c r="J821" s="25"/>
      <c r="K821" s="25"/>
    </row>
    <row r="822">
      <c r="I822" s="25"/>
      <c r="J822" s="25"/>
      <c r="K822" s="25"/>
    </row>
    <row r="823">
      <c r="I823" s="25"/>
      <c r="J823" s="25"/>
      <c r="K823" s="25"/>
    </row>
    <row r="824">
      <c r="I824" s="25"/>
      <c r="J824" s="25"/>
      <c r="K824" s="25"/>
    </row>
    <row r="825">
      <c r="I825" s="25"/>
      <c r="J825" s="25"/>
      <c r="K825" s="25"/>
    </row>
    <row r="826">
      <c r="I826" s="25"/>
      <c r="J826" s="25"/>
      <c r="K826" s="25"/>
    </row>
    <row r="827">
      <c r="I827" s="25"/>
      <c r="J827" s="25"/>
      <c r="K827" s="25"/>
    </row>
    <row r="828">
      <c r="I828" s="25"/>
      <c r="J828" s="25"/>
      <c r="K828" s="25"/>
    </row>
    <row r="829">
      <c r="I829" s="25"/>
      <c r="J829" s="25"/>
      <c r="K829" s="25"/>
    </row>
    <row r="830">
      <c r="I830" s="25"/>
      <c r="J830" s="25"/>
      <c r="K830" s="25"/>
    </row>
    <row r="831">
      <c r="I831" s="25"/>
      <c r="J831" s="25"/>
      <c r="K831" s="25"/>
    </row>
    <row r="832">
      <c r="I832" s="25"/>
      <c r="J832" s="25"/>
      <c r="K832" s="25"/>
    </row>
    <row r="833">
      <c r="I833" s="25"/>
      <c r="J833" s="25"/>
      <c r="K833" s="25"/>
    </row>
    <row r="834">
      <c r="I834" s="25"/>
      <c r="J834" s="25"/>
      <c r="K834" s="25"/>
    </row>
    <row r="835">
      <c r="I835" s="25"/>
      <c r="J835" s="25"/>
      <c r="K835" s="25"/>
    </row>
    <row r="836">
      <c r="I836" s="25"/>
      <c r="J836" s="25"/>
      <c r="K836" s="25"/>
    </row>
    <row r="837">
      <c r="I837" s="25"/>
      <c r="J837" s="25"/>
      <c r="K837" s="25"/>
    </row>
    <row r="838">
      <c r="I838" s="25"/>
      <c r="J838" s="25"/>
      <c r="K838" s="25"/>
    </row>
    <row r="839">
      <c r="I839" s="25"/>
      <c r="J839" s="25"/>
      <c r="K839" s="25"/>
    </row>
    <row r="840">
      <c r="I840" s="25"/>
      <c r="J840" s="25"/>
      <c r="K840" s="25"/>
    </row>
    <row r="841">
      <c r="I841" s="25"/>
      <c r="J841" s="25"/>
      <c r="K841" s="25"/>
    </row>
    <row r="842">
      <c r="I842" s="25"/>
      <c r="J842" s="25"/>
      <c r="K842" s="25"/>
    </row>
    <row r="843">
      <c r="I843" s="25"/>
      <c r="J843" s="25"/>
      <c r="K843" s="25"/>
    </row>
    <row r="844">
      <c r="I844" s="25"/>
      <c r="J844" s="25"/>
      <c r="K844" s="25"/>
    </row>
    <row r="845">
      <c r="I845" s="25"/>
      <c r="J845" s="25"/>
      <c r="K845" s="25"/>
    </row>
    <row r="846">
      <c r="I846" s="25"/>
      <c r="J846" s="25"/>
      <c r="K846" s="25"/>
    </row>
    <row r="847">
      <c r="I847" s="25"/>
      <c r="J847" s="25"/>
      <c r="K847" s="25"/>
    </row>
    <row r="848">
      <c r="I848" s="25"/>
      <c r="J848" s="25"/>
      <c r="K848" s="25"/>
    </row>
    <row r="849">
      <c r="I849" s="25"/>
      <c r="J849" s="25"/>
      <c r="K849" s="25"/>
    </row>
    <row r="850">
      <c r="I850" s="25"/>
      <c r="J850" s="25"/>
      <c r="K850" s="25"/>
    </row>
    <row r="851">
      <c r="I851" s="25"/>
      <c r="J851" s="25"/>
      <c r="K851" s="25"/>
    </row>
    <row r="852">
      <c r="I852" s="25"/>
      <c r="J852" s="25"/>
      <c r="K852" s="25"/>
    </row>
    <row r="853">
      <c r="I853" s="25"/>
      <c r="J853" s="25"/>
      <c r="K853" s="25"/>
    </row>
    <row r="854">
      <c r="I854" s="25"/>
      <c r="J854" s="25"/>
      <c r="K854" s="25"/>
    </row>
    <row r="855">
      <c r="I855" s="25"/>
      <c r="J855" s="25"/>
      <c r="K855" s="25"/>
    </row>
    <row r="856">
      <c r="I856" s="25"/>
      <c r="J856" s="25"/>
      <c r="K856" s="25"/>
    </row>
    <row r="857">
      <c r="I857" s="25"/>
      <c r="J857" s="25"/>
      <c r="K857" s="25"/>
    </row>
    <row r="858">
      <c r="I858" s="25"/>
      <c r="J858" s="25"/>
      <c r="K858" s="25"/>
    </row>
    <row r="859">
      <c r="I859" s="25"/>
      <c r="J859" s="25"/>
      <c r="K859" s="25"/>
    </row>
    <row r="860">
      <c r="I860" s="25"/>
      <c r="J860" s="25"/>
      <c r="K860" s="25"/>
    </row>
    <row r="861">
      <c r="I861" s="25"/>
      <c r="J861" s="25"/>
      <c r="K861" s="25"/>
    </row>
    <row r="862">
      <c r="I862" s="25"/>
      <c r="J862" s="25"/>
      <c r="K862" s="25"/>
    </row>
    <row r="863">
      <c r="I863" s="25"/>
      <c r="J863" s="25"/>
      <c r="K863" s="25"/>
    </row>
    <row r="864">
      <c r="I864" s="25"/>
      <c r="J864" s="25"/>
      <c r="K864" s="25"/>
    </row>
    <row r="865">
      <c r="I865" s="25"/>
      <c r="J865" s="25"/>
      <c r="K865" s="25"/>
    </row>
    <row r="866">
      <c r="I866" s="25"/>
      <c r="J866" s="25"/>
      <c r="K866" s="25"/>
    </row>
    <row r="867">
      <c r="I867" s="25"/>
      <c r="J867" s="25"/>
      <c r="K867" s="25"/>
    </row>
    <row r="868">
      <c r="I868" s="25"/>
      <c r="J868" s="25"/>
      <c r="K868" s="25"/>
    </row>
    <row r="869">
      <c r="I869" s="25"/>
      <c r="J869" s="25"/>
      <c r="K869" s="25"/>
    </row>
    <row r="870">
      <c r="I870" s="25"/>
      <c r="J870" s="25"/>
      <c r="K870" s="25"/>
    </row>
    <row r="871">
      <c r="I871" s="25"/>
      <c r="J871" s="25"/>
      <c r="K871" s="25"/>
    </row>
    <row r="872">
      <c r="I872" s="25"/>
      <c r="J872" s="25"/>
      <c r="K872" s="25"/>
    </row>
    <row r="873">
      <c r="I873" s="25"/>
      <c r="J873" s="25"/>
      <c r="K873" s="25"/>
    </row>
    <row r="874">
      <c r="I874" s="25"/>
      <c r="J874" s="25"/>
      <c r="K874" s="25"/>
    </row>
    <row r="875">
      <c r="I875" s="25"/>
      <c r="J875" s="25"/>
      <c r="K875" s="25"/>
    </row>
    <row r="876">
      <c r="I876" s="25"/>
      <c r="J876" s="25"/>
      <c r="K876" s="25"/>
    </row>
    <row r="877">
      <c r="I877" s="25"/>
      <c r="J877" s="25"/>
      <c r="K877" s="25"/>
    </row>
    <row r="878">
      <c r="I878" s="25"/>
      <c r="J878" s="25"/>
      <c r="K878" s="25"/>
    </row>
    <row r="879">
      <c r="I879" s="25"/>
      <c r="J879" s="25"/>
      <c r="K879" s="25"/>
    </row>
    <row r="880">
      <c r="I880" s="25"/>
      <c r="J880" s="25"/>
      <c r="K880" s="25"/>
    </row>
    <row r="881">
      <c r="I881" s="25"/>
      <c r="J881" s="25"/>
      <c r="K881" s="25"/>
    </row>
    <row r="882">
      <c r="I882" s="25"/>
      <c r="J882" s="25"/>
      <c r="K882" s="25"/>
    </row>
    <row r="883">
      <c r="I883" s="25"/>
      <c r="J883" s="25"/>
      <c r="K883" s="25"/>
    </row>
    <row r="884">
      <c r="I884" s="25"/>
      <c r="J884" s="25"/>
      <c r="K884" s="25"/>
    </row>
    <row r="885">
      <c r="I885" s="25"/>
      <c r="J885" s="25"/>
      <c r="K885" s="25"/>
    </row>
    <row r="886">
      <c r="I886" s="25"/>
      <c r="J886" s="25"/>
      <c r="K886" s="25"/>
    </row>
    <row r="887">
      <c r="I887" s="25"/>
      <c r="J887" s="25"/>
      <c r="K887" s="25"/>
    </row>
    <row r="888">
      <c r="I888" s="25"/>
      <c r="J888" s="25"/>
      <c r="K888" s="25"/>
    </row>
    <row r="889">
      <c r="I889" s="25"/>
      <c r="J889" s="25"/>
      <c r="K889" s="25"/>
    </row>
    <row r="890">
      <c r="I890" s="25"/>
      <c r="J890" s="25"/>
      <c r="K890" s="25"/>
    </row>
    <row r="891">
      <c r="I891" s="25"/>
      <c r="J891" s="25"/>
      <c r="K891" s="25"/>
    </row>
    <row r="892">
      <c r="I892" s="25"/>
      <c r="J892" s="25"/>
      <c r="K892" s="25"/>
    </row>
    <row r="893">
      <c r="I893" s="25"/>
      <c r="J893" s="25"/>
      <c r="K893" s="25"/>
    </row>
    <row r="894">
      <c r="I894" s="25"/>
      <c r="J894" s="25"/>
      <c r="K894" s="25"/>
    </row>
    <row r="895">
      <c r="I895" s="25"/>
      <c r="J895" s="25"/>
      <c r="K895" s="25"/>
    </row>
    <row r="896">
      <c r="I896" s="25"/>
      <c r="J896" s="25"/>
      <c r="K896" s="25"/>
    </row>
    <row r="897">
      <c r="I897" s="25"/>
      <c r="J897" s="25"/>
      <c r="K897" s="25"/>
    </row>
    <row r="898">
      <c r="I898" s="25"/>
      <c r="J898" s="25"/>
      <c r="K898" s="25"/>
    </row>
    <row r="899">
      <c r="I899" s="25"/>
      <c r="J899" s="25"/>
      <c r="K899" s="25"/>
    </row>
    <row r="900">
      <c r="I900" s="25"/>
      <c r="J900" s="25"/>
      <c r="K900" s="25"/>
    </row>
    <row r="901">
      <c r="I901" s="25"/>
      <c r="J901" s="25"/>
      <c r="K901" s="25"/>
    </row>
    <row r="902">
      <c r="I902" s="25"/>
      <c r="J902" s="25"/>
      <c r="K902" s="25"/>
    </row>
    <row r="903">
      <c r="I903" s="25"/>
      <c r="J903" s="25"/>
      <c r="K903" s="25"/>
    </row>
    <row r="904">
      <c r="I904" s="25"/>
      <c r="J904" s="25"/>
      <c r="K904" s="25"/>
    </row>
    <row r="905">
      <c r="I905" s="25"/>
      <c r="J905" s="25"/>
      <c r="K905" s="25"/>
    </row>
    <row r="906">
      <c r="I906" s="25"/>
      <c r="J906" s="25"/>
      <c r="K906" s="25"/>
    </row>
    <row r="907">
      <c r="I907" s="25"/>
      <c r="J907" s="25"/>
      <c r="K907" s="25"/>
    </row>
    <row r="908">
      <c r="I908" s="25"/>
      <c r="J908" s="25"/>
      <c r="K908" s="25"/>
    </row>
    <row r="909">
      <c r="I909" s="25"/>
      <c r="J909" s="25"/>
      <c r="K909" s="25"/>
    </row>
    <row r="910">
      <c r="I910" s="25"/>
      <c r="J910" s="25"/>
      <c r="K910" s="25"/>
    </row>
    <row r="911">
      <c r="I911" s="25"/>
      <c r="J911" s="25"/>
      <c r="K911" s="25"/>
    </row>
    <row r="912">
      <c r="I912" s="25"/>
      <c r="J912" s="25"/>
      <c r="K912" s="25"/>
    </row>
    <row r="913">
      <c r="I913" s="25"/>
      <c r="J913" s="25"/>
      <c r="K913" s="25"/>
    </row>
    <row r="914">
      <c r="I914" s="25"/>
      <c r="J914" s="25"/>
      <c r="K914" s="25"/>
    </row>
    <row r="915">
      <c r="I915" s="25"/>
      <c r="J915" s="25"/>
      <c r="K915" s="25"/>
    </row>
    <row r="916">
      <c r="I916" s="25"/>
      <c r="J916" s="25"/>
      <c r="K916" s="25"/>
    </row>
    <row r="917">
      <c r="I917" s="25"/>
      <c r="J917" s="25"/>
      <c r="K917" s="25"/>
    </row>
    <row r="918">
      <c r="I918" s="25"/>
      <c r="J918" s="25"/>
      <c r="K918" s="25"/>
    </row>
    <row r="919">
      <c r="I919" s="25"/>
      <c r="J919" s="25"/>
      <c r="K919" s="25"/>
    </row>
    <row r="920">
      <c r="I920" s="25"/>
      <c r="J920" s="25"/>
      <c r="K920" s="25"/>
    </row>
    <row r="921">
      <c r="I921" s="25"/>
      <c r="J921" s="25"/>
      <c r="K921" s="25"/>
    </row>
    <row r="922">
      <c r="I922" s="25"/>
      <c r="J922" s="25"/>
      <c r="K922" s="25"/>
    </row>
    <row r="923">
      <c r="I923" s="25"/>
      <c r="J923" s="25"/>
      <c r="K923" s="25"/>
    </row>
    <row r="924">
      <c r="I924" s="25"/>
      <c r="J924" s="25"/>
      <c r="K924" s="25"/>
    </row>
    <row r="925">
      <c r="I925" s="25"/>
      <c r="J925" s="25"/>
      <c r="K925" s="25"/>
    </row>
    <row r="926">
      <c r="I926" s="25"/>
      <c r="J926" s="25"/>
      <c r="K926" s="25"/>
    </row>
    <row r="927">
      <c r="I927" s="25"/>
      <c r="J927" s="25"/>
      <c r="K927" s="25"/>
    </row>
    <row r="928">
      <c r="I928" s="25"/>
      <c r="J928" s="25"/>
      <c r="K928" s="25"/>
    </row>
    <row r="929">
      <c r="I929" s="25"/>
      <c r="J929" s="25"/>
      <c r="K929" s="25"/>
    </row>
    <row r="930">
      <c r="I930" s="25"/>
      <c r="J930" s="25"/>
      <c r="K930" s="25"/>
    </row>
    <row r="931">
      <c r="I931" s="25"/>
      <c r="J931" s="25"/>
      <c r="K931" s="25"/>
    </row>
    <row r="932">
      <c r="I932" s="25"/>
      <c r="J932" s="25"/>
      <c r="K932" s="25"/>
    </row>
    <row r="933">
      <c r="I933" s="25"/>
      <c r="J933" s="25"/>
      <c r="K933" s="25"/>
    </row>
    <row r="934">
      <c r="I934" s="25"/>
      <c r="J934" s="25"/>
      <c r="K934" s="25"/>
    </row>
    <row r="935">
      <c r="I935" s="25"/>
      <c r="J935" s="25"/>
      <c r="K935" s="25"/>
    </row>
    <row r="936">
      <c r="I936" s="25"/>
      <c r="J936" s="25"/>
      <c r="K936" s="25"/>
    </row>
    <row r="937">
      <c r="I937" s="25"/>
      <c r="J937" s="25"/>
      <c r="K937" s="25"/>
    </row>
    <row r="938">
      <c r="I938" s="25"/>
      <c r="J938" s="25"/>
      <c r="K938" s="25"/>
    </row>
    <row r="939">
      <c r="I939" s="25"/>
      <c r="J939" s="25"/>
      <c r="K939" s="25"/>
    </row>
    <row r="940">
      <c r="I940" s="25"/>
      <c r="J940" s="25"/>
      <c r="K940" s="25"/>
    </row>
    <row r="941">
      <c r="I941" s="25"/>
      <c r="J941" s="25"/>
      <c r="K941" s="25"/>
    </row>
    <row r="942">
      <c r="I942" s="25"/>
      <c r="J942" s="25"/>
      <c r="K942" s="25"/>
    </row>
    <row r="943">
      <c r="I943" s="25"/>
      <c r="J943" s="25"/>
      <c r="K943" s="25"/>
    </row>
    <row r="944">
      <c r="I944" s="25"/>
      <c r="J944" s="25"/>
      <c r="K944" s="25"/>
    </row>
    <row r="945">
      <c r="I945" s="25"/>
      <c r="J945" s="25"/>
      <c r="K945" s="25"/>
    </row>
    <row r="946">
      <c r="I946" s="25"/>
      <c r="J946" s="25"/>
      <c r="K946" s="25"/>
    </row>
    <row r="947">
      <c r="I947" s="25"/>
      <c r="J947" s="25"/>
      <c r="K947" s="25"/>
    </row>
    <row r="948">
      <c r="I948" s="25"/>
      <c r="J948" s="25"/>
      <c r="K948" s="25"/>
    </row>
    <row r="949">
      <c r="I949" s="25"/>
      <c r="J949" s="25"/>
      <c r="K949" s="25"/>
    </row>
    <row r="950">
      <c r="I950" s="25"/>
      <c r="J950" s="25"/>
      <c r="K950" s="25"/>
    </row>
    <row r="951">
      <c r="I951" s="25"/>
      <c r="J951" s="25"/>
      <c r="K951" s="25"/>
    </row>
    <row r="952">
      <c r="I952" s="25"/>
      <c r="J952" s="25"/>
      <c r="K952" s="25"/>
    </row>
    <row r="953">
      <c r="I953" s="25"/>
      <c r="J953" s="25"/>
      <c r="K953" s="25"/>
    </row>
    <row r="954">
      <c r="I954" s="25"/>
      <c r="J954" s="25"/>
      <c r="K954" s="25"/>
    </row>
    <row r="955">
      <c r="I955" s="25"/>
      <c r="J955" s="25"/>
      <c r="K955" s="25"/>
    </row>
    <row r="956">
      <c r="I956" s="25"/>
      <c r="J956" s="25"/>
      <c r="K956" s="25"/>
    </row>
    <row r="957">
      <c r="I957" s="25"/>
      <c r="J957" s="25"/>
      <c r="K957" s="25"/>
    </row>
    <row r="958">
      <c r="I958" s="25"/>
      <c r="J958" s="25"/>
      <c r="K958" s="25"/>
    </row>
    <row r="959">
      <c r="I959" s="25"/>
      <c r="J959" s="25"/>
      <c r="K959" s="25"/>
    </row>
    <row r="960">
      <c r="I960" s="25"/>
      <c r="J960" s="25"/>
      <c r="K960" s="25"/>
    </row>
    <row r="961">
      <c r="I961" s="25"/>
      <c r="J961" s="25"/>
      <c r="K961" s="25"/>
    </row>
    <row r="962">
      <c r="I962" s="25"/>
      <c r="J962" s="25"/>
      <c r="K962" s="25"/>
    </row>
    <row r="963">
      <c r="I963" s="25"/>
      <c r="J963" s="25"/>
      <c r="K963" s="25"/>
    </row>
    <row r="964">
      <c r="I964" s="25"/>
      <c r="J964" s="25"/>
      <c r="K964" s="25"/>
    </row>
    <row r="965">
      <c r="I965" s="25"/>
      <c r="J965" s="25"/>
      <c r="K965" s="25"/>
    </row>
    <row r="966">
      <c r="I966" s="25"/>
      <c r="J966" s="25"/>
      <c r="K966" s="25"/>
    </row>
    <row r="967">
      <c r="I967" s="25"/>
      <c r="J967" s="25"/>
      <c r="K967" s="25"/>
    </row>
    <row r="968">
      <c r="I968" s="25"/>
      <c r="J968" s="25"/>
      <c r="K968" s="25"/>
    </row>
    <row r="969">
      <c r="I969" s="25"/>
      <c r="J969" s="25"/>
      <c r="K969" s="25"/>
    </row>
    <row r="970">
      <c r="I970" s="25"/>
      <c r="J970" s="25"/>
      <c r="K970" s="25"/>
    </row>
    <row r="971">
      <c r="I971" s="25"/>
      <c r="J971" s="25"/>
      <c r="K971" s="25"/>
    </row>
    <row r="972">
      <c r="I972" s="25"/>
      <c r="J972" s="25"/>
      <c r="K972" s="25"/>
    </row>
    <row r="973">
      <c r="I973" s="25"/>
      <c r="J973" s="25"/>
      <c r="K973" s="25"/>
    </row>
    <row r="974">
      <c r="I974" s="25"/>
      <c r="J974" s="25"/>
      <c r="K974" s="25"/>
    </row>
    <row r="975">
      <c r="I975" s="25"/>
      <c r="J975" s="25"/>
      <c r="K975" s="25"/>
    </row>
    <row r="976">
      <c r="I976" s="25"/>
      <c r="J976" s="25"/>
      <c r="K976" s="25"/>
    </row>
    <row r="977">
      <c r="I977" s="25"/>
      <c r="J977" s="25"/>
      <c r="K977" s="25"/>
    </row>
    <row r="978">
      <c r="I978" s="25"/>
      <c r="J978" s="25"/>
      <c r="K978" s="25"/>
    </row>
    <row r="979">
      <c r="I979" s="25"/>
      <c r="J979" s="25"/>
      <c r="K979" s="25"/>
    </row>
    <row r="980">
      <c r="I980" s="25"/>
      <c r="J980" s="25"/>
      <c r="K980" s="25"/>
    </row>
    <row r="981">
      <c r="I981" s="25"/>
      <c r="J981" s="25"/>
      <c r="K981" s="25"/>
    </row>
    <row r="982">
      <c r="I982" s="25"/>
      <c r="J982" s="25"/>
      <c r="K982" s="25"/>
    </row>
    <row r="983">
      <c r="I983" s="25"/>
      <c r="J983" s="25"/>
      <c r="K983" s="25"/>
    </row>
    <row r="984">
      <c r="I984" s="25"/>
      <c r="J984" s="25"/>
      <c r="K984" s="25"/>
    </row>
    <row r="985">
      <c r="I985" s="25"/>
      <c r="J985" s="25"/>
      <c r="K985" s="25"/>
    </row>
    <row r="986">
      <c r="I986" s="25"/>
      <c r="J986" s="25"/>
      <c r="K986" s="25"/>
    </row>
    <row r="987">
      <c r="I987" s="25"/>
      <c r="J987" s="25"/>
      <c r="K987" s="25"/>
    </row>
    <row r="988">
      <c r="I988" s="25"/>
      <c r="J988" s="25"/>
      <c r="K988" s="25"/>
    </row>
    <row r="989">
      <c r="I989" s="25"/>
      <c r="J989" s="25"/>
      <c r="K989" s="25"/>
    </row>
    <row r="990">
      <c r="I990" s="25"/>
      <c r="J990" s="25"/>
      <c r="K990" s="25"/>
    </row>
    <row r="991">
      <c r="I991" s="25"/>
      <c r="J991" s="25"/>
      <c r="K991" s="25"/>
    </row>
    <row r="992">
      <c r="I992" s="25"/>
      <c r="J992" s="25"/>
      <c r="K992" s="25"/>
    </row>
    <row r="993">
      <c r="I993" s="25"/>
      <c r="J993" s="25"/>
      <c r="K993" s="25"/>
    </row>
    <row r="994">
      <c r="I994" s="25"/>
      <c r="J994" s="25"/>
      <c r="K994" s="25"/>
    </row>
    <row r="995">
      <c r="I995" s="25"/>
      <c r="J995" s="25"/>
      <c r="K995" s="25"/>
    </row>
    <row r="996">
      <c r="I996" s="25"/>
      <c r="J996" s="25"/>
      <c r="K996" s="25"/>
    </row>
    <row r="997">
      <c r="I997" s="25"/>
      <c r="J997" s="25"/>
      <c r="K997" s="25"/>
    </row>
    <row r="998">
      <c r="I998" s="25"/>
      <c r="J998" s="25"/>
      <c r="K998" s="25"/>
    </row>
    <row r="999">
      <c r="I999" s="25"/>
      <c r="J999" s="25"/>
      <c r="K999" s="25"/>
    </row>
    <row r="1000">
      <c r="I1000" s="25"/>
      <c r="J1000" s="25"/>
      <c r="K1000" s="25"/>
    </row>
  </sheetData>
  <printOptions/>
  <pageMargins bottom="1.0" footer="0.0" header="0.0" left="0.75" right="0.75" top="1.0"/>
  <pageSetup orientation="landscape"/>
  <drawing r:id="rId1"/>
</worksheet>
</file>